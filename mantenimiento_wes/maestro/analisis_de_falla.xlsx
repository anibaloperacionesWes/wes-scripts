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6.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G:\Mi unidad\Anibal\"/>
    </mc:Choice>
  </mc:AlternateContent>
  <xr:revisionPtr revIDLastSave="0" documentId="13_ncr:1_{52E8227A-57A9-4EF0-8894-3A3BD144872F}" xr6:coauthVersionLast="47" xr6:coauthVersionMax="47" xr10:uidLastSave="{00000000-0000-0000-0000-000000000000}"/>
  <bookViews>
    <workbookView xWindow="-120" yWindow="-120" windowWidth="20730" windowHeight="11040" tabRatio="777" xr2:uid="{BC9E03AC-C577-4C9E-88EB-4739A2E305ED}"/>
  </bookViews>
  <sheets>
    <sheet name="Data" sheetId="1" r:id="rId1"/>
    <sheet name="Pareto anual" sheetId="12" r:id="rId2"/>
    <sheet name="Pareto por cliente" sheetId="13" r:id="rId3"/>
    <sheet name="Tipo de fallas" sheetId="11" r:id="rId4"/>
    <sheet name="Mtto C-P" sheetId="9" r:id="rId5"/>
    <sheet name="Pareto Especifico" sheetId="4" r:id="rId6"/>
    <sheet name="Detalle" sheetId="8" r:id="rId7"/>
  </sheets>
  <calcPr calcId="191029"/>
  <pivotCaches>
    <pivotCache cacheId="1" r:id="rId8"/>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L175" i="1" l="1"/>
  <c r="L2" i="1"/>
  <c r="L3" i="1"/>
  <c r="L173" i="1"/>
  <c r="L158" i="1"/>
  <c r="L164" i="1"/>
  <c r="L161" i="1"/>
  <c r="L178" i="1"/>
  <c r="L181" i="1"/>
  <c r="L182" i="1"/>
  <c r="L156" i="1"/>
  <c r="L168" i="1"/>
  <c r="L148" i="1"/>
  <c r="L149" i="1"/>
  <c r="L174" i="1"/>
  <c r="L169" i="1"/>
  <c r="L170" i="1"/>
  <c r="L151" i="1"/>
  <c r="L152" i="1"/>
  <c r="L171" i="1"/>
  <c r="L147" i="1"/>
  <c r="L163" i="1"/>
  <c r="L138" i="1"/>
  <c r="L139" i="1"/>
  <c r="L132" i="1"/>
  <c r="L133" i="1"/>
  <c r="L126" i="1"/>
  <c r="L127" i="1"/>
  <c r="L128" i="1"/>
  <c r="L117" i="1"/>
  <c r="L118" i="1"/>
  <c r="L120" i="1"/>
  <c r="L98" i="1"/>
  <c r="L110" i="1"/>
  <c r="L111" i="1"/>
  <c r="L106" i="1"/>
  <c r="L107" i="1"/>
  <c r="L95" i="1"/>
  <c r="L96" i="1"/>
  <c r="L97" i="1"/>
  <c r="L104" i="1"/>
  <c r="L99" i="1"/>
  <c r="L112" i="1"/>
  <c r="L361" i="1"/>
  <c r="L355" i="1"/>
  <c r="L357" i="1"/>
  <c r="L140" i="1"/>
  <c r="L141" i="1"/>
  <c r="L109" i="1"/>
  <c r="L114" i="1"/>
  <c r="L115" i="1"/>
  <c r="L119" i="1"/>
  <c r="L125" i="1"/>
  <c r="L130" i="1"/>
  <c r="L131" i="1"/>
  <c r="L123" i="1"/>
  <c r="L124" i="1"/>
  <c r="L121" i="1"/>
  <c r="L129" i="1"/>
  <c r="L142" i="1"/>
  <c r="L143" i="1"/>
  <c r="L134" i="1"/>
  <c r="L7" i="1"/>
  <c r="L135" i="1"/>
  <c r="L86" i="1"/>
  <c r="L78" i="1"/>
  <c r="L70" i="1"/>
  <c r="L71" i="1"/>
  <c r="L72" i="1"/>
  <c r="L87" i="1"/>
  <c r="L88" i="1"/>
  <c r="L89" i="1"/>
  <c r="L90" i="1"/>
  <c r="L91" i="1"/>
  <c r="L66" i="1"/>
  <c r="L77" i="1"/>
  <c r="L67" i="1"/>
  <c r="L92" i="1"/>
  <c r="L93" i="1"/>
  <c r="L94" i="1"/>
  <c r="L101" i="1"/>
  <c r="L100" i="1"/>
  <c r="L102" i="1"/>
  <c r="L103" i="1"/>
  <c r="L116" i="1"/>
  <c r="L136" i="1"/>
  <c r="L137" i="1"/>
  <c r="L68" i="1"/>
  <c r="L83" i="1"/>
  <c r="L84" i="1"/>
  <c r="L85" i="1"/>
  <c r="L79" i="1"/>
  <c r="L80" i="1"/>
  <c r="L81" i="1"/>
  <c r="L73" i="1"/>
  <c r="L75" i="1"/>
  <c r="L76" i="1"/>
  <c r="L82" i="1"/>
  <c r="L62" i="1"/>
  <c r="L60" i="1"/>
  <c r="L105" i="1"/>
  <c r="L8" i="1"/>
  <c r="L4" i="1"/>
  <c r="L5" i="1"/>
  <c r="L6" i="1"/>
  <c r="L74" i="1"/>
  <c r="L63" i="1"/>
  <c r="L58" i="1"/>
  <c r="L59" i="1"/>
  <c r="L150" i="1"/>
  <c r="L113" i="1"/>
  <c r="L64" i="1"/>
  <c r="L51" i="1"/>
  <c r="L39" i="1"/>
  <c r="L40" i="1"/>
  <c r="L49" i="1"/>
  <c r="L50" i="1"/>
  <c r="L42" i="1"/>
  <c r="L31" i="1"/>
  <c r="L32" i="1"/>
  <c r="L26" i="1"/>
  <c r="L38" i="1"/>
  <c r="L34" i="1"/>
  <c r="L35" i="1"/>
  <c r="L33" i="1"/>
  <c r="L29" i="1"/>
  <c r="L30" i="1"/>
  <c r="L25" i="1"/>
  <c r="L37" i="1"/>
  <c r="L36" i="1"/>
  <c r="L27" i="1"/>
  <c r="L28" i="1"/>
  <c r="L22" i="1"/>
  <c r="L19" i="1"/>
  <c r="L20" i="1"/>
  <c r="L21" i="1"/>
  <c r="L17" i="1"/>
  <c r="L18" i="1"/>
  <c r="L16" i="1"/>
  <c r="L23" i="1"/>
  <c r="L11" i="1"/>
  <c r="L12" i="1"/>
  <c r="L13" i="1"/>
  <c r="L14" i="1"/>
  <c r="L9" i="1"/>
  <c r="L10" i="1"/>
  <c r="L15" i="1"/>
  <c r="L43" i="1"/>
  <c r="L44" i="1"/>
  <c r="L41" i="1"/>
  <c r="L52" i="1"/>
  <c r="L53" i="1"/>
  <c r="L46" i="1"/>
  <c r="L45" i="1"/>
  <c r="L1617" i="1"/>
  <c r="L47" i="1"/>
  <c r="L54" i="1"/>
  <c r="L55" i="1"/>
  <c r="L56" i="1"/>
  <c r="L57" i="1"/>
  <c r="L146" i="1"/>
  <c r="L144" i="1"/>
  <c r="L145" i="1"/>
  <c r="L1618" i="1"/>
  <c r="L1593" i="1"/>
  <c r="L65" i="1"/>
  <c r="L61" i="1"/>
  <c r="L159" i="1"/>
  <c r="L153" i="1"/>
  <c r="L154" i="1"/>
  <c r="L176" i="1"/>
  <c r="L177" i="1"/>
  <c r="L1594" i="1"/>
  <c r="L1595" i="1"/>
  <c r="L157" i="1"/>
  <c r="L155" i="1"/>
  <c r="L165" i="1"/>
  <c r="L166" i="1"/>
  <c r="L162" i="1"/>
  <c r="L160" i="1"/>
  <c r="L193" i="1"/>
  <c r="L194" i="1"/>
  <c r="L1596" i="1"/>
  <c r="L183" i="1"/>
  <c r="L184" i="1"/>
  <c r="L179" i="1"/>
  <c r="L180" i="1"/>
  <c r="L185" i="1"/>
  <c r="L186" i="1"/>
  <c r="L187" i="1"/>
  <c r="L189" i="1"/>
  <c r="L190" i="1"/>
  <c r="L191" i="1"/>
  <c r="L200" i="1"/>
  <c r="L216" i="1"/>
  <c r="L217" i="1"/>
  <c r="L218" i="1"/>
  <c r="L210" i="1"/>
  <c r="L219" i="1"/>
  <c r="L220" i="1"/>
  <c r="L213" i="1"/>
  <c r="L214" i="1"/>
  <c r="L215" i="1"/>
  <c r="L211" i="1"/>
  <c r="L212" i="1"/>
  <c r="L209" i="1"/>
  <c r="L224" i="1"/>
  <c r="L225" i="1"/>
  <c r="L202" i="1"/>
  <c r="L203" i="1"/>
  <c r="L204" i="1"/>
  <c r="L205" i="1"/>
  <c r="L206" i="1"/>
  <c r="L195" i="1"/>
  <c r="L207" i="1"/>
  <c r="L196" i="1"/>
  <c r="L192" i="1"/>
  <c r="L223" i="1"/>
  <c r="L201" i="1"/>
  <c r="L221" i="1"/>
  <c r="L199" i="1"/>
  <c r="L222" i="1"/>
  <c r="L197" i="1"/>
  <c r="L198" i="1"/>
  <c r="L208" i="1"/>
  <c r="L227" i="1"/>
  <c r="L228" i="1"/>
  <c r="L229" i="1"/>
  <c r="L230" i="1"/>
  <c r="L231" i="1"/>
  <c r="L232" i="1"/>
  <c r="L233" i="1"/>
  <c r="L234" i="1"/>
  <c r="L235" i="1"/>
  <c r="L236" i="1"/>
  <c r="L239" i="1"/>
  <c r="L240" i="1"/>
  <c r="L241" i="1"/>
  <c r="L242" i="1"/>
  <c r="L237" i="1"/>
  <c r="L238" i="1"/>
  <c r="L265" i="1"/>
  <c r="L243" i="1"/>
  <c r="L266" i="1"/>
  <c r="L257" i="1"/>
  <c r="L333" i="1"/>
  <c r="L331" i="1"/>
  <c r="L328" i="1"/>
  <c r="L351" i="1"/>
  <c r="L344" i="1"/>
  <c r="L312" i="1"/>
  <c r="L313" i="1"/>
  <c r="L317" i="1"/>
  <c r="L318" i="1"/>
  <c r="L321" i="1"/>
  <c r="L323" i="1"/>
  <c r="L324" i="1"/>
  <c r="L325" i="1"/>
  <c r="L326" i="1"/>
  <c r="L327" i="1"/>
  <c r="L358" i="1"/>
  <c r="L359" i="1"/>
  <c r="L356" i="1"/>
  <c r="L322" i="1"/>
  <c r="L314" i="1"/>
  <c r="L334" i="1"/>
  <c r="L337" i="1"/>
  <c r="L339" i="1"/>
  <c r="L319" i="1"/>
  <c r="L316" i="1"/>
  <c r="L320" i="1"/>
  <c r="L258" i="1"/>
  <c r="L329" i="1"/>
  <c r="L267" i="1"/>
  <c r="L278" i="1"/>
  <c r="L290" i="1"/>
  <c r="L254" i="1"/>
  <c r="L255" i="1"/>
  <c r="L244" i="1"/>
  <c r="L246" i="1"/>
  <c r="L247" i="1"/>
  <c r="L248" i="1"/>
  <c r="L226" i="1"/>
  <c r="L259" i="1"/>
  <c r="L315" i="1"/>
  <c r="L245" i="1"/>
  <c r="L303" i="1"/>
  <c r="L304" i="1"/>
  <c r="L268" i="1"/>
  <c r="L305" i="1"/>
  <c r="L306" i="1"/>
  <c r="L256" i="1"/>
  <c r="L307" i="1"/>
  <c r="L261" i="1"/>
  <c r="L262" i="1"/>
  <c r="L263" i="1"/>
  <c r="L342" i="1"/>
  <c r="L345" i="1"/>
  <c r="L346" i="1"/>
  <c r="L347" i="1"/>
  <c r="L249" i="1"/>
  <c r="L252" i="1"/>
  <c r="L251" i="1"/>
  <c r="L260" i="1"/>
  <c r="L264" i="1"/>
  <c r="L250" i="1"/>
  <c r="L253" i="1"/>
  <c r="L308" i="1"/>
  <c r="L309" i="1"/>
  <c r="L277" i="1"/>
  <c r="L310" i="1"/>
  <c r="L311" i="1"/>
  <c r="L291" i="1"/>
  <c r="L292" i="1"/>
  <c r="L293" i="1"/>
  <c r="L294" i="1"/>
  <c r="L295" i="1"/>
  <c r="L296" i="1"/>
  <c r="L297" i="1"/>
  <c r="L298" i="1"/>
  <c r="L299" i="1"/>
  <c r="L300" i="1"/>
  <c r="L301" i="1"/>
  <c r="L269" i="1"/>
  <c r="L270" i="1"/>
  <c r="L271" i="1"/>
  <c r="L272" i="1"/>
  <c r="L273" i="1"/>
  <c r="L274" i="1"/>
  <c r="L275" i="1"/>
  <c r="L276" i="1"/>
  <c r="L279" i="1"/>
  <c r="L280" i="1"/>
  <c r="L281" i="1"/>
  <c r="L282" i="1"/>
  <c r="L283" i="1"/>
  <c r="L284" i="1"/>
  <c r="L285" i="1"/>
  <c r="L286" i="1"/>
  <c r="L287" i="1"/>
  <c r="L288" i="1"/>
  <c r="L289" i="1"/>
  <c r="L302" i="1"/>
  <c r="L335" i="1"/>
  <c r="L340" i="1"/>
  <c r="L338" i="1"/>
  <c r="L336" i="1"/>
  <c r="L332" i="1"/>
  <c r="L330" i="1"/>
  <c r="L352" i="1"/>
  <c r="L348" i="1"/>
  <c r="L349" i="1"/>
  <c r="L341" i="1"/>
  <c r="L343" i="1"/>
  <c r="L350" i="1"/>
  <c r="L765" i="1"/>
  <c r="L353" i="1"/>
  <c r="L360" i="1"/>
  <c r="L354" i="1"/>
  <c r="L363" i="1"/>
  <c r="L362" i="1"/>
  <c r="L364" i="1"/>
  <c r="L612" i="1"/>
  <c r="L446" i="1"/>
  <c r="L447" i="1"/>
  <c r="L572" i="1"/>
  <c r="L622" i="1"/>
  <c r="L592" i="1"/>
  <c r="L493" i="1"/>
  <c r="L568" i="1"/>
  <c r="L606" i="1"/>
  <c r="L1597" i="1"/>
  <c r="L1598" i="1"/>
  <c r="L1599" i="1"/>
  <c r="L1600" i="1"/>
  <c r="L1601" i="1"/>
  <c r="L656" i="1"/>
  <c r="L375" i="1"/>
  <c r="L376" i="1"/>
  <c r="L377" i="1"/>
  <c r="L615" i="1"/>
  <c r="L582" i="1"/>
  <c r="L585" i="1"/>
  <c r="L587" i="1"/>
  <c r="L588" i="1"/>
  <c r="L583" i="1"/>
  <c r="L600" i="1"/>
  <c r="L596" i="1"/>
  <c r="L597" i="1"/>
  <c r="L380" i="1"/>
  <c r="L381" i="1"/>
  <c r="L589" i="1"/>
  <c r="L584" i="1"/>
  <c r="L590" i="1"/>
  <c r="L378" i="1"/>
  <c r="L382" i="1"/>
  <c r="L383" i="1"/>
  <c r="L379" i="1"/>
  <c r="L448" i="1"/>
  <c r="L598" i="1"/>
  <c r="L577" i="1"/>
  <c r="L449" i="1"/>
  <c r="L450" i="1"/>
  <c r="L477" i="1"/>
  <c r="L478" i="1"/>
  <c r="L479" i="1"/>
  <c r="L480" i="1"/>
  <c r="L481" i="1"/>
  <c r="L451" i="1"/>
  <c r="L424" i="1"/>
  <c r="L486" i="1"/>
  <c r="L607" i="1"/>
  <c r="L503" i="1"/>
  <c r="L504" i="1"/>
  <c r="L604" i="1"/>
  <c r="L373" i="1"/>
  <c r="L374" i="1"/>
  <c r="L365" i="1"/>
  <c r="L366" i="1"/>
  <c r="L367" i="1"/>
  <c r="L452" i="1"/>
  <c r="L368" i="1"/>
  <c r="L371" i="1"/>
  <c r="L372" i="1"/>
  <c r="L369" i="1"/>
  <c r="L370" i="1"/>
  <c r="L427" i="1"/>
  <c r="L428" i="1"/>
  <c r="L429" i="1"/>
  <c r="L430" i="1"/>
  <c r="L431" i="1"/>
  <c r="L432" i="1"/>
  <c r="L433" i="1"/>
  <c r="L434" i="1"/>
  <c r="L435" i="1"/>
  <c r="L436" i="1"/>
  <c r="L437" i="1"/>
  <c r="L438" i="1"/>
  <c r="L439" i="1"/>
  <c r="L440" i="1"/>
  <c r="L441" i="1"/>
  <c r="L442" i="1"/>
  <c r="L443" i="1"/>
  <c r="L444" i="1"/>
  <c r="L445" i="1"/>
  <c r="L405" i="1"/>
  <c r="L406" i="1"/>
  <c r="L407" i="1"/>
  <c r="L408" i="1"/>
  <c r="L409" i="1"/>
  <c r="L410" i="1"/>
  <c r="L411" i="1"/>
  <c r="L412" i="1"/>
  <c r="L413" i="1"/>
  <c r="L414" i="1"/>
  <c r="L415" i="1"/>
  <c r="L416" i="1"/>
  <c r="L417" i="1"/>
  <c r="L418" i="1"/>
  <c r="L419" i="1"/>
  <c r="L420" i="1"/>
  <c r="L421" i="1"/>
  <c r="L422" i="1"/>
  <c r="L423" i="1"/>
  <c r="L385" i="1"/>
  <c r="L386" i="1"/>
  <c r="L387" i="1"/>
  <c r="L388" i="1"/>
  <c r="L389" i="1"/>
  <c r="L390" i="1"/>
  <c r="L391" i="1"/>
  <c r="L392" i="1"/>
  <c r="L393" i="1"/>
  <c r="L394" i="1"/>
  <c r="L395" i="1"/>
  <c r="L396" i="1"/>
  <c r="L397" i="1"/>
  <c r="L398" i="1"/>
  <c r="L399" i="1"/>
  <c r="L400" i="1"/>
  <c r="L591" i="1"/>
  <c r="L608" i="1"/>
  <c r="L605" i="1"/>
  <c r="L505" i="1"/>
  <c r="L506" i="1"/>
  <c r="L609" i="1"/>
  <c r="L500" i="1"/>
  <c r="L494" i="1"/>
  <c r="L593" i="1"/>
  <c r="L623" i="1"/>
  <c r="L487" i="1"/>
  <c r="L425" i="1"/>
  <c r="L453" i="1"/>
  <c r="L482" i="1"/>
  <c r="L483" i="1"/>
  <c r="L484" i="1"/>
  <c r="L488" i="1"/>
  <c r="L485" i="1"/>
  <c r="L454" i="1"/>
  <c r="L455" i="1"/>
  <c r="L586" i="1"/>
  <c r="L599" i="1"/>
  <c r="L578" i="1"/>
  <c r="L456" i="1"/>
  <c r="L457" i="1"/>
  <c r="L530" i="1"/>
  <c r="L613" i="1"/>
  <c r="L657" i="1"/>
  <c r="L573" i="1"/>
  <c r="L1602" i="1"/>
  <c r="L1590" i="1"/>
  <c r="L1591" i="1"/>
  <c r="L1592" i="1"/>
  <c r="L1568" i="1"/>
  <c r="L571" i="1"/>
  <c r="L579" i="1"/>
  <c r="L458" i="1"/>
  <c r="L601" i="1"/>
  <c r="L616" i="1"/>
  <c r="L602" i="1"/>
  <c r="L603" i="1"/>
  <c r="L570" i="1"/>
  <c r="L531" i="1"/>
  <c r="L459" i="1"/>
  <c r="L551" i="1"/>
  <c r="L580" i="1"/>
  <c r="L384" i="1"/>
  <c r="L426" i="1"/>
  <c r="L401" i="1"/>
  <c r="L402" i="1"/>
  <c r="L403" i="1"/>
  <c r="L532" i="1"/>
  <c r="L509" i="1"/>
  <c r="L510" i="1"/>
  <c r="L511" i="1"/>
  <c r="L512" i="1"/>
  <c r="L513" i="1"/>
  <c r="L514" i="1"/>
  <c r="L518" i="1"/>
  <c r="L519" i="1"/>
  <c r="L520" i="1"/>
  <c r="L521" i="1"/>
  <c r="L533" i="1"/>
  <c r="L534" i="1"/>
  <c r="L535" i="1"/>
  <c r="L522" i="1"/>
  <c r="L536" i="1"/>
  <c r="L537" i="1"/>
  <c r="L538" i="1"/>
  <c r="L523" i="1"/>
  <c r="L539" i="1"/>
  <c r="L540" i="1"/>
  <c r="L515" i="1"/>
  <c r="L516" i="1"/>
  <c r="L517" i="1"/>
  <c r="L461" i="1"/>
  <c r="L462" i="1"/>
  <c r="L524" i="1"/>
  <c r="L525" i="1"/>
  <c r="L526" i="1"/>
  <c r="L527" i="1"/>
  <c r="L460" i="1"/>
  <c r="L463" i="1"/>
  <c r="L464" i="1"/>
  <c r="L541" i="1"/>
  <c r="L542" i="1"/>
  <c r="L543" i="1"/>
  <c r="L545" i="1"/>
  <c r="L544" i="1"/>
  <c r="L546" i="1"/>
  <c r="L547" i="1"/>
  <c r="L548" i="1"/>
  <c r="L404" i="1"/>
  <c r="L552" i="1"/>
  <c r="L549" i="1"/>
  <c r="L569" i="1"/>
  <c r="L553" i="1"/>
  <c r="L465" i="1"/>
  <c r="L466" i="1"/>
  <c r="L467" i="1"/>
  <c r="L496" i="1"/>
  <c r="L555" i="1"/>
  <c r="L556" i="1"/>
  <c r="L557" i="1"/>
  <c r="L558" i="1"/>
  <c r="L559" i="1"/>
  <c r="L560" i="1"/>
  <c r="L561" i="1"/>
  <c r="L554" i="1"/>
  <c r="L562" i="1"/>
  <c r="L563" i="1"/>
  <c r="L564" i="1"/>
  <c r="L594" i="1"/>
  <c r="L595" i="1"/>
  <c r="L468" i="1"/>
  <c r="L469" i="1"/>
  <c r="L499" i="1"/>
  <c r="L470" i="1"/>
  <c r="L471" i="1"/>
  <c r="L472" i="1"/>
  <c r="L473" i="1"/>
  <c r="L474" i="1"/>
  <c r="L475" i="1"/>
  <c r="L476" i="1"/>
  <c r="L675" i="1"/>
  <c r="L490" i="1"/>
  <c r="L501" i="1"/>
  <c r="L507" i="1"/>
  <c r="L528" i="1"/>
  <c r="L529" i="1"/>
  <c r="L502" i="1"/>
  <c r="L508" i="1"/>
  <c r="L497" i="1"/>
  <c r="L491" i="1"/>
  <c r="L495" i="1"/>
  <c r="L492" i="1"/>
  <c r="L498" i="1"/>
  <c r="L489" i="1"/>
  <c r="L614" i="1"/>
  <c r="L643" i="1"/>
  <c r="L647" i="1"/>
  <c r="L1565" i="1"/>
  <c r="L617" i="1"/>
  <c r="L635" i="1"/>
  <c r="L636" i="1"/>
  <c r="L637" i="1"/>
  <c r="L644" i="1"/>
  <c r="L645" i="1"/>
  <c r="L642" i="1"/>
  <c r="L648" i="1"/>
  <c r="L649" i="1"/>
  <c r="L650" i="1"/>
  <c r="L646" i="1"/>
  <c r="L651" i="1"/>
  <c r="L658" i="1"/>
  <c r="L618" i="1"/>
  <c r="L641" i="1"/>
  <c r="L638" i="1"/>
  <c r="L639" i="1"/>
  <c r="L652" i="1"/>
  <c r="L655" i="1"/>
  <c r="L669" i="1"/>
  <c r="L630" i="1"/>
  <c r="L625" i="1"/>
  <c r="L626" i="1"/>
  <c r="L619" i="1"/>
  <c r="L627" i="1"/>
  <c r="L628" i="1"/>
  <c r="L629" i="1"/>
  <c r="L631" i="1"/>
  <c r="L624" i="1"/>
  <c r="L632" i="1"/>
  <c r="L633" i="1"/>
  <c r="L634" i="1"/>
  <c r="L620" i="1"/>
  <c r="L621" i="1"/>
  <c r="L640" i="1"/>
  <c r="L653" i="1"/>
  <c r="L1559" i="1"/>
  <c r="L1517" i="1"/>
  <c r="L661" i="1"/>
  <c r="L662" i="1"/>
  <c r="L659" i="1"/>
  <c r="L660" i="1"/>
  <c r="L671" i="1"/>
  <c r="L670" i="1"/>
  <c r="L674" i="1"/>
  <c r="L673" i="1"/>
  <c r="L672" i="1"/>
  <c r="L668" i="1"/>
  <c r="L666" i="1"/>
  <c r="L667" i="1"/>
  <c r="L676" i="1"/>
  <c r="L677" i="1"/>
  <c r="L691" i="1"/>
  <c r="L692" i="1"/>
  <c r="L699" i="1"/>
  <c r="L701" i="1"/>
  <c r="L702" i="1"/>
  <c r="L678" i="1"/>
  <c r="L700" i="1"/>
  <c r="L751" i="1"/>
  <c r="L752" i="1"/>
  <c r="L746" i="1"/>
  <c r="L1243" i="1"/>
  <c r="L1244" i="1"/>
  <c r="L1514" i="1"/>
  <c r="L1512" i="1"/>
  <c r="L711" i="1"/>
  <c r="L740" i="1"/>
  <c r="L731" i="1"/>
  <c r="L732" i="1"/>
  <c r="L733" i="1"/>
  <c r="L734" i="1"/>
  <c r="L735" i="1"/>
  <c r="L736" i="1"/>
  <c r="L737" i="1"/>
  <c r="L738" i="1"/>
  <c r="L739" i="1"/>
  <c r="L720" i="1"/>
  <c r="L721" i="1"/>
  <c r="L722" i="1"/>
  <c r="L723" i="1"/>
  <c r="L724" i="1"/>
  <c r="L725" i="1"/>
  <c r="L726" i="1"/>
  <c r="L727" i="1"/>
  <c r="L712" i="1"/>
  <c r="L713" i="1"/>
  <c r="L714" i="1"/>
  <c r="L728" i="1"/>
  <c r="L776" i="1"/>
  <c r="L729" i="1"/>
  <c r="L745" i="1"/>
  <c r="L743" i="1"/>
  <c r="L771" i="1"/>
  <c r="L772" i="1"/>
  <c r="L766" i="1"/>
  <c r="L688" i="1"/>
  <c r="L689" i="1"/>
  <c r="L715" i="1"/>
  <c r="L716" i="1"/>
  <c r="L717" i="1"/>
  <c r="L703" i="1"/>
  <c r="L761" i="1"/>
  <c r="L763" i="1"/>
  <c r="L679" i="1"/>
  <c r="L680" i="1"/>
  <c r="L681" i="1"/>
  <c r="L682" i="1"/>
  <c r="L683" i="1"/>
  <c r="L1510" i="1"/>
  <c r="L718" i="1"/>
  <c r="L719" i="1"/>
  <c r="L704" i="1"/>
  <c r="L762" i="1"/>
  <c r="L759" i="1"/>
  <c r="L769" i="1"/>
  <c r="L774" i="1"/>
  <c r="L775" i="1"/>
  <c r="L730" i="1"/>
  <c r="L777" i="1"/>
  <c r="L754" i="1"/>
  <c r="L685" i="1"/>
  <c r="L710" i="1"/>
  <c r="L696" i="1"/>
  <c r="L697" i="1"/>
  <c r="L698" i="1"/>
  <c r="L686" i="1"/>
  <c r="L687" i="1"/>
  <c r="L693" i="1"/>
  <c r="L1511" i="1"/>
  <c r="L1436" i="1"/>
  <c r="L690" i="1"/>
  <c r="L694" i="1"/>
  <c r="L753" i="1"/>
  <c r="L747" i="1"/>
  <c r="L748" i="1"/>
  <c r="L749" i="1"/>
  <c r="L750" i="1"/>
  <c r="L695" i="1"/>
  <c r="L706" i="1"/>
  <c r="L707" i="1"/>
  <c r="L705" i="1"/>
  <c r="L770" i="1"/>
  <c r="L767" i="1"/>
  <c r="L760" i="1"/>
  <c r="L755" i="1"/>
  <c r="L764" i="1"/>
  <c r="L756" i="1"/>
  <c r="L744" i="1"/>
  <c r="L773" i="1"/>
  <c r="L768" i="1"/>
  <c r="L1426" i="1"/>
  <c r="L1414" i="1"/>
  <c r="L778" i="1"/>
  <c r="L779" i="1"/>
  <c r="L792" i="1"/>
  <c r="L793" i="1"/>
  <c r="L794" i="1"/>
  <c r="L795" i="1"/>
  <c r="L796" i="1"/>
  <c r="L797" i="1"/>
  <c r="L798" i="1"/>
  <c r="L799" i="1"/>
  <c r="L800" i="1"/>
  <c r="L801" i="1"/>
  <c r="L781" i="1"/>
  <c r="L782" i="1"/>
  <c r="L783" i="1"/>
  <c r="L784" i="1"/>
  <c r="L785" i="1"/>
  <c r="L786" i="1"/>
  <c r="L787" i="1"/>
  <c r="L788" i="1"/>
  <c r="L789" i="1"/>
  <c r="L790" i="1"/>
  <c r="L791" i="1"/>
  <c r="L802" i="1"/>
  <c r="L804" i="1"/>
  <c r="L807" i="1"/>
  <c r="L863" i="1"/>
  <c r="L834" i="1"/>
  <c r="L814" i="1"/>
  <c r="L811" i="1"/>
  <c r="L803" i="1"/>
  <c r="L805" i="1"/>
  <c r="L806" i="1"/>
  <c r="L864" i="1"/>
  <c r="L850" i="1"/>
  <c r="L808" i="1"/>
  <c r="L809" i="1"/>
  <c r="L822" i="1"/>
  <c r="L818" i="1"/>
  <c r="L819" i="1"/>
  <c r="L820" i="1"/>
  <c r="L815" i="1"/>
  <c r="L816" i="1"/>
  <c r="L817" i="1"/>
  <c r="L821" i="1"/>
  <c r="L812" i="1"/>
  <c r="L813" i="1"/>
  <c r="L810" i="1"/>
  <c r="L851" i="1"/>
  <c r="L872" i="1"/>
  <c r="L835" i="1"/>
  <c r="L848" i="1"/>
  <c r="L849" i="1"/>
  <c r="L869" i="1"/>
  <c r="L870" i="1"/>
  <c r="L894" i="1"/>
  <c r="L884" i="1"/>
  <c r="L823" i="1"/>
  <c r="L824" i="1"/>
  <c r="L825" i="1"/>
  <c r="L826" i="1"/>
  <c r="L827" i="1"/>
  <c r="L828" i="1"/>
  <c r="L829" i="1"/>
  <c r="L830" i="1"/>
  <c r="L831" i="1"/>
  <c r="L832" i="1"/>
  <c r="L833" i="1"/>
  <c r="L852" i="1"/>
  <c r="L853" i="1"/>
  <c r="L854" i="1"/>
  <c r="L855" i="1"/>
  <c r="L856" i="1"/>
  <c r="L857" i="1"/>
  <c r="L858" i="1"/>
  <c r="L859" i="1"/>
  <c r="L860" i="1"/>
  <c r="L861" i="1"/>
  <c r="L862" i="1"/>
  <c r="L836" i="1"/>
  <c r="L837" i="1"/>
  <c r="L838" i="1"/>
  <c r="L839" i="1"/>
  <c r="L840" i="1"/>
  <c r="L841" i="1"/>
  <c r="L842" i="1"/>
  <c r="L843" i="1"/>
  <c r="L844" i="1"/>
  <c r="L845" i="1"/>
  <c r="L846" i="1"/>
  <c r="L885" i="1"/>
  <c r="L886" i="1"/>
  <c r="L847" i="1"/>
  <c r="L871" i="1"/>
  <c r="L865" i="1"/>
  <c r="L866" i="1"/>
  <c r="L867" i="1"/>
  <c r="L873" i="1"/>
  <c r="L874" i="1"/>
  <c r="L875" i="1"/>
  <c r="L876" i="1"/>
  <c r="L877" i="1"/>
  <c r="L878" i="1"/>
  <c r="L879" i="1"/>
  <c r="L880" i="1"/>
  <c r="L881" i="1"/>
  <c r="L882" i="1"/>
  <c r="L887" i="1"/>
  <c r="L888" i="1"/>
  <c r="L889" i="1"/>
  <c r="L890" i="1"/>
  <c r="L891" i="1"/>
  <c r="L892" i="1"/>
  <c r="L893" i="1"/>
  <c r="L883" i="1"/>
  <c r="L895" i="1"/>
  <c r="L896" i="1"/>
  <c r="L897" i="1"/>
  <c r="L898" i="1"/>
  <c r="L899" i="1"/>
  <c r="L900" i="1"/>
  <c r="L901" i="1"/>
  <c r="L902" i="1"/>
  <c r="L903" i="1"/>
  <c r="L904" i="1"/>
  <c r="L905" i="1"/>
  <c r="L924" i="1"/>
  <c r="L925" i="1"/>
  <c r="L917" i="1"/>
  <c r="L906" i="1"/>
  <c r="L907" i="1"/>
  <c r="L908" i="1"/>
  <c r="L909" i="1"/>
  <c r="L910" i="1"/>
  <c r="L911" i="1"/>
  <c r="L912" i="1"/>
  <c r="L913" i="1"/>
  <c r="L914" i="1"/>
  <c r="L915" i="1"/>
  <c r="L916" i="1"/>
  <c r="L926" i="1"/>
  <c r="L941" i="1"/>
  <c r="L940" i="1"/>
  <c r="L942" i="1"/>
  <c r="L927" i="1"/>
  <c r="L928" i="1"/>
  <c r="L929" i="1"/>
  <c r="L921" i="1"/>
  <c r="L922" i="1"/>
  <c r="L933" i="1"/>
  <c r="L934" i="1"/>
  <c r="L935" i="1"/>
  <c r="L936" i="1"/>
  <c r="L930" i="1"/>
  <c r="L931" i="1"/>
  <c r="L918" i="1"/>
  <c r="L919" i="1"/>
  <c r="L937" i="1"/>
  <c r="L938" i="1"/>
  <c r="L939" i="1"/>
  <c r="L920" i="1"/>
  <c r="L932" i="1"/>
  <c r="L943" i="1"/>
  <c r="L944" i="1"/>
  <c r="L945" i="1"/>
  <c r="L946" i="1"/>
  <c r="L947" i="1"/>
  <c r="L948" i="1"/>
  <c r="L1216" i="1"/>
  <c r="L967" i="1"/>
  <c r="L968" i="1"/>
  <c r="L971" i="1"/>
  <c r="L975" i="1"/>
  <c r="L969" i="1"/>
  <c r="L972" i="1"/>
  <c r="L973" i="1"/>
  <c r="L974" i="1"/>
  <c r="L976" i="1"/>
  <c r="L977" i="1"/>
  <c r="L979" i="1"/>
  <c r="L980" i="1"/>
  <c r="L981" i="1"/>
  <c r="L982" i="1"/>
  <c r="L978" i="1"/>
  <c r="L983" i="1"/>
  <c r="L984" i="1"/>
  <c r="L1016" i="1"/>
  <c r="L985" i="1"/>
  <c r="L1217" i="1"/>
  <c r="L999" i="1"/>
  <c r="L958" i="1"/>
  <c r="L959" i="1"/>
  <c r="L960" i="1"/>
  <c r="L961" i="1"/>
  <c r="L962" i="1"/>
  <c r="L963" i="1"/>
  <c r="L964" i="1"/>
  <c r="L965" i="1"/>
  <c r="L949" i="1"/>
  <c r="L950" i="1"/>
  <c r="L951" i="1"/>
  <c r="L952" i="1"/>
  <c r="L953" i="1"/>
  <c r="L954" i="1"/>
  <c r="L955" i="1"/>
  <c r="L956" i="1"/>
  <c r="L957" i="1"/>
  <c r="L986" i="1"/>
  <c r="L987" i="1"/>
  <c r="L988" i="1"/>
  <c r="L989" i="1"/>
  <c r="L990" i="1"/>
  <c r="L991" i="1"/>
  <c r="L992" i="1"/>
  <c r="L993" i="1"/>
  <c r="L1000" i="1"/>
  <c r="L994" i="1"/>
  <c r="L995" i="1"/>
  <c r="L996" i="1"/>
  <c r="L997" i="1"/>
  <c r="L998" i="1"/>
  <c r="L1075" i="1"/>
  <c r="L1001" i="1"/>
  <c r="L1002" i="1"/>
  <c r="L1003" i="1"/>
  <c r="L1008" i="1"/>
  <c r="L1009" i="1"/>
  <c r="L1010" i="1"/>
  <c r="L1026" i="1"/>
  <c r="L1027" i="1"/>
  <c r="L1028" i="1"/>
  <c r="L1029" i="1"/>
  <c r="L1030" i="1"/>
  <c r="L1004" i="1"/>
  <c r="L1005" i="1"/>
  <c r="L1006" i="1"/>
  <c r="L1021" i="1"/>
  <c r="L1081" i="1"/>
  <c r="L1014" i="1"/>
  <c r="L1024" i="1"/>
  <c r="L1042" i="1"/>
  <c r="L1043" i="1"/>
  <c r="L1012" i="1"/>
  <c r="L1013" i="1"/>
  <c r="L1022" i="1"/>
  <c r="L1023" i="1"/>
  <c r="L1017" i="1"/>
  <c r="L1025" i="1"/>
  <c r="L1018" i="1"/>
  <c r="L1015" i="1"/>
  <c r="L1019" i="1"/>
  <c r="L1082" i="1"/>
  <c r="L1076" i="1"/>
  <c r="L1044" i="1"/>
  <c r="L1077" i="1"/>
  <c r="L1078" i="1"/>
  <c r="L1050" i="1"/>
  <c r="L1051" i="1"/>
  <c r="L1052" i="1"/>
  <c r="L1046" i="1"/>
  <c r="L1053" i="1"/>
  <c r="L1047" i="1"/>
  <c r="L1048" i="1"/>
  <c r="L1054" i="1"/>
  <c r="L1056" i="1"/>
  <c r="L1031" i="1"/>
  <c r="L1032" i="1"/>
  <c r="L1033" i="1"/>
  <c r="L1034" i="1"/>
  <c r="L1035" i="1"/>
  <c r="L1036" i="1"/>
  <c r="L1037" i="1"/>
  <c r="L1038" i="1"/>
  <c r="L1039" i="1"/>
  <c r="L1040" i="1"/>
  <c r="L1041" i="1"/>
  <c r="L1049" i="1"/>
  <c r="L1111" i="1"/>
  <c r="L1112" i="1"/>
  <c r="L1116" i="1"/>
  <c r="L1117" i="1"/>
  <c r="L1118" i="1"/>
  <c r="L1119" i="1"/>
  <c r="L1120" i="1"/>
  <c r="L1121" i="1"/>
  <c r="L1122" i="1"/>
  <c r="L1123" i="1"/>
  <c r="L1126" i="1"/>
  <c r="L1127" i="1"/>
  <c r="L1128" i="1"/>
  <c r="L1129" i="1"/>
  <c r="L1130" i="1"/>
  <c r="L1131" i="1"/>
  <c r="L1132" i="1"/>
  <c r="L1133" i="1"/>
  <c r="L1134" i="1"/>
  <c r="L1160" i="1"/>
  <c r="L1161" i="1"/>
  <c r="L1162" i="1"/>
  <c r="L1153" i="1"/>
  <c r="L1154" i="1"/>
  <c r="L1167" i="1"/>
  <c r="L1168" i="1"/>
  <c r="L1173" i="1"/>
  <c r="L1174" i="1"/>
  <c r="L1175" i="1"/>
  <c r="L1176" i="1"/>
  <c r="L1177" i="1"/>
  <c r="L1178" i="1"/>
  <c r="L1179" i="1"/>
  <c r="L1180" i="1"/>
  <c r="L1181" i="1"/>
  <c r="L1182" i="1"/>
  <c r="L1183" i="1"/>
  <c r="L1185" i="1"/>
  <c r="L1186" i="1"/>
  <c r="L1187" i="1"/>
  <c r="L1188" i="1"/>
  <c r="L1189" i="1"/>
  <c r="L1190" i="1"/>
  <c r="L1191" i="1"/>
  <c r="L1192" i="1"/>
  <c r="L1193" i="1"/>
  <c r="L1194" i="1"/>
  <c r="L1196" i="1"/>
  <c r="L1197" i="1"/>
  <c r="L1198" i="1"/>
  <c r="L1199" i="1"/>
  <c r="L1200" i="1"/>
  <c r="L1204" i="1"/>
  <c r="L1205" i="1"/>
  <c r="L1206" i="1"/>
  <c r="L1207" i="1"/>
  <c r="L1208" i="1"/>
  <c r="L1215" i="1"/>
  <c r="L1255" i="1"/>
  <c r="L1256" i="1"/>
  <c r="L1257" i="1"/>
  <c r="L1276" i="1"/>
  <c r="L1057" i="1"/>
  <c r="L1083" i="1"/>
  <c r="L1084" i="1"/>
  <c r="L1066" i="1"/>
  <c r="L1067" i="1"/>
  <c r="L1062" i="1"/>
  <c r="L1064" i="1"/>
  <c r="L1068" i="1"/>
  <c r="L1069" i="1"/>
  <c r="L1070" i="1"/>
  <c r="L1071" i="1"/>
  <c r="L1072" i="1"/>
  <c r="L1065" i="1"/>
  <c r="L1060" i="1"/>
  <c r="L1061" i="1"/>
  <c r="L1058" i="1"/>
  <c r="L1059" i="1"/>
  <c r="L1055" i="1"/>
  <c r="L1073" i="1"/>
  <c r="L1277" i="1"/>
  <c r="L1278" i="1"/>
  <c r="L1258" i="1"/>
  <c r="L1259" i="1"/>
  <c r="L1260" i="1"/>
  <c r="L1359" i="1"/>
  <c r="L1379" i="1"/>
  <c r="L1364" i="1"/>
  <c r="L1368" i="1"/>
  <c r="L1356" i="1"/>
  <c r="L1353" i="1"/>
  <c r="L1362" i="1"/>
  <c r="L1360" i="1"/>
  <c r="L1365" i="1"/>
  <c r="L1354" i="1"/>
  <c r="L1355" i="1"/>
  <c r="L1380" i="1"/>
  <c r="L1373" i="1"/>
  <c r="L1357" i="1"/>
  <c r="L1358" i="1"/>
  <c r="L1366" i="1"/>
  <c r="L1350" i="1"/>
  <c r="L1381" i="1"/>
  <c r="L1361" i="1"/>
  <c r="L1363" i="1"/>
  <c r="L1382" i="1"/>
  <c r="L1369" i="1"/>
  <c r="L1374" i="1"/>
  <c r="L1299" i="1"/>
  <c r="L1377" i="1"/>
  <c r="L1375" i="1"/>
  <c r="L1376" i="1"/>
  <c r="L1370" i="1"/>
  <c r="L1371" i="1"/>
  <c r="L1335" i="1"/>
  <c r="L1336" i="1"/>
  <c r="L1332" i="1"/>
  <c r="L1340" i="1"/>
  <c r="L1337" i="1"/>
  <c r="L1344" i="1"/>
  <c r="L1383" i="1"/>
  <c r="L1395" i="1"/>
  <c r="L1410" i="1"/>
  <c r="L1396" i="1"/>
  <c r="L1411" i="1"/>
  <c r="L1385" i="1"/>
  <c r="L1397" i="1"/>
  <c r="L1386" i="1"/>
  <c r="L1398" i="1"/>
  <c r="L1408" i="1"/>
  <c r="L1384" i="1"/>
  <c r="L1406" i="1"/>
  <c r="L1387" i="1"/>
  <c r="L1391" i="1"/>
  <c r="L1407" i="1"/>
  <c r="L1469" i="1"/>
  <c r="L1470" i="1"/>
  <c r="L1471" i="1"/>
  <c r="L1472" i="1"/>
  <c r="L1220" i="1"/>
  <c r="L1326" i="1"/>
  <c r="L1347" i="1"/>
  <c r="L1647" i="1"/>
  <c r="L1648" i="1"/>
  <c r="L1649" i="1"/>
  <c r="L1707" i="1"/>
  <c r="L1708" i="1"/>
  <c r="L1473" i="1"/>
  <c r="L1474" i="1"/>
  <c r="L1463" i="1"/>
  <c r="L1464" i="1"/>
  <c r="L1465" i="1"/>
  <c r="L1466" i="1"/>
  <c r="L1467" i="1"/>
  <c r="L1444" i="1"/>
  <c r="L1437" i="1"/>
  <c r="L1438" i="1"/>
  <c r="L1439" i="1"/>
  <c r="L1445" i="1"/>
  <c r="L1440" i="1"/>
  <c r="L1441" i="1"/>
  <c r="L1442" i="1"/>
  <c r="L1443" i="1"/>
  <c r="L1446" i="1"/>
  <c r="L1632" i="1"/>
  <c r="L1633" i="1"/>
  <c r="L1634" i="1"/>
  <c r="L1635" i="1"/>
  <c r="L1642" i="1"/>
  <c r="L1643" i="1"/>
  <c r="L1644" i="1"/>
  <c r="L1645" i="1"/>
  <c r="L1646" i="1"/>
  <c r="L1636" i="1"/>
  <c r="L1637" i="1"/>
  <c r="L1638" i="1"/>
  <c r="L1639" i="1"/>
  <c r="L1640" i="1"/>
  <c r="L1641" i="1"/>
  <c r="L1656" i="1"/>
  <c r="L1657" i="1"/>
  <c r="L1658" i="1"/>
  <c r="L1659" i="1"/>
  <c r="L1660" i="1"/>
  <c r="L1661" i="1"/>
  <c r="L1662" i="1"/>
  <c r="L1653" i="1"/>
  <c r="L1654" i="1"/>
  <c r="L1655" i="1"/>
  <c r="L1665" i="1"/>
  <c r="L1671" i="1"/>
  <c r="L1680" i="1"/>
  <c r="L1681" i="1"/>
  <c r="L1682" i="1"/>
  <c r="L1683" i="1"/>
  <c r="L1684" i="1"/>
  <c r="L1685" i="1"/>
  <c r="L1686" i="1"/>
  <c r="L1687" i="1"/>
  <c r="L1688" i="1"/>
  <c r="L1689" i="1"/>
  <c r="L1690" i="1"/>
  <c r="L1691" i="1"/>
  <c r="L1692" i="1"/>
  <c r="L1693" i="1"/>
  <c r="L1694" i="1"/>
  <c r="L1695" i="1"/>
  <c r="L1697" i="1"/>
  <c r="L1698" i="1"/>
  <c r="L1699" i="1"/>
  <c r="L1696" i="1"/>
  <c r="L1700" i="1"/>
  <c r="L1701" i="1"/>
  <c r="L1702" i="1"/>
  <c r="L1703" i="1"/>
  <c r="L1704" i="1"/>
  <c r="L1705" i="1"/>
  <c r="L1706" i="1"/>
  <c r="L1079" i="1"/>
  <c r="L1085" i="1"/>
  <c r="L1080" i="1"/>
  <c r="L1074" i="1"/>
  <c r="L1063" i="1"/>
  <c r="L1045" i="1"/>
  <c r="L1020" i="1"/>
  <c r="L1011" i="1"/>
  <c r="L1007" i="1"/>
  <c r="L970" i="1"/>
  <c r="L966" i="1"/>
  <c r="L923" i="1"/>
  <c r="L868" i="1"/>
  <c r="L780" i="1"/>
  <c r="L757" i="1"/>
  <c r="L758" i="1"/>
  <c r="L741" i="1"/>
  <c r="L742" i="1"/>
  <c r="L708" i="1"/>
  <c r="L709" i="1"/>
  <c r="L684" i="1"/>
  <c r="L663" i="1"/>
  <c r="L664" i="1"/>
  <c r="L665" i="1"/>
  <c r="L654" i="1"/>
  <c r="L610" i="1"/>
  <c r="L611" i="1"/>
  <c r="L581" i="1"/>
  <c r="L576" i="1"/>
  <c r="L574" i="1"/>
  <c r="L575" i="1"/>
  <c r="L565" i="1"/>
  <c r="L566" i="1"/>
  <c r="L567" i="1"/>
  <c r="L550" i="1"/>
  <c r="L188" i="1"/>
  <c r="L172" i="1"/>
  <c r="L167" i="1"/>
  <c r="L108" i="1"/>
  <c r="L69" i="1"/>
  <c r="L48" i="1"/>
  <c r="L24" i="1"/>
  <c r="L122" i="1"/>
  <c r="L1261" i="1"/>
  <c r="L1262" i="1"/>
  <c r="L1263" i="1"/>
  <c r="L1264" i="1"/>
  <c r="L1265" i="1"/>
  <c r="L1266" i="1"/>
  <c r="L1267" i="1"/>
  <c r="L1268" i="1"/>
  <c r="L1252" i="1"/>
  <c r="L1246" i="1"/>
  <c r="L1247" i="1"/>
  <c r="L1248" i="1"/>
  <c r="L1249" i="1"/>
  <c r="L1124" i="1"/>
  <c r="L1098" i="1"/>
  <c r="L1300" i="1"/>
  <c r="L1282" i="1"/>
  <c r="L1283" i="1"/>
  <c r="L1549" i="1"/>
  <c r="L1091" i="1"/>
  <c r="L1092" i="1"/>
  <c r="L1096" i="1"/>
  <c r="L1097" i="1"/>
  <c r="L1201" i="1"/>
  <c r="L1218" i="1"/>
  <c r="L1235" i="1"/>
  <c r="L1236" i="1"/>
  <c r="L1237" i="1"/>
  <c r="L1238" i="1"/>
  <c r="L1239" i="1"/>
  <c r="L1240" i="1"/>
  <c r="L1088" i="1"/>
  <c r="L1086" i="1"/>
  <c r="L1114" i="1"/>
  <c r="L1304" i="1"/>
  <c r="L1251" i="1"/>
  <c r="L1323" i="1"/>
  <c r="L1334" i="1"/>
  <c r="L1351" i="1"/>
  <c r="L1372" i="1"/>
  <c r="L1420" i="1"/>
  <c r="L1449" i="1"/>
  <c r="L1460" i="1"/>
  <c r="L1519" i="1"/>
  <c r="L1518" i="1"/>
  <c r="L1497" i="1"/>
  <c r="L1496" i="1"/>
  <c r="L1486" i="1"/>
  <c r="L1482" i="1"/>
  <c r="L1561" i="1"/>
  <c r="L1620" i="1"/>
  <c r="L1623" i="1"/>
  <c r="L1624" i="1"/>
  <c r="L1625" i="1"/>
  <c r="L1627" i="1"/>
  <c r="L1628" i="1"/>
  <c r="L1583" i="1"/>
  <c r="L1669" i="1"/>
  <c r="L1652" i="1"/>
  <c r="L1672" i="1"/>
  <c r="L1089" i="1"/>
  <c r="L1087" i="1"/>
  <c r="L1090" i="1"/>
  <c r="L1673" i="1"/>
  <c r="L1674" i="1"/>
  <c r="L1675" i="1"/>
  <c r="L1676" i="1"/>
  <c r="L1677" i="1"/>
  <c r="L1678" i="1"/>
  <c r="L1679" i="1"/>
  <c r="L1709" i="1"/>
  <c r="L1141" i="1"/>
  <c r="L1142" i="1"/>
  <c r="L1143" i="1"/>
  <c r="L1271" i="1"/>
  <c r="L1286" i="1"/>
  <c r="L1415" i="1"/>
  <c r="L1422" i="1"/>
  <c r="L1423" i="1"/>
  <c r="L1424" i="1"/>
  <c r="L1427" i="1"/>
  <c r="L1500" i="1"/>
  <c r="L1534" i="1"/>
  <c r="L1525" i="1"/>
  <c r="L1528" i="1"/>
  <c r="L1531" i="1"/>
  <c r="L1532" i="1"/>
  <c r="L1539" i="1"/>
  <c r="L1540" i="1"/>
  <c r="L1541" i="1"/>
  <c r="L1550" i="1"/>
  <c r="L1551" i="1"/>
  <c r="L1552" i="1"/>
  <c r="L1556" i="1"/>
  <c r="L1577" i="1"/>
  <c r="L1579" i="1"/>
  <c r="L1606" i="1"/>
  <c r="L1616" i="1"/>
  <c r="L1621" i="1"/>
  <c r="L1115" i="1"/>
  <c r="L1103" i="1"/>
  <c r="L1113" i="1"/>
  <c r="L1135" i="1"/>
  <c r="L1136" i="1"/>
  <c r="L1137" i="1"/>
  <c r="L1144" i="1"/>
  <c r="L1148" i="1"/>
  <c r="L1151" i="1"/>
  <c r="L1348" i="1"/>
  <c r="L1171" i="1"/>
  <c r="L1093" i="1"/>
  <c r="L1094" i="1"/>
  <c r="L1095" i="1"/>
  <c r="L1099" i="1"/>
  <c r="L1184" i="1"/>
  <c r="L1202" i="1"/>
  <c r="L1233" i="1"/>
  <c r="L1231" i="1"/>
  <c r="L1245" i="1"/>
  <c r="L1250" i="1"/>
  <c r="L1378" i="1"/>
  <c r="L1589" i="1"/>
  <c r="L1614" i="1"/>
  <c r="L1615" i="1"/>
  <c r="L1567" i="1"/>
  <c r="L1569" i="1"/>
  <c r="L1570" i="1"/>
  <c r="L1571" i="1"/>
  <c r="L1572" i="1"/>
  <c r="L1573" i="1"/>
  <c r="L1574" i="1"/>
  <c r="L1612" i="1"/>
  <c r="L1585" i="1"/>
  <c r="L1603" i="1"/>
  <c r="L1604" i="1"/>
  <c r="L1605" i="1"/>
  <c r="L1102" i="1"/>
  <c r="L1104" i="1"/>
  <c r="L1145" i="1"/>
  <c r="L1146" i="1"/>
  <c r="L1155" i="1"/>
  <c r="L1166" i="1"/>
  <c r="L1203" i="1"/>
  <c r="L1209" i="1"/>
  <c r="L1210" i="1"/>
  <c r="L1232" i="1"/>
  <c r="L1227" i="1"/>
  <c r="L1228" i="1"/>
  <c r="L1225" i="1"/>
  <c r="L1226" i="1"/>
  <c r="L1229" i="1"/>
  <c r="L1211" i="1"/>
  <c r="L1213" i="1"/>
  <c r="L1212" i="1"/>
  <c r="L1253" i="1"/>
  <c r="L1270" i="1"/>
  <c r="L1279" i="1"/>
  <c r="L1307" i="1"/>
  <c r="L1308" i="1"/>
  <c r="L1287" i="1"/>
  <c r="L1309" i="1"/>
  <c r="L1310" i="1"/>
  <c r="L1315" i="1"/>
  <c r="L1316" i="1"/>
  <c r="L1352" i="1"/>
  <c r="L1327" i="1"/>
  <c r="L1328" i="1"/>
  <c r="L1330" i="1"/>
  <c r="L1339" i="1"/>
  <c r="L1392" i="1"/>
  <c r="L1393" i="1"/>
  <c r="L1461" i="1"/>
  <c r="L1477" i="1"/>
  <c r="L1456" i="1"/>
  <c r="L1457" i="1"/>
  <c r="L1458" i="1"/>
  <c r="L1450" i="1"/>
  <c r="L1451" i="1"/>
  <c r="L1447" i="1"/>
  <c r="L1448" i="1"/>
  <c r="L1434" i="1"/>
  <c r="L1432" i="1"/>
  <c r="L1501" i="1"/>
  <c r="L1502" i="1"/>
  <c r="L1498" i="1"/>
  <c r="L1499" i="1"/>
  <c r="L1481" i="1"/>
  <c r="L1493" i="1"/>
  <c r="L1494" i="1"/>
  <c r="L1495" i="1"/>
  <c r="L1491" i="1"/>
  <c r="L1492" i="1"/>
  <c r="L1484" i="1"/>
  <c r="L1483" i="1"/>
  <c r="L1480" i="1"/>
  <c r="L1535" i="1"/>
  <c r="L1536" i="1"/>
  <c r="L1537" i="1"/>
  <c r="L1538" i="1"/>
  <c r="L1542" i="1"/>
  <c r="L1543" i="1"/>
  <c r="L1526" i="1"/>
  <c r="L1527" i="1"/>
  <c r="L1530" i="1"/>
  <c r="L1523" i="1"/>
  <c r="L1521" i="1"/>
  <c r="L1546" i="1"/>
  <c r="L1553" i="1"/>
  <c r="L1554" i="1"/>
  <c r="L1548" i="1"/>
  <c r="L1562" i="1"/>
  <c r="L1563" i="1"/>
  <c r="L1564" i="1"/>
  <c r="L1586" i="1"/>
  <c r="L1607" i="1"/>
  <c r="L1613" i="1"/>
  <c r="L1650" i="1"/>
  <c r="L1106" i="1"/>
  <c r="L1107" i="1"/>
  <c r="L1125" i="1"/>
  <c r="L1152" i="1"/>
  <c r="L1234" i="1"/>
  <c r="L1292" i="1"/>
  <c r="L1288" i="1"/>
  <c r="L1321" i="1"/>
  <c r="L1295" i="1"/>
  <c r="L1416" i="1"/>
  <c r="L1425" i="1"/>
  <c r="L1545" i="1"/>
  <c r="L1608" i="1"/>
  <c r="L1609" i="1"/>
  <c r="L1631" i="1"/>
  <c r="L1629" i="1"/>
  <c r="L1663" i="1"/>
  <c r="L1666" i="1"/>
  <c r="L1667" i="1"/>
  <c r="L1664" i="1"/>
  <c r="L1670" i="1"/>
  <c r="L1489" i="1"/>
  <c r="L1490" i="1"/>
  <c r="L1503" i="1"/>
  <c r="L1504" i="1"/>
  <c r="L1485" i="1"/>
  <c r="L1487" i="1"/>
  <c r="L1488" i="1"/>
  <c r="L1429" i="1"/>
  <c r="L1454" i="1"/>
  <c r="L1455" i="1"/>
  <c r="L1478" i="1"/>
  <c r="L1479" i="1"/>
  <c r="L1475" i="1"/>
  <c r="L1476" i="1"/>
  <c r="L1462" i="1"/>
  <c r="L1468" i="1"/>
  <c r="L1452" i="1"/>
  <c r="L1412" i="1"/>
  <c r="L1400" i="1"/>
  <c r="L1401" i="1"/>
  <c r="L1402" i="1"/>
  <c r="L1403" i="1"/>
  <c r="L1404" i="1"/>
  <c r="L1405" i="1"/>
  <c r="L1345" i="1"/>
  <c r="L1346" i="1"/>
  <c r="L1341" i="1"/>
  <c r="L1284" i="1"/>
  <c r="L1272" i="1"/>
  <c r="L1273" i="1"/>
  <c r="L1221" i="1"/>
  <c r="L1222" i="1"/>
  <c r="L1230" i="1"/>
  <c r="L1172" i="1"/>
  <c r="L1169" i="1"/>
  <c r="L1157" i="1"/>
  <c r="L1711" i="1"/>
  <c r="L1712" i="1"/>
  <c r="L1668" i="1"/>
  <c r="L1651" i="1"/>
  <c r="L1710" i="1"/>
  <c r="L1619" i="1"/>
  <c r="L1630" i="1"/>
  <c r="L1622" i="1"/>
  <c r="L1626" i="1"/>
  <c r="L1522" i="1"/>
  <c r="L1508" i="1"/>
  <c r="L1513" i="1"/>
  <c r="L1520" i="1"/>
  <c r="L1433" i="1"/>
  <c r="L1431" i="1"/>
  <c r="L1428" i="1"/>
  <c r="L1417" i="1"/>
  <c r="L1394" i="1"/>
  <c r="L1342" i="1"/>
  <c r="L1324" i="1"/>
  <c r="L1325" i="1"/>
  <c r="L1289" i="1"/>
  <c r="L1296" i="1"/>
  <c r="L1293" i="1"/>
  <c r="L1285" i="1"/>
  <c r="L1274" i="1"/>
  <c r="L1269" i="1"/>
  <c r="L1223" i="1"/>
  <c r="L1108" i="1"/>
  <c r="L1147" i="1"/>
  <c r="L1100" i="1"/>
  <c r="L1105" i="1"/>
  <c r="L1101" i="1"/>
  <c r="L1611" i="1"/>
  <c r="L1610" i="1"/>
  <c r="L1588" i="1"/>
  <c r="L1587" i="1"/>
  <c r="L1584" i="1"/>
  <c r="L1578" i="1"/>
  <c r="L1547" i="1"/>
  <c r="L1544" i="1"/>
  <c r="L1533" i="1"/>
  <c r="L1505" i="1"/>
  <c r="L1435" i="1"/>
  <c r="L1453" i="1"/>
  <c r="L1459" i="1"/>
  <c r="L1329" i="1"/>
  <c r="L1317" i="1"/>
  <c r="L1322" i="1"/>
  <c r="L1314" i="1"/>
  <c r="L1303" i="1"/>
  <c r="L1254" i="1"/>
  <c r="L1214" i="1"/>
  <c r="L1138" i="1"/>
  <c r="L1156" i="1"/>
  <c r="L1224" i="1"/>
  <c r="L1566" i="1"/>
  <c r="L1575" i="1"/>
  <c r="L1576" i="1"/>
  <c r="L1581" i="1"/>
  <c r="L1582" i="1"/>
  <c r="L1580" i="1"/>
  <c r="L1557" i="1"/>
  <c r="L1558" i="1"/>
  <c r="L1560" i="1"/>
  <c r="L1555" i="1"/>
  <c r="L1529" i="1"/>
  <c r="L1524" i="1"/>
  <c r="L1506" i="1"/>
  <c r="L1507" i="1"/>
  <c r="L1509" i="1"/>
  <c r="L1515" i="1"/>
  <c r="L1516" i="1"/>
  <c r="L1430" i="1"/>
  <c r="L1418" i="1"/>
  <c r="L1419" i="1"/>
  <c r="L1421" i="1"/>
  <c r="L1343" i="1"/>
  <c r="L1388" i="1"/>
  <c r="L1389" i="1"/>
  <c r="L1338" i="1"/>
  <c r="L1297" i="1"/>
  <c r="L1298" i="1"/>
  <c r="L1311" i="1"/>
  <c r="L1312" i="1"/>
  <c r="L1301" i="1"/>
  <c r="L1302" i="1"/>
  <c r="L1290" i="1"/>
  <c r="L1291" i="1"/>
  <c r="L1305" i="1"/>
  <c r="L1306" i="1"/>
  <c r="L1318" i="1"/>
  <c r="L1319" i="1"/>
  <c r="L1294" i="1"/>
  <c r="L1280" i="1"/>
  <c r="L1281" i="1"/>
  <c r="L1241" i="1"/>
  <c r="L1242" i="1"/>
  <c r="L1163" i="1"/>
  <c r="L1164" i="1"/>
  <c r="L1158" i="1"/>
  <c r="L1149" i="1"/>
  <c r="L1150" i="1"/>
  <c r="L1139" i="1"/>
  <c r="L1140" i="1"/>
  <c r="L1109" i="1"/>
  <c r="L1110" i="1"/>
  <c r="L1399" i="1"/>
  <c r="L1413" i="1"/>
  <c r="L1390" i="1"/>
  <c r="L1409" i="1"/>
  <c r="L1333" i="1"/>
  <c r="L1349" i="1"/>
  <c r="L1331" i="1"/>
  <c r="L1320" i="1"/>
  <c r="L1313" i="1"/>
  <c r="L1367" i="1"/>
  <c r="L1275" i="1"/>
  <c r="L1219" i="1"/>
  <c r="L1195" i="1"/>
  <c r="L1170" i="1"/>
  <c r="L1165" i="1"/>
  <c r="L1159" i="1"/>
  <c r="K175" i="1"/>
  <c r="K2" i="1"/>
  <c r="K3" i="1"/>
  <c r="K173" i="1"/>
  <c r="K158" i="1"/>
  <c r="K164" i="1"/>
  <c r="K161" i="1"/>
  <c r="K178" i="1"/>
  <c r="K181" i="1"/>
  <c r="K182" i="1"/>
  <c r="K156" i="1"/>
  <c r="K168" i="1"/>
  <c r="K148" i="1"/>
  <c r="K149" i="1"/>
  <c r="K174" i="1"/>
  <c r="K169" i="1"/>
  <c r="K170" i="1"/>
  <c r="K151" i="1"/>
  <c r="K152" i="1"/>
  <c r="K171" i="1"/>
  <c r="K147" i="1"/>
  <c r="K163" i="1"/>
  <c r="K138" i="1"/>
  <c r="K139" i="1"/>
  <c r="K132" i="1"/>
  <c r="K133" i="1"/>
  <c r="K126" i="1"/>
  <c r="K127" i="1"/>
  <c r="K128" i="1"/>
  <c r="K117" i="1"/>
  <c r="K118" i="1"/>
  <c r="K120" i="1"/>
  <c r="K98" i="1"/>
  <c r="K110" i="1"/>
  <c r="K111" i="1"/>
  <c r="K106" i="1"/>
  <c r="K107" i="1"/>
  <c r="K95" i="1"/>
  <c r="K96" i="1"/>
  <c r="K97" i="1"/>
  <c r="K104" i="1"/>
  <c r="K99" i="1"/>
  <c r="K112" i="1"/>
  <c r="K361" i="1"/>
  <c r="K355" i="1"/>
  <c r="K357" i="1"/>
  <c r="K140" i="1"/>
  <c r="K141" i="1"/>
  <c r="K109" i="1"/>
  <c r="K114" i="1"/>
  <c r="K115" i="1"/>
  <c r="K119" i="1"/>
  <c r="K125" i="1"/>
  <c r="K130" i="1"/>
  <c r="K131" i="1"/>
  <c r="K123" i="1"/>
  <c r="K124" i="1"/>
  <c r="K121" i="1"/>
  <c r="K129" i="1"/>
  <c r="K142" i="1"/>
  <c r="K143" i="1"/>
  <c r="K134" i="1"/>
  <c r="K7" i="1"/>
  <c r="K135" i="1"/>
  <c r="K86" i="1"/>
  <c r="K78" i="1"/>
  <c r="K70" i="1"/>
  <c r="K71" i="1"/>
  <c r="K72" i="1"/>
  <c r="K87" i="1"/>
  <c r="K88" i="1"/>
  <c r="K89" i="1"/>
  <c r="K90" i="1"/>
  <c r="K91" i="1"/>
  <c r="K66" i="1"/>
  <c r="K77" i="1"/>
  <c r="K67" i="1"/>
  <c r="K92" i="1"/>
  <c r="K93" i="1"/>
  <c r="K94" i="1"/>
  <c r="K101" i="1"/>
  <c r="K100" i="1"/>
  <c r="K102" i="1"/>
  <c r="K103" i="1"/>
  <c r="K116" i="1"/>
  <c r="K136" i="1"/>
  <c r="K137" i="1"/>
  <c r="K68" i="1"/>
  <c r="K83" i="1"/>
  <c r="K84" i="1"/>
  <c r="K85" i="1"/>
  <c r="K79" i="1"/>
  <c r="K80" i="1"/>
  <c r="K81" i="1"/>
  <c r="K73" i="1"/>
  <c r="K75" i="1"/>
  <c r="K76" i="1"/>
  <c r="K82" i="1"/>
  <c r="K62" i="1"/>
  <c r="K60" i="1"/>
  <c r="K105" i="1"/>
  <c r="K8" i="1"/>
  <c r="K4" i="1"/>
  <c r="K5" i="1"/>
  <c r="K6" i="1"/>
  <c r="K74" i="1"/>
  <c r="K63" i="1"/>
  <c r="K58" i="1"/>
  <c r="K59" i="1"/>
  <c r="K150" i="1"/>
  <c r="K113" i="1"/>
  <c r="K64" i="1"/>
  <c r="K51" i="1"/>
  <c r="K39" i="1"/>
  <c r="K40" i="1"/>
  <c r="K49" i="1"/>
  <c r="K50" i="1"/>
  <c r="K42" i="1"/>
  <c r="K31" i="1"/>
  <c r="K32" i="1"/>
  <c r="K26" i="1"/>
  <c r="K38" i="1"/>
  <c r="K34" i="1"/>
  <c r="K35" i="1"/>
  <c r="K33" i="1"/>
  <c r="K29" i="1"/>
  <c r="K30" i="1"/>
  <c r="K25" i="1"/>
  <c r="K37" i="1"/>
  <c r="K36" i="1"/>
  <c r="K27" i="1"/>
  <c r="K28" i="1"/>
  <c r="K22" i="1"/>
  <c r="K19" i="1"/>
  <c r="K20" i="1"/>
  <c r="K21" i="1"/>
  <c r="K17" i="1"/>
  <c r="K18" i="1"/>
  <c r="K16" i="1"/>
  <c r="K23" i="1"/>
  <c r="K11" i="1"/>
  <c r="K12" i="1"/>
  <c r="K13" i="1"/>
  <c r="K14" i="1"/>
  <c r="K9" i="1"/>
  <c r="K10" i="1"/>
  <c r="K15" i="1"/>
  <c r="K43" i="1"/>
  <c r="K44" i="1"/>
  <c r="K41" i="1"/>
  <c r="K52" i="1"/>
  <c r="K53" i="1"/>
  <c r="K46" i="1"/>
  <c r="K45" i="1"/>
  <c r="K1617" i="1"/>
  <c r="K47" i="1"/>
  <c r="K54" i="1"/>
  <c r="K55" i="1"/>
  <c r="K56" i="1"/>
  <c r="K57" i="1"/>
  <c r="K146" i="1"/>
  <c r="K144" i="1"/>
  <c r="K145" i="1"/>
  <c r="K1618" i="1"/>
  <c r="K1593" i="1"/>
  <c r="K65" i="1"/>
  <c r="K61" i="1"/>
  <c r="K159" i="1"/>
  <c r="K153" i="1"/>
  <c r="K154" i="1"/>
  <c r="K176" i="1"/>
  <c r="K177" i="1"/>
  <c r="K1594" i="1"/>
  <c r="K1595" i="1"/>
  <c r="K157" i="1"/>
  <c r="K155" i="1"/>
  <c r="K165" i="1"/>
  <c r="K166" i="1"/>
  <c r="K162" i="1"/>
  <c r="K160" i="1"/>
  <c r="K193" i="1"/>
  <c r="K194" i="1"/>
  <c r="K1596" i="1"/>
  <c r="K183" i="1"/>
  <c r="K184" i="1"/>
  <c r="K179" i="1"/>
  <c r="K180" i="1"/>
  <c r="K185" i="1"/>
  <c r="K186" i="1"/>
  <c r="K187" i="1"/>
  <c r="K189" i="1"/>
  <c r="K190" i="1"/>
  <c r="K191" i="1"/>
  <c r="K200" i="1"/>
  <c r="K216" i="1"/>
  <c r="K217" i="1"/>
  <c r="K218" i="1"/>
  <c r="K210" i="1"/>
  <c r="K219" i="1"/>
  <c r="K220" i="1"/>
  <c r="K213" i="1"/>
  <c r="K214" i="1"/>
  <c r="K215" i="1"/>
  <c r="K211" i="1"/>
  <c r="K212" i="1"/>
  <c r="K209" i="1"/>
  <c r="K224" i="1"/>
  <c r="K225" i="1"/>
  <c r="K202" i="1"/>
  <c r="K203" i="1"/>
  <c r="K204" i="1"/>
  <c r="K205" i="1"/>
  <c r="K206" i="1"/>
  <c r="K195" i="1"/>
  <c r="K207" i="1"/>
  <c r="K196" i="1"/>
  <c r="K192" i="1"/>
  <c r="K223" i="1"/>
  <c r="K201" i="1"/>
  <c r="K221" i="1"/>
  <c r="K199" i="1"/>
  <c r="K222" i="1"/>
  <c r="K197" i="1"/>
  <c r="K198" i="1"/>
  <c r="K208" i="1"/>
  <c r="K227" i="1"/>
  <c r="K228" i="1"/>
  <c r="K229" i="1"/>
  <c r="K230" i="1"/>
  <c r="K231" i="1"/>
  <c r="K232" i="1"/>
  <c r="K233" i="1"/>
  <c r="K234" i="1"/>
  <c r="K235" i="1"/>
  <c r="K236" i="1"/>
  <c r="K239" i="1"/>
  <c r="K240" i="1"/>
  <c r="K241" i="1"/>
  <c r="K242" i="1"/>
  <c r="K237" i="1"/>
  <c r="K238" i="1"/>
  <c r="K265" i="1"/>
  <c r="K243" i="1"/>
  <c r="K266" i="1"/>
  <c r="K257" i="1"/>
  <c r="K333" i="1"/>
  <c r="K331" i="1"/>
  <c r="K328" i="1"/>
  <c r="K351" i="1"/>
  <c r="K344" i="1"/>
  <c r="K312" i="1"/>
  <c r="K313" i="1"/>
  <c r="K317" i="1"/>
  <c r="K318" i="1"/>
  <c r="K321" i="1"/>
  <c r="K323" i="1"/>
  <c r="K324" i="1"/>
  <c r="K325" i="1"/>
  <c r="K326" i="1"/>
  <c r="K327" i="1"/>
  <c r="K358" i="1"/>
  <c r="K359" i="1"/>
  <c r="K356" i="1"/>
  <c r="K322" i="1"/>
  <c r="K314" i="1"/>
  <c r="K334" i="1"/>
  <c r="K337" i="1"/>
  <c r="K339" i="1"/>
  <c r="K319" i="1"/>
  <c r="K316" i="1"/>
  <c r="K320" i="1"/>
  <c r="K258" i="1"/>
  <c r="K329" i="1"/>
  <c r="K267" i="1"/>
  <c r="K278" i="1"/>
  <c r="K290" i="1"/>
  <c r="K254" i="1"/>
  <c r="K255" i="1"/>
  <c r="K244" i="1"/>
  <c r="K246" i="1"/>
  <c r="K247" i="1"/>
  <c r="K248" i="1"/>
  <c r="K226" i="1"/>
  <c r="K259" i="1"/>
  <c r="K315" i="1"/>
  <c r="K245" i="1"/>
  <c r="K303" i="1"/>
  <c r="K304" i="1"/>
  <c r="K268" i="1"/>
  <c r="K305" i="1"/>
  <c r="K306" i="1"/>
  <c r="K256" i="1"/>
  <c r="K307" i="1"/>
  <c r="K261" i="1"/>
  <c r="K262" i="1"/>
  <c r="K263" i="1"/>
  <c r="K342" i="1"/>
  <c r="K345" i="1"/>
  <c r="K346" i="1"/>
  <c r="K347" i="1"/>
  <c r="K249" i="1"/>
  <c r="K252" i="1"/>
  <c r="K251" i="1"/>
  <c r="K260" i="1"/>
  <c r="K264" i="1"/>
  <c r="K250" i="1"/>
  <c r="K253" i="1"/>
  <c r="K308" i="1"/>
  <c r="K309" i="1"/>
  <c r="K277" i="1"/>
  <c r="K310" i="1"/>
  <c r="K311" i="1"/>
  <c r="K291" i="1"/>
  <c r="K292" i="1"/>
  <c r="K293" i="1"/>
  <c r="K294" i="1"/>
  <c r="K295" i="1"/>
  <c r="K296" i="1"/>
  <c r="K297" i="1"/>
  <c r="K298" i="1"/>
  <c r="K299" i="1"/>
  <c r="K300" i="1"/>
  <c r="K301" i="1"/>
  <c r="K269" i="1"/>
  <c r="K270" i="1"/>
  <c r="K271" i="1"/>
  <c r="K272" i="1"/>
  <c r="K273" i="1"/>
  <c r="K274" i="1"/>
  <c r="K275" i="1"/>
  <c r="K276" i="1"/>
  <c r="K279" i="1"/>
  <c r="K280" i="1"/>
  <c r="K281" i="1"/>
  <c r="K282" i="1"/>
  <c r="K283" i="1"/>
  <c r="K284" i="1"/>
  <c r="K285" i="1"/>
  <c r="K286" i="1"/>
  <c r="K287" i="1"/>
  <c r="K288" i="1"/>
  <c r="K289" i="1"/>
  <c r="K302" i="1"/>
  <c r="K335" i="1"/>
  <c r="K340" i="1"/>
  <c r="K338" i="1"/>
  <c r="K336" i="1"/>
  <c r="K332" i="1"/>
  <c r="K330" i="1"/>
  <c r="K352" i="1"/>
  <c r="K348" i="1"/>
  <c r="K349" i="1"/>
  <c r="K341" i="1"/>
  <c r="K343" i="1"/>
  <c r="K350" i="1"/>
  <c r="K765" i="1"/>
  <c r="K353" i="1"/>
  <c r="K360" i="1"/>
  <c r="K354" i="1"/>
  <c r="K363" i="1"/>
  <c r="K362" i="1"/>
  <c r="K364" i="1"/>
  <c r="K612" i="1"/>
  <c r="K446" i="1"/>
  <c r="K447" i="1"/>
  <c r="K572" i="1"/>
  <c r="K622" i="1"/>
  <c r="K592" i="1"/>
  <c r="K493" i="1"/>
  <c r="K568" i="1"/>
  <c r="K606" i="1"/>
  <c r="K1597" i="1"/>
  <c r="K1598" i="1"/>
  <c r="K1599" i="1"/>
  <c r="K1600" i="1"/>
  <c r="K1601" i="1"/>
  <c r="K656" i="1"/>
  <c r="K375" i="1"/>
  <c r="K376" i="1"/>
  <c r="K377" i="1"/>
  <c r="K615" i="1"/>
  <c r="K582" i="1"/>
  <c r="K585" i="1"/>
  <c r="K587" i="1"/>
  <c r="K588" i="1"/>
  <c r="K583" i="1"/>
  <c r="K600" i="1"/>
  <c r="K596" i="1"/>
  <c r="K597" i="1"/>
  <c r="K380" i="1"/>
  <c r="K381" i="1"/>
  <c r="K589" i="1"/>
  <c r="K584" i="1"/>
  <c r="K590" i="1"/>
  <c r="K378" i="1"/>
  <c r="K382" i="1"/>
  <c r="K383" i="1"/>
  <c r="K379" i="1"/>
  <c r="K448" i="1"/>
  <c r="K598" i="1"/>
  <c r="K577" i="1"/>
  <c r="K449" i="1"/>
  <c r="K450" i="1"/>
  <c r="K477" i="1"/>
  <c r="K478" i="1"/>
  <c r="K479" i="1"/>
  <c r="K480" i="1"/>
  <c r="K481" i="1"/>
  <c r="K451" i="1"/>
  <c r="K424" i="1"/>
  <c r="K486" i="1"/>
  <c r="K607" i="1"/>
  <c r="K503" i="1"/>
  <c r="K504" i="1"/>
  <c r="K604" i="1"/>
  <c r="K373" i="1"/>
  <c r="K374" i="1"/>
  <c r="K365" i="1"/>
  <c r="K366" i="1"/>
  <c r="K367" i="1"/>
  <c r="K452" i="1"/>
  <c r="K368" i="1"/>
  <c r="K371" i="1"/>
  <c r="K372" i="1"/>
  <c r="K369" i="1"/>
  <c r="K370" i="1"/>
  <c r="K427" i="1"/>
  <c r="K428" i="1"/>
  <c r="K429" i="1"/>
  <c r="K430" i="1"/>
  <c r="K431" i="1"/>
  <c r="K432" i="1"/>
  <c r="K433" i="1"/>
  <c r="K434" i="1"/>
  <c r="K435" i="1"/>
  <c r="K436" i="1"/>
  <c r="K437" i="1"/>
  <c r="K438" i="1"/>
  <c r="K439" i="1"/>
  <c r="K440" i="1"/>
  <c r="K441" i="1"/>
  <c r="K442" i="1"/>
  <c r="K443" i="1"/>
  <c r="K444" i="1"/>
  <c r="K445" i="1"/>
  <c r="K405" i="1"/>
  <c r="K406" i="1"/>
  <c r="K407" i="1"/>
  <c r="K408" i="1"/>
  <c r="K409" i="1"/>
  <c r="K410" i="1"/>
  <c r="K411" i="1"/>
  <c r="K412" i="1"/>
  <c r="K413" i="1"/>
  <c r="K414" i="1"/>
  <c r="K415" i="1"/>
  <c r="K416" i="1"/>
  <c r="K417" i="1"/>
  <c r="K418" i="1"/>
  <c r="K419" i="1"/>
  <c r="K420" i="1"/>
  <c r="K421" i="1"/>
  <c r="K422" i="1"/>
  <c r="K423" i="1"/>
  <c r="K385" i="1"/>
  <c r="K386" i="1"/>
  <c r="K387" i="1"/>
  <c r="K388" i="1"/>
  <c r="K389" i="1"/>
  <c r="K390" i="1"/>
  <c r="K391" i="1"/>
  <c r="K392" i="1"/>
  <c r="K393" i="1"/>
  <c r="K394" i="1"/>
  <c r="K395" i="1"/>
  <c r="K396" i="1"/>
  <c r="K397" i="1"/>
  <c r="K398" i="1"/>
  <c r="K399" i="1"/>
  <c r="K400" i="1"/>
  <c r="K591" i="1"/>
  <c r="K608" i="1"/>
  <c r="K605" i="1"/>
  <c r="K505" i="1"/>
  <c r="K506" i="1"/>
  <c r="K609" i="1"/>
  <c r="K500" i="1"/>
  <c r="K494" i="1"/>
  <c r="K593" i="1"/>
  <c r="K623" i="1"/>
  <c r="K487" i="1"/>
  <c r="K425" i="1"/>
  <c r="K453" i="1"/>
  <c r="K482" i="1"/>
  <c r="K483" i="1"/>
  <c r="K484" i="1"/>
  <c r="K488" i="1"/>
  <c r="K485" i="1"/>
  <c r="K454" i="1"/>
  <c r="K455" i="1"/>
  <c r="K586" i="1"/>
  <c r="K599" i="1"/>
  <c r="K578" i="1"/>
  <c r="K456" i="1"/>
  <c r="K457" i="1"/>
  <c r="K530" i="1"/>
  <c r="K613" i="1"/>
  <c r="K657" i="1"/>
  <c r="K573" i="1"/>
  <c r="K1602" i="1"/>
  <c r="K1590" i="1"/>
  <c r="K1591" i="1"/>
  <c r="K1592" i="1"/>
  <c r="K1568" i="1"/>
  <c r="K571" i="1"/>
  <c r="K579" i="1"/>
  <c r="K458" i="1"/>
  <c r="K601" i="1"/>
  <c r="K616" i="1"/>
  <c r="K602" i="1"/>
  <c r="K603" i="1"/>
  <c r="K570" i="1"/>
  <c r="K531" i="1"/>
  <c r="K459" i="1"/>
  <c r="K551" i="1"/>
  <c r="K580" i="1"/>
  <c r="K384" i="1"/>
  <c r="K426" i="1"/>
  <c r="K401" i="1"/>
  <c r="K402" i="1"/>
  <c r="K403" i="1"/>
  <c r="K532" i="1"/>
  <c r="K509" i="1"/>
  <c r="K510" i="1"/>
  <c r="K511" i="1"/>
  <c r="K512" i="1"/>
  <c r="K513" i="1"/>
  <c r="K514" i="1"/>
  <c r="K518" i="1"/>
  <c r="K519" i="1"/>
  <c r="K520" i="1"/>
  <c r="K521" i="1"/>
  <c r="K533" i="1"/>
  <c r="K534" i="1"/>
  <c r="K535" i="1"/>
  <c r="K522" i="1"/>
  <c r="K536" i="1"/>
  <c r="K537" i="1"/>
  <c r="K538" i="1"/>
  <c r="K523" i="1"/>
  <c r="K539" i="1"/>
  <c r="K540" i="1"/>
  <c r="K515" i="1"/>
  <c r="K516" i="1"/>
  <c r="K517" i="1"/>
  <c r="K461" i="1"/>
  <c r="K462" i="1"/>
  <c r="K524" i="1"/>
  <c r="K525" i="1"/>
  <c r="K526" i="1"/>
  <c r="K527" i="1"/>
  <c r="K460" i="1"/>
  <c r="K463" i="1"/>
  <c r="K464" i="1"/>
  <c r="K541" i="1"/>
  <c r="K542" i="1"/>
  <c r="K543" i="1"/>
  <c r="K545" i="1"/>
  <c r="K544" i="1"/>
  <c r="K546" i="1"/>
  <c r="K547" i="1"/>
  <c r="K548" i="1"/>
  <c r="K404" i="1"/>
  <c r="K552" i="1"/>
  <c r="K549" i="1"/>
  <c r="K569" i="1"/>
  <c r="K553" i="1"/>
  <c r="K465" i="1"/>
  <c r="K466" i="1"/>
  <c r="K467" i="1"/>
  <c r="K496" i="1"/>
  <c r="K555" i="1"/>
  <c r="K556" i="1"/>
  <c r="K557" i="1"/>
  <c r="K558" i="1"/>
  <c r="K559" i="1"/>
  <c r="K560" i="1"/>
  <c r="K561" i="1"/>
  <c r="K554" i="1"/>
  <c r="K562" i="1"/>
  <c r="K563" i="1"/>
  <c r="K564" i="1"/>
  <c r="K594" i="1"/>
  <c r="K595" i="1"/>
  <c r="K468" i="1"/>
  <c r="K469" i="1"/>
  <c r="K499" i="1"/>
  <c r="K470" i="1"/>
  <c r="K471" i="1"/>
  <c r="K472" i="1"/>
  <c r="K473" i="1"/>
  <c r="K474" i="1"/>
  <c r="K475" i="1"/>
  <c r="K476" i="1"/>
  <c r="K675" i="1"/>
  <c r="K490" i="1"/>
  <c r="K501" i="1"/>
  <c r="K507" i="1"/>
  <c r="K528" i="1"/>
  <c r="K529" i="1"/>
  <c r="K502" i="1"/>
  <c r="K508" i="1"/>
  <c r="K497" i="1"/>
  <c r="K491" i="1"/>
  <c r="K495" i="1"/>
  <c r="K492" i="1"/>
  <c r="K498" i="1"/>
  <c r="K489" i="1"/>
  <c r="K614" i="1"/>
  <c r="K643" i="1"/>
  <c r="K647" i="1"/>
  <c r="K1565" i="1"/>
  <c r="K617" i="1"/>
  <c r="K635" i="1"/>
  <c r="K636" i="1"/>
  <c r="K637" i="1"/>
  <c r="K644" i="1"/>
  <c r="K645" i="1"/>
  <c r="K642" i="1"/>
  <c r="K648" i="1"/>
  <c r="K649" i="1"/>
  <c r="K650" i="1"/>
  <c r="K646" i="1"/>
  <c r="K651" i="1"/>
  <c r="K658" i="1"/>
  <c r="K618" i="1"/>
  <c r="K641" i="1"/>
  <c r="K638" i="1"/>
  <c r="K639" i="1"/>
  <c r="K652" i="1"/>
  <c r="K655" i="1"/>
  <c r="K669" i="1"/>
  <c r="K630" i="1"/>
  <c r="K625" i="1"/>
  <c r="K626" i="1"/>
  <c r="K619" i="1"/>
  <c r="K627" i="1"/>
  <c r="K628" i="1"/>
  <c r="K629" i="1"/>
  <c r="K631" i="1"/>
  <c r="K624" i="1"/>
  <c r="K632" i="1"/>
  <c r="K633" i="1"/>
  <c r="K634" i="1"/>
  <c r="K620" i="1"/>
  <c r="K621" i="1"/>
  <c r="K640" i="1"/>
  <c r="K653" i="1"/>
  <c r="K1559" i="1"/>
  <c r="K1517" i="1"/>
  <c r="K661" i="1"/>
  <c r="K662" i="1"/>
  <c r="K659" i="1"/>
  <c r="K660" i="1"/>
  <c r="K671" i="1"/>
  <c r="K670" i="1"/>
  <c r="K674" i="1"/>
  <c r="K673" i="1"/>
  <c r="K672" i="1"/>
  <c r="K668" i="1"/>
  <c r="K666" i="1"/>
  <c r="K667" i="1"/>
  <c r="K676" i="1"/>
  <c r="K677" i="1"/>
  <c r="K691" i="1"/>
  <c r="K692" i="1"/>
  <c r="K699" i="1"/>
  <c r="K701" i="1"/>
  <c r="K702" i="1"/>
  <c r="K678" i="1"/>
  <c r="K700" i="1"/>
  <c r="K751" i="1"/>
  <c r="K752" i="1"/>
  <c r="K746" i="1"/>
  <c r="K1243" i="1"/>
  <c r="K1244" i="1"/>
  <c r="K1514" i="1"/>
  <c r="K1512" i="1"/>
  <c r="K711" i="1"/>
  <c r="K740" i="1"/>
  <c r="K731" i="1"/>
  <c r="K732" i="1"/>
  <c r="K733" i="1"/>
  <c r="K734" i="1"/>
  <c r="K735" i="1"/>
  <c r="K736" i="1"/>
  <c r="K737" i="1"/>
  <c r="K738" i="1"/>
  <c r="K739" i="1"/>
  <c r="K720" i="1"/>
  <c r="K721" i="1"/>
  <c r="K722" i="1"/>
  <c r="K723" i="1"/>
  <c r="K724" i="1"/>
  <c r="K725" i="1"/>
  <c r="K726" i="1"/>
  <c r="K727" i="1"/>
  <c r="K712" i="1"/>
  <c r="K713" i="1"/>
  <c r="K714" i="1"/>
  <c r="K728" i="1"/>
  <c r="K776" i="1"/>
  <c r="K729" i="1"/>
  <c r="K745" i="1"/>
  <c r="K743" i="1"/>
  <c r="K771" i="1"/>
  <c r="K772" i="1"/>
  <c r="K766" i="1"/>
  <c r="K688" i="1"/>
  <c r="K689" i="1"/>
  <c r="K715" i="1"/>
  <c r="K716" i="1"/>
  <c r="K717" i="1"/>
  <c r="K703" i="1"/>
  <c r="K761" i="1"/>
  <c r="K763" i="1"/>
  <c r="K679" i="1"/>
  <c r="K680" i="1"/>
  <c r="K681" i="1"/>
  <c r="K682" i="1"/>
  <c r="K683" i="1"/>
  <c r="K1510" i="1"/>
  <c r="K718" i="1"/>
  <c r="K719" i="1"/>
  <c r="K704" i="1"/>
  <c r="K762" i="1"/>
  <c r="K759" i="1"/>
  <c r="K769" i="1"/>
  <c r="K774" i="1"/>
  <c r="K775" i="1"/>
  <c r="K730" i="1"/>
  <c r="K777" i="1"/>
  <c r="K754" i="1"/>
  <c r="K685" i="1"/>
  <c r="K710" i="1"/>
  <c r="K696" i="1"/>
  <c r="K697" i="1"/>
  <c r="K698" i="1"/>
  <c r="K686" i="1"/>
  <c r="K687" i="1"/>
  <c r="K693" i="1"/>
  <c r="K1511" i="1"/>
  <c r="K1436" i="1"/>
  <c r="K690" i="1"/>
  <c r="K694" i="1"/>
  <c r="K753" i="1"/>
  <c r="K747" i="1"/>
  <c r="K748" i="1"/>
  <c r="K749" i="1"/>
  <c r="K750" i="1"/>
  <c r="K695" i="1"/>
  <c r="K706" i="1"/>
  <c r="K707" i="1"/>
  <c r="K705" i="1"/>
  <c r="K770" i="1"/>
  <c r="K767" i="1"/>
  <c r="K760" i="1"/>
  <c r="K755" i="1"/>
  <c r="K764" i="1"/>
  <c r="K756" i="1"/>
  <c r="K744" i="1"/>
  <c r="K773" i="1"/>
  <c r="K768" i="1"/>
  <c r="K1426" i="1"/>
  <c r="K1414" i="1"/>
  <c r="K778" i="1"/>
  <c r="K779" i="1"/>
  <c r="K792" i="1"/>
  <c r="K793" i="1"/>
  <c r="K794" i="1"/>
  <c r="K795" i="1"/>
  <c r="K796" i="1"/>
  <c r="K797" i="1"/>
  <c r="K798" i="1"/>
  <c r="K799" i="1"/>
  <c r="K800" i="1"/>
  <c r="K801" i="1"/>
  <c r="K781" i="1"/>
  <c r="K782" i="1"/>
  <c r="K783" i="1"/>
  <c r="K784" i="1"/>
  <c r="K785" i="1"/>
  <c r="K786" i="1"/>
  <c r="K787" i="1"/>
  <c r="K788" i="1"/>
  <c r="K789" i="1"/>
  <c r="K790" i="1"/>
  <c r="K791" i="1"/>
  <c r="K802" i="1"/>
  <c r="K804" i="1"/>
  <c r="K807" i="1"/>
  <c r="K863" i="1"/>
  <c r="K834" i="1"/>
  <c r="K814" i="1"/>
  <c r="K811" i="1"/>
  <c r="K803" i="1"/>
  <c r="K805" i="1"/>
  <c r="K806" i="1"/>
  <c r="K864" i="1"/>
  <c r="K850" i="1"/>
  <c r="K808" i="1"/>
  <c r="K809" i="1"/>
  <c r="K822" i="1"/>
  <c r="K818" i="1"/>
  <c r="K819" i="1"/>
  <c r="K820" i="1"/>
  <c r="K815" i="1"/>
  <c r="K816" i="1"/>
  <c r="K817" i="1"/>
  <c r="K821" i="1"/>
  <c r="K812" i="1"/>
  <c r="K813" i="1"/>
  <c r="K810" i="1"/>
  <c r="K851" i="1"/>
  <c r="K872" i="1"/>
  <c r="K835" i="1"/>
  <c r="K848" i="1"/>
  <c r="K849" i="1"/>
  <c r="K869" i="1"/>
  <c r="K870" i="1"/>
  <c r="K894" i="1"/>
  <c r="K884" i="1"/>
  <c r="K823" i="1"/>
  <c r="K824" i="1"/>
  <c r="K825" i="1"/>
  <c r="K826" i="1"/>
  <c r="K827" i="1"/>
  <c r="K828" i="1"/>
  <c r="K829" i="1"/>
  <c r="K830" i="1"/>
  <c r="K831" i="1"/>
  <c r="K832" i="1"/>
  <c r="K833" i="1"/>
  <c r="K852" i="1"/>
  <c r="K853" i="1"/>
  <c r="K854" i="1"/>
  <c r="K855" i="1"/>
  <c r="K856" i="1"/>
  <c r="K857" i="1"/>
  <c r="K858" i="1"/>
  <c r="K859" i="1"/>
  <c r="K860" i="1"/>
  <c r="K861" i="1"/>
  <c r="K862" i="1"/>
  <c r="K836" i="1"/>
  <c r="K837" i="1"/>
  <c r="K838" i="1"/>
  <c r="K839" i="1"/>
  <c r="K840" i="1"/>
  <c r="K841" i="1"/>
  <c r="K842" i="1"/>
  <c r="K843" i="1"/>
  <c r="K844" i="1"/>
  <c r="K845" i="1"/>
  <c r="K846" i="1"/>
  <c r="K885" i="1"/>
  <c r="K886" i="1"/>
  <c r="K847" i="1"/>
  <c r="K871" i="1"/>
  <c r="K865" i="1"/>
  <c r="K866" i="1"/>
  <c r="K867" i="1"/>
  <c r="K873" i="1"/>
  <c r="K874" i="1"/>
  <c r="K875" i="1"/>
  <c r="K876" i="1"/>
  <c r="K877" i="1"/>
  <c r="K878" i="1"/>
  <c r="K879" i="1"/>
  <c r="K880" i="1"/>
  <c r="K881" i="1"/>
  <c r="K882" i="1"/>
  <c r="K887" i="1"/>
  <c r="K888" i="1"/>
  <c r="K889" i="1"/>
  <c r="K890" i="1"/>
  <c r="K891" i="1"/>
  <c r="K892" i="1"/>
  <c r="K893" i="1"/>
  <c r="K883" i="1"/>
  <c r="K895" i="1"/>
  <c r="K896" i="1"/>
  <c r="K897" i="1"/>
  <c r="K898" i="1"/>
  <c r="K899" i="1"/>
  <c r="K900" i="1"/>
  <c r="K901" i="1"/>
  <c r="K902" i="1"/>
  <c r="K903" i="1"/>
  <c r="K904" i="1"/>
  <c r="K905" i="1"/>
  <c r="K924" i="1"/>
  <c r="K925" i="1"/>
  <c r="K917" i="1"/>
  <c r="K906" i="1"/>
  <c r="K907" i="1"/>
  <c r="K908" i="1"/>
  <c r="K909" i="1"/>
  <c r="K910" i="1"/>
  <c r="K911" i="1"/>
  <c r="K912" i="1"/>
  <c r="K913" i="1"/>
  <c r="K914" i="1"/>
  <c r="K915" i="1"/>
  <c r="K916" i="1"/>
  <c r="K926" i="1"/>
  <c r="K941" i="1"/>
  <c r="K940" i="1"/>
  <c r="K942" i="1"/>
  <c r="K927" i="1"/>
  <c r="K928" i="1"/>
  <c r="K929" i="1"/>
  <c r="K921" i="1"/>
  <c r="K922" i="1"/>
  <c r="K933" i="1"/>
  <c r="K934" i="1"/>
  <c r="K935" i="1"/>
  <c r="K936" i="1"/>
  <c r="K930" i="1"/>
  <c r="K931" i="1"/>
  <c r="K918" i="1"/>
  <c r="K919" i="1"/>
  <c r="K937" i="1"/>
  <c r="K938" i="1"/>
  <c r="K939" i="1"/>
  <c r="K920" i="1"/>
  <c r="K932" i="1"/>
  <c r="K943" i="1"/>
  <c r="K944" i="1"/>
  <c r="K945" i="1"/>
  <c r="K946" i="1"/>
  <c r="K947" i="1"/>
  <c r="K948" i="1"/>
  <c r="K1216" i="1"/>
  <c r="K967" i="1"/>
  <c r="K968" i="1"/>
  <c r="K971" i="1"/>
  <c r="K975" i="1"/>
  <c r="K969" i="1"/>
  <c r="K972" i="1"/>
  <c r="K973" i="1"/>
  <c r="K974" i="1"/>
  <c r="K976" i="1"/>
  <c r="K977" i="1"/>
  <c r="K979" i="1"/>
  <c r="K980" i="1"/>
  <c r="K981" i="1"/>
  <c r="K982" i="1"/>
  <c r="K978" i="1"/>
  <c r="K983" i="1"/>
  <c r="K984" i="1"/>
  <c r="K1016" i="1"/>
  <c r="K985" i="1"/>
  <c r="K1217" i="1"/>
  <c r="K999" i="1"/>
  <c r="K958" i="1"/>
  <c r="K959" i="1"/>
  <c r="K960" i="1"/>
  <c r="K961" i="1"/>
  <c r="K962" i="1"/>
  <c r="K963" i="1"/>
  <c r="K964" i="1"/>
  <c r="K965" i="1"/>
  <c r="K949" i="1"/>
  <c r="K950" i="1"/>
  <c r="K951" i="1"/>
  <c r="K952" i="1"/>
  <c r="K953" i="1"/>
  <c r="K954" i="1"/>
  <c r="K955" i="1"/>
  <c r="K956" i="1"/>
  <c r="K957" i="1"/>
  <c r="K986" i="1"/>
  <c r="K987" i="1"/>
  <c r="K988" i="1"/>
  <c r="K989" i="1"/>
  <c r="K990" i="1"/>
  <c r="K991" i="1"/>
  <c r="K992" i="1"/>
  <c r="K993" i="1"/>
  <c r="K1000" i="1"/>
  <c r="K994" i="1"/>
  <c r="K995" i="1"/>
  <c r="K996" i="1"/>
  <c r="K997" i="1"/>
  <c r="K998" i="1"/>
  <c r="K1075" i="1"/>
  <c r="K1001" i="1"/>
  <c r="K1002" i="1"/>
  <c r="K1003" i="1"/>
  <c r="K1008" i="1"/>
  <c r="K1009" i="1"/>
  <c r="K1010" i="1"/>
  <c r="K1026" i="1"/>
  <c r="K1027" i="1"/>
  <c r="K1028" i="1"/>
  <c r="K1029" i="1"/>
  <c r="K1030" i="1"/>
  <c r="K1004" i="1"/>
  <c r="K1005" i="1"/>
  <c r="K1006" i="1"/>
  <c r="K1021" i="1"/>
  <c r="K1081" i="1"/>
  <c r="K1014" i="1"/>
  <c r="K1024" i="1"/>
  <c r="K1042" i="1"/>
  <c r="K1043" i="1"/>
  <c r="K1012" i="1"/>
  <c r="K1013" i="1"/>
  <c r="K1022" i="1"/>
  <c r="K1023" i="1"/>
  <c r="K1017" i="1"/>
  <c r="K1025" i="1"/>
  <c r="K1018" i="1"/>
  <c r="K1015" i="1"/>
  <c r="K1019" i="1"/>
  <c r="K1082" i="1"/>
  <c r="K1076" i="1"/>
  <c r="K1044" i="1"/>
  <c r="K1077" i="1"/>
  <c r="K1078" i="1"/>
  <c r="K1050" i="1"/>
  <c r="K1051" i="1"/>
  <c r="K1052" i="1"/>
  <c r="K1046" i="1"/>
  <c r="K1053" i="1"/>
  <c r="K1047" i="1"/>
  <c r="K1048" i="1"/>
  <c r="K1054" i="1"/>
  <c r="K1056" i="1"/>
  <c r="K1031" i="1"/>
  <c r="K1032" i="1"/>
  <c r="K1033" i="1"/>
  <c r="K1034" i="1"/>
  <c r="K1035" i="1"/>
  <c r="K1036" i="1"/>
  <c r="K1037" i="1"/>
  <c r="K1038" i="1"/>
  <c r="K1039" i="1"/>
  <c r="K1040" i="1"/>
  <c r="K1041" i="1"/>
  <c r="K1049" i="1"/>
  <c r="K1111" i="1"/>
  <c r="K1112" i="1"/>
  <c r="K1116" i="1"/>
  <c r="K1117" i="1"/>
  <c r="K1118" i="1"/>
  <c r="K1119" i="1"/>
  <c r="K1120" i="1"/>
  <c r="K1121" i="1"/>
  <c r="K1122" i="1"/>
  <c r="K1123" i="1"/>
  <c r="K1126" i="1"/>
  <c r="K1127" i="1"/>
  <c r="K1128" i="1"/>
  <c r="K1129" i="1"/>
  <c r="K1130" i="1"/>
  <c r="K1131" i="1"/>
  <c r="K1132" i="1"/>
  <c r="K1133" i="1"/>
  <c r="K1134" i="1"/>
  <c r="K1160" i="1"/>
  <c r="K1161" i="1"/>
  <c r="K1162" i="1"/>
  <c r="K1153" i="1"/>
  <c r="K1154" i="1"/>
  <c r="K1167" i="1"/>
  <c r="K1168" i="1"/>
  <c r="K1173" i="1"/>
  <c r="K1174" i="1"/>
  <c r="K1175" i="1"/>
  <c r="K1176" i="1"/>
  <c r="K1177" i="1"/>
  <c r="K1178" i="1"/>
  <c r="K1179" i="1"/>
  <c r="K1180" i="1"/>
  <c r="K1181" i="1"/>
  <c r="K1182" i="1"/>
  <c r="K1183" i="1"/>
  <c r="K1185" i="1"/>
  <c r="K1186" i="1"/>
  <c r="K1187" i="1"/>
  <c r="K1188" i="1"/>
  <c r="K1189" i="1"/>
  <c r="K1190" i="1"/>
  <c r="K1191" i="1"/>
  <c r="K1192" i="1"/>
  <c r="K1193" i="1"/>
  <c r="K1194" i="1"/>
  <c r="K1196" i="1"/>
  <c r="K1197" i="1"/>
  <c r="K1198" i="1"/>
  <c r="K1199" i="1"/>
  <c r="K1200" i="1"/>
  <c r="K1204" i="1"/>
  <c r="K1205" i="1"/>
  <c r="K1206" i="1"/>
  <c r="K1207" i="1"/>
  <c r="K1208" i="1"/>
  <c r="K1215" i="1"/>
  <c r="K1255" i="1"/>
  <c r="K1256" i="1"/>
  <c r="K1257" i="1"/>
  <c r="K1276" i="1"/>
  <c r="K1057" i="1"/>
  <c r="K1083" i="1"/>
  <c r="K1084" i="1"/>
  <c r="K1066" i="1"/>
  <c r="K1067" i="1"/>
  <c r="K1062" i="1"/>
  <c r="K1064" i="1"/>
  <c r="K1068" i="1"/>
  <c r="K1069" i="1"/>
  <c r="K1070" i="1"/>
  <c r="K1071" i="1"/>
  <c r="K1072" i="1"/>
  <c r="K1065" i="1"/>
  <c r="K1060" i="1"/>
  <c r="K1061" i="1"/>
  <c r="K1058" i="1"/>
  <c r="K1059" i="1"/>
  <c r="K1055" i="1"/>
  <c r="K1073" i="1"/>
  <c r="K1277" i="1"/>
  <c r="K1278" i="1"/>
  <c r="K1258" i="1"/>
  <c r="K1259" i="1"/>
  <c r="K1260" i="1"/>
  <c r="K1359" i="1"/>
  <c r="K1379" i="1"/>
  <c r="K1364" i="1"/>
  <c r="K1368" i="1"/>
  <c r="K1356" i="1"/>
  <c r="K1353" i="1"/>
  <c r="K1362" i="1"/>
  <c r="K1360" i="1"/>
  <c r="K1365" i="1"/>
  <c r="K1354" i="1"/>
  <c r="K1355" i="1"/>
  <c r="K1380" i="1"/>
  <c r="K1373" i="1"/>
  <c r="K1357" i="1"/>
  <c r="K1358" i="1"/>
  <c r="K1366" i="1"/>
  <c r="K1350" i="1"/>
  <c r="K1381" i="1"/>
  <c r="K1361" i="1"/>
  <c r="K1363" i="1"/>
  <c r="K1382" i="1"/>
  <c r="K1369" i="1"/>
  <c r="K1374" i="1"/>
  <c r="K1299" i="1"/>
  <c r="K1377" i="1"/>
  <c r="K1375" i="1"/>
  <c r="K1376" i="1"/>
  <c r="K1370" i="1"/>
  <c r="K1371" i="1"/>
  <c r="K1335" i="1"/>
  <c r="K1336" i="1"/>
  <c r="K1332" i="1"/>
  <c r="K1340" i="1"/>
  <c r="K1337" i="1"/>
  <c r="K1344" i="1"/>
  <c r="K1383" i="1"/>
  <c r="K1395" i="1"/>
  <c r="K1410" i="1"/>
  <c r="K1396" i="1"/>
  <c r="K1411" i="1"/>
  <c r="K1385" i="1"/>
  <c r="K1397" i="1"/>
  <c r="K1386" i="1"/>
  <c r="K1398" i="1"/>
  <c r="K1408" i="1"/>
  <c r="K1384" i="1"/>
  <c r="K1406" i="1"/>
  <c r="K1387" i="1"/>
  <c r="K1391" i="1"/>
  <c r="K1407" i="1"/>
  <c r="K1469" i="1"/>
  <c r="K1470" i="1"/>
  <c r="K1471" i="1"/>
  <c r="K1472" i="1"/>
  <c r="K1220" i="1"/>
  <c r="K1326" i="1"/>
  <c r="K1347" i="1"/>
  <c r="K1647" i="1"/>
  <c r="K1648" i="1"/>
  <c r="K1649" i="1"/>
  <c r="K1707" i="1"/>
  <c r="K1708" i="1"/>
  <c r="K1473" i="1"/>
  <c r="K1474" i="1"/>
  <c r="K1463" i="1"/>
  <c r="K1464" i="1"/>
  <c r="K1465" i="1"/>
  <c r="K1466" i="1"/>
  <c r="K1467" i="1"/>
  <c r="K1444" i="1"/>
  <c r="K1437" i="1"/>
  <c r="K1438" i="1"/>
  <c r="K1439" i="1"/>
  <c r="K1445" i="1"/>
  <c r="K1440" i="1"/>
  <c r="K1441" i="1"/>
  <c r="K1442" i="1"/>
  <c r="K1443" i="1"/>
  <c r="K1446" i="1"/>
  <c r="K1632" i="1"/>
  <c r="K1633" i="1"/>
  <c r="K1634" i="1"/>
  <c r="K1635" i="1"/>
  <c r="K1642" i="1"/>
  <c r="K1643" i="1"/>
  <c r="K1644" i="1"/>
  <c r="K1645" i="1"/>
  <c r="K1646" i="1"/>
  <c r="K1636" i="1"/>
  <c r="K1637" i="1"/>
  <c r="K1638" i="1"/>
  <c r="K1639" i="1"/>
  <c r="K1640" i="1"/>
  <c r="K1641" i="1"/>
  <c r="K1656" i="1"/>
  <c r="K1657" i="1"/>
  <c r="K1658" i="1"/>
  <c r="K1659" i="1"/>
  <c r="K1660" i="1"/>
  <c r="K1661" i="1"/>
  <c r="K1662" i="1"/>
  <c r="K1653" i="1"/>
  <c r="K1654" i="1"/>
  <c r="K1655" i="1"/>
  <c r="K1665" i="1"/>
  <c r="K1671" i="1"/>
  <c r="K1680" i="1"/>
  <c r="K1681" i="1"/>
  <c r="K1682" i="1"/>
  <c r="K1683" i="1"/>
  <c r="K1684" i="1"/>
  <c r="K1685" i="1"/>
  <c r="K1686" i="1"/>
  <c r="K1687" i="1"/>
  <c r="K1688" i="1"/>
  <c r="K1689" i="1"/>
  <c r="K1690" i="1"/>
  <c r="K1691" i="1"/>
  <c r="K1692" i="1"/>
  <c r="K1693" i="1"/>
  <c r="K1694" i="1"/>
  <c r="K1695" i="1"/>
  <c r="K1697" i="1"/>
  <c r="K1698" i="1"/>
  <c r="K1699" i="1"/>
  <c r="K1696" i="1"/>
  <c r="K1700" i="1"/>
  <c r="K1701" i="1"/>
  <c r="K1702" i="1"/>
  <c r="K1703" i="1"/>
  <c r="K1704" i="1"/>
  <c r="K1705" i="1"/>
  <c r="K1706" i="1"/>
  <c r="K1079" i="1"/>
  <c r="K1085" i="1"/>
  <c r="K1080" i="1"/>
  <c r="K1074" i="1"/>
  <c r="K1063" i="1"/>
  <c r="K1045" i="1"/>
  <c r="K1020" i="1"/>
  <c r="K1011" i="1"/>
  <c r="K1007" i="1"/>
  <c r="K970" i="1"/>
  <c r="K966" i="1"/>
  <c r="K923" i="1"/>
  <c r="K868" i="1"/>
  <c r="K780" i="1"/>
  <c r="K757" i="1"/>
  <c r="K758" i="1"/>
  <c r="K741" i="1"/>
  <c r="K742" i="1"/>
  <c r="K708" i="1"/>
  <c r="K709" i="1"/>
  <c r="K684" i="1"/>
  <c r="K663" i="1"/>
  <c r="K664" i="1"/>
  <c r="K665" i="1"/>
  <c r="K654" i="1"/>
  <c r="K610" i="1"/>
  <c r="K611" i="1"/>
  <c r="K581" i="1"/>
  <c r="K576" i="1"/>
  <c r="K574" i="1"/>
  <c r="K575" i="1"/>
  <c r="K565" i="1"/>
  <c r="K566" i="1"/>
  <c r="K567" i="1"/>
  <c r="K550" i="1"/>
  <c r="K188" i="1"/>
  <c r="K172" i="1"/>
  <c r="K167" i="1"/>
  <c r="K108" i="1"/>
  <c r="K69" i="1"/>
  <c r="K48" i="1"/>
  <c r="K24" i="1"/>
  <c r="K122" i="1"/>
  <c r="K1261" i="1"/>
  <c r="K1262" i="1"/>
  <c r="K1263" i="1"/>
  <c r="K1264" i="1"/>
  <c r="K1265" i="1"/>
  <c r="K1266" i="1"/>
  <c r="K1267" i="1"/>
  <c r="K1268" i="1"/>
  <c r="K1252" i="1"/>
  <c r="K1246" i="1"/>
  <c r="K1247" i="1"/>
  <c r="K1248" i="1"/>
  <c r="K1249" i="1"/>
  <c r="K1124" i="1"/>
  <c r="K1098" i="1"/>
  <c r="K1300" i="1"/>
  <c r="K1282" i="1"/>
  <c r="K1283" i="1"/>
  <c r="K1549" i="1"/>
  <c r="K1091" i="1"/>
  <c r="K1092" i="1"/>
  <c r="K1096" i="1"/>
  <c r="K1097" i="1"/>
  <c r="K1201" i="1"/>
  <c r="K1218" i="1"/>
  <c r="K1235" i="1"/>
  <c r="K1236" i="1"/>
  <c r="K1237" i="1"/>
  <c r="K1238" i="1"/>
  <c r="K1239" i="1"/>
  <c r="K1240" i="1"/>
  <c r="K1088" i="1"/>
  <c r="K1086" i="1"/>
  <c r="K1114" i="1"/>
  <c r="K1304" i="1"/>
  <c r="K1251" i="1"/>
  <c r="K1323" i="1"/>
  <c r="K1334" i="1"/>
  <c r="K1351" i="1"/>
  <c r="K1372" i="1"/>
  <c r="K1420" i="1"/>
  <c r="K1449" i="1"/>
  <c r="K1460" i="1"/>
  <c r="K1519" i="1"/>
  <c r="K1518" i="1"/>
  <c r="K1497" i="1"/>
  <c r="K1496" i="1"/>
  <c r="K1486" i="1"/>
  <c r="K1482" i="1"/>
  <c r="K1561" i="1"/>
  <c r="K1620" i="1"/>
  <c r="K1623" i="1"/>
  <c r="K1624" i="1"/>
  <c r="K1625" i="1"/>
  <c r="K1627" i="1"/>
  <c r="K1628" i="1"/>
  <c r="K1583" i="1"/>
  <c r="K1669" i="1"/>
  <c r="K1652" i="1"/>
  <c r="K1672" i="1"/>
  <c r="K1089" i="1"/>
  <c r="K1087" i="1"/>
  <c r="K1090" i="1"/>
  <c r="K1673" i="1"/>
  <c r="K1674" i="1"/>
  <c r="K1675" i="1"/>
  <c r="K1676" i="1"/>
  <c r="K1677" i="1"/>
  <c r="K1678" i="1"/>
  <c r="K1679" i="1"/>
  <c r="K1709" i="1"/>
  <c r="K1141" i="1"/>
  <c r="K1142" i="1"/>
  <c r="K1143" i="1"/>
  <c r="K1271" i="1"/>
  <c r="K1286" i="1"/>
  <c r="K1415" i="1"/>
  <c r="K1422" i="1"/>
  <c r="K1423" i="1"/>
  <c r="K1424" i="1"/>
  <c r="K1427" i="1"/>
  <c r="K1500" i="1"/>
  <c r="K1534" i="1"/>
  <c r="K1525" i="1"/>
  <c r="K1528" i="1"/>
  <c r="K1531" i="1"/>
  <c r="K1532" i="1"/>
  <c r="K1539" i="1"/>
  <c r="K1540" i="1"/>
  <c r="K1541" i="1"/>
  <c r="K1550" i="1"/>
  <c r="K1551" i="1"/>
  <c r="K1552" i="1"/>
  <c r="K1556" i="1"/>
  <c r="K1577" i="1"/>
  <c r="K1579" i="1"/>
  <c r="K1606" i="1"/>
  <c r="K1616" i="1"/>
  <c r="K1621" i="1"/>
  <c r="K1115" i="1"/>
  <c r="K1103" i="1"/>
  <c r="K1113" i="1"/>
  <c r="K1135" i="1"/>
  <c r="K1136" i="1"/>
  <c r="K1137" i="1"/>
  <c r="K1144" i="1"/>
  <c r="K1148" i="1"/>
  <c r="K1151" i="1"/>
  <c r="K1348" i="1"/>
  <c r="K1171" i="1"/>
  <c r="K1093" i="1"/>
  <c r="K1094" i="1"/>
  <c r="K1095" i="1"/>
  <c r="K1099" i="1"/>
  <c r="K1184" i="1"/>
  <c r="K1202" i="1"/>
  <c r="K1233" i="1"/>
  <c r="K1231" i="1"/>
  <c r="K1245" i="1"/>
  <c r="K1250" i="1"/>
  <c r="K1378" i="1"/>
  <c r="K1589" i="1"/>
  <c r="K1614" i="1"/>
  <c r="K1615" i="1"/>
  <c r="K1567" i="1"/>
  <c r="K1569" i="1"/>
  <c r="K1570" i="1"/>
  <c r="K1571" i="1"/>
  <c r="K1572" i="1"/>
  <c r="K1573" i="1"/>
  <c r="K1574" i="1"/>
  <c r="K1612" i="1"/>
  <c r="K1585" i="1"/>
  <c r="K1603" i="1"/>
  <c r="K1604" i="1"/>
  <c r="K1605" i="1"/>
  <c r="K1102" i="1"/>
  <c r="K1104" i="1"/>
  <c r="K1145" i="1"/>
  <c r="K1146" i="1"/>
  <c r="K1155" i="1"/>
  <c r="K1166" i="1"/>
  <c r="K1203" i="1"/>
  <c r="K1209" i="1"/>
  <c r="K1210" i="1"/>
  <c r="K1232" i="1"/>
  <c r="K1227" i="1"/>
  <c r="K1228" i="1"/>
  <c r="K1225" i="1"/>
  <c r="K1226" i="1"/>
  <c r="K1229" i="1"/>
  <c r="K1211" i="1"/>
  <c r="K1213" i="1"/>
  <c r="K1212" i="1"/>
  <c r="K1253" i="1"/>
  <c r="K1270" i="1"/>
  <c r="K1279" i="1"/>
  <c r="K1307" i="1"/>
  <c r="K1308" i="1"/>
  <c r="K1287" i="1"/>
  <c r="K1309" i="1"/>
  <c r="K1310" i="1"/>
  <c r="K1315" i="1"/>
  <c r="K1316" i="1"/>
  <c r="K1352" i="1"/>
  <c r="K1327" i="1"/>
  <c r="K1328" i="1"/>
  <c r="K1330" i="1"/>
  <c r="K1339" i="1"/>
  <c r="K1392" i="1"/>
  <c r="K1393" i="1"/>
  <c r="K1461" i="1"/>
  <c r="K1477" i="1"/>
  <c r="K1456" i="1"/>
  <c r="K1457" i="1"/>
  <c r="K1458" i="1"/>
  <c r="K1450" i="1"/>
  <c r="K1451" i="1"/>
  <c r="K1447" i="1"/>
  <c r="K1448" i="1"/>
  <c r="K1434" i="1"/>
  <c r="K1432" i="1"/>
  <c r="K1501" i="1"/>
  <c r="K1502" i="1"/>
  <c r="K1498" i="1"/>
  <c r="K1499" i="1"/>
  <c r="K1481" i="1"/>
  <c r="K1493" i="1"/>
  <c r="K1494" i="1"/>
  <c r="K1495" i="1"/>
  <c r="K1491" i="1"/>
  <c r="K1492" i="1"/>
  <c r="K1484" i="1"/>
  <c r="K1483" i="1"/>
  <c r="K1480" i="1"/>
  <c r="K1535" i="1"/>
  <c r="K1536" i="1"/>
  <c r="K1537" i="1"/>
  <c r="K1538" i="1"/>
  <c r="K1542" i="1"/>
  <c r="K1543" i="1"/>
  <c r="K1526" i="1"/>
  <c r="K1527" i="1"/>
  <c r="K1530" i="1"/>
  <c r="K1523" i="1"/>
  <c r="K1521" i="1"/>
  <c r="K1546" i="1"/>
  <c r="K1553" i="1"/>
  <c r="K1554" i="1"/>
  <c r="K1548" i="1"/>
  <c r="K1562" i="1"/>
  <c r="K1563" i="1"/>
  <c r="K1564" i="1"/>
  <c r="K1586" i="1"/>
  <c r="K1607" i="1"/>
  <c r="K1613" i="1"/>
  <c r="K1650" i="1"/>
  <c r="K1106" i="1"/>
  <c r="K1107" i="1"/>
  <c r="K1125" i="1"/>
  <c r="K1152" i="1"/>
  <c r="K1234" i="1"/>
  <c r="K1292" i="1"/>
  <c r="K1288" i="1"/>
  <c r="K1321" i="1"/>
  <c r="K1295" i="1"/>
  <c r="K1416" i="1"/>
  <c r="K1425" i="1"/>
  <c r="K1545" i="1"/>
  <c r="K1608" i="1"/>
  <c r="K1609" i="1"/>
  <c r="K1631" i="1"/>
  <c r="K1629" i="1"/>
  <c r="K1663" i="1"/>
  <c r="K1666" i="1"/>
  <c r="K1667" i="1"/>
  <c r="K1664" i="1"/>
  <c r="K1670" i="1"/>
  <c r="K1489" i="1"/>
  <c r="K1490" i="1"/>
  <c r="K1503" i="1"/>
  <c r="K1504" i="1"/>
  <c r="K1485" i="1"/>
  <c r="K1487" i="1"/>
  <c r="K1488" i="1"/>
  <c r="K1429" i="1"/>
  <c r="K1454" i="1"/>
  <c r="K1455" i="1"/>
  <c r="K1478" i="1"/>
  <c r="K1479" i="1"/>
  <c r="K1475" i="1"/>
  <c r="K1476" i="1"/>
  <c r="K1462" i="1"/>
  <c r="K1468" i="1"/>
  <c r="K1452" i="1"/>
  <c r="K1412" i="1"/>
  <c r="K1400" i="1"/>
  <c r="K1401" i="1"/>
  <c r="K1402" i="1"/>
  <c r="K1403" i="1"/>
  <c r="K1404" i="1"/>
  <c r="K1405" i="1"/>
  <c r="K1345" i="1"/>
  <c r="K1346" i="1"/>
  <c r="K1341" i="1"/>
  <c r="K1284" i="1"/>
  <c r="K1272" i="1"/>
  <c r="K1273" i="1"/>
  <c r="K1221" i="1"/>
  <c r="K1222" i="1"/>
  <c r="K1230" i="1"/>
  <c r="K1172" i="1"/>
  <c r="K1169" i="1"/>
  <c r="K1157" i="1"/>
  <c r="K1711" i="1"/>
  <c r="K1712" i="1"/>
  <c r="K1668" i="1"/>
  <c r="K1651" i="1"/>
  <c r="K1710" i="1"/>
  <c r="K1619" i="1"/>
  <c r="K1630" i="1"/>
  <c r="K1622" i="1"/>
  <c r="K1626" i="1"/>
  <c r="K1522" i="1"/>
  <c r="K1508" i="1"/>
  <c r="K1513" i="1"/>
  <c r="K1520" i="1"/>
  <c r="K1433" i="1"/>
  <c r="K1431" i="1"/>
  <c r="K1428" i="1"/>
  <c r="K1417" i="1"/>
  <c r="K1394" i="1"/>
  <c r="K1342" i="1"/>
  <c r="K1324" i="1"/>
  <c r="K1325" i="1"/>
  <c r="K1289" i="1"/>
  <c r="K1296" i="1"/>
  <c r="K1293" i="1"/>
  <c r="K1285" i="1"/>
  <c r="K1274" i="1"/>
  <c r="K1269" i="1"/>
  <c r="K1223" i="1"/>
  <c r="K1108" i="1"/>
  <c r="K1147" i="1"/>
  <c r="K1100" i="1"/>
  <c r="K1105" i="1"/>
  <c r="K1101" i="1"/>
  <c r="K1611" i="1"/>
  <c r="K1610" i="1"/>
  <c r="K1588" i="1"/>
  <c r="K1587" i="1"/>
  <c r="K1584" i="1"/>
  <c r="K1578" i="1"/>
  <c r="K1547" i="1"/>
  <c r="K1544" i="1"/>
  <c r="K1533" i="1"/>
  <c r="K1505" i="1"/>
  <c r="K1435" i="1"/>
  <c r="K1453" i="1"/>
  <c r="K1459" i="1"/>
  <c r="K1329" i="1"/>
  <c r="K1317" i="1"/>
  <c r="K1322" i="1"/>
  <c r="K1314" i="1"/>
  <c r="K1303" i="1"/>
  <c r="K1254" i="1"/>
  <c r="K1214" i="1"/>
  <c r="K1138" i="1"/>
  <c r="K1156" i="1"/>
  <c r="K1224" i="1"/>
  <c r="K1566" i="1"/>
  <c r="K1575" i="1"/>
  <c r="K1576" i="1"/>
  <c r="K1581" i="1"/>
  <c r="K1582" i="1"/>
  <c r="K1580" i="1"/>
  <c r="K1557" i="1"/>
  <c r="K1558" i="1"/>
  <c r="K1560" i="1"/>
  <c r="K1555" i="1"/>
  <c r="K1529" i="1"/>
  <c r="K1524" i="1"/>
  <c r="K1506" i="1"/>
  <c r="K1507" i="1"/>
  <c r="K1509" i="1"/>
  <c r="K1515" i="1"/>
  <c r="K1516" i="1"/>
  <c r="K1430" i="1"/>
  <c r="K1418" i="1"/>
  <c r="K1419" i="1"/>
  <c r="K1421" i="1"/>
  <c r="K1343" i="1"/>
  <c r="K1388" i="1"/>
  <c r="K1389" i="1"/>
  <c r="K1338" i="1"/>
  <c r="K1297" i="1"/>
  <c r="K1298" i="1"/>
  <c r="K1311" i="1"/>
  <c r="K1312" i="1"/>
  <c r="K1301" i="1"/>
  <c r="K1302" i="1"/>
  <c r="K1290" i="1"/>
  <c r="K1291" i="1"/>
  <c r="K1305" i="1"/>
  <c r="K1306" i="1"/>
  <c r="K1318" i="1"/>
  <c r="K1319" i="1"/>
  <c r="K1294" i="1"/>
  <c r="K1280" i="1"/>
  <c r="K1281" i="1"/>
  <c r="K1241" i="1"/>
  <c r="K1242" i="1"/>
  <c r="K1163" i="1"/>
  <c r="K1164" i="1"/>
  <c r="K1158" i="1"/>
  <c r="K1149" i="1"/>
  <c r="K1150" i="1"/>
  <c r="K1139" i="1"/>
  <c r="K1140" i="1"/>
  <c r="K1109" i="1"/>
  <c r="K1110" i="1"/>
  <c r="K1399" i="1"/>
  <c r="K1413" i="1"/>
  <c r="K1390" i="1"/>
  <c r="K1409" i="1"/>
  <c r="K1333" i="1"/>
  <c r="K1349" i="1"/>
  <c r="K1331" i="1"/>
  <c r="K1320" i="1"/>
  <c r="K1313" i="1"/>
  <c r="K1367" i="1"/>
  <c r="K1275" i="1"/>
  <c r="K1219" i="1"/>
  <c r="K1195" i="1"/>
  <c r="K1170" i="1"/>
  <c r="K1165" i="1"/>
  <c r="K1159" i="1"/>
</calcChain>
</file>

<file path=xl/sharedStrings.xml><?xml version="1.0" encoding="utf-8"?>
<sst xmlns="http://schemas.openxmlformats.org/spreadsheetml/2006/main" count="11811" uniqueCount="1831">
  <si>
    <t>Cliente</t>
  </si>
  <si>
    <t>Maquina</t>
  </si>
  <si>
    <t>Tecnico</t>
  </si>
  <si>
    <t>Fecha</t>
  </si>
  <si>
    <t>Tipo de Mantenimiento</t>
  </si>
  <si>
    <t>Tipo de Falla</t>
  </si>
  <si>
    <t>Falla Expecifica</t>
  </si>
  <si>
    <t>Solucion y/o Diagnostico</t>
  </si>
  <si>
    <t>Observaciones</t>
  </si>
  <si>
    <t>CORMUP</t>
  </si>
  <si>
    <t>LIKANKURA</t>
  </si>
  <si>
    <t>Maurico Orellana</t>
  </si>
  <si>
    <t>Placa Pegada</t>
  </si>
  <si>
    <t>visita por desconexion, placa pegada, horario hrroneo
actualizacion de codigo en microcontrolador pik it + resert de fabrica+
cgequeo de memoria, equipo monitoriando 100% operativo.</t>
  </si>
  <si>
    <t>MATILDE HUICI NAVAS</t>
  </si>
  <si>
    <t>Mtto Correctivo</t>
  </si>
  <si>
    <t>Hídrica</t>
  </si>
  <si>
    <t>Membrana</t>
  </si>
  <si>
    <t>equipo ultrasonido con desconfiguracion este es nuevamente configurado</t>
  </si>
  <si>
    <t>PAE</t>
  </si>
  <si>
    <t>ESTANQUE CARGA ESTANQUE SUR</t>
  </si>
  <si>
    <t>reparacion de filtracion en valvula de control</t>
  </si>
  <si>
    <t>FUNDO ZAPALLAR</t>
  </si>
  <si>
    <t>MATRIS ESVAL</t>
  </si>
  <si>
    <t>Electrónica</t>
  </si>
  <si>
    <t>Reloj Malo</t>
  </si>
  <si>
    <t>reloj de placa dañado, este es remplazado</t>
  </si>
  <si>
    <t>PROVIDENCIA</t>
  </si>
  <si>
    <t>LASTARRIA</t>
  </si>
  <si>
    <t>Placa RS232 LAN sin voltaje</t>
  </si>
  <si>
    <t>placa roja desconfigurada</t>
  </si>
  <si>
    <t>problemas de conectividad, placa de comunicacion dañada , esta es remplazada</t>
  </si>
  <si>
    <t>DERCO</t>
  </si>
  <si>
    <t>QUILICURA - MATRIZ PRINCIPAL</t>
  </si>
  <si>
    <t>Regulación</t>
  </si>
  <si>
    <t>regulacion nocturna 50% 1.5bar regulacion dia 100% 3 bar</t>
  </si>
  <si>
    <t>Comunicación</t>
  </si>
  <si>
    <t>Desconfiguracion</t>
  </si>
  <si>
    <t>visita por desconexion, interface en cero.</t>
  </si>
  <si>
    <t>LA REINA</t>
  </si>
  <si>
    <t>EUGENIO MARIA DE HOSTOS</t>
  </si>
  <si>
    <t>Intervencion de terceros</t>
  </si>
  <si>
    <t>llave de emergencia activada por terceros, esta es regularizada, equipo
100% operativo</t>
  </si>
  <si>
    <t>Valvula</t>
  </si>
  <si>
    <t>cambio de valvula control por problemas de corte hidrico.</t>
  </si>
  <si>
    <t>LAS CONDES</t>
  </si>
  <si>
    <t>JUAN PABLO II</t>
  </si>
  <si>
    <t>Eléctrica</t>
  </si>
  <si>
    <t>equipo desconectado, diferencial abajo, no hay corto circuito</t>
  </si>
  <si>
    <t>COR. PUENTE</t>
  </si>
  <si>
    <t>LICEO CHILOE</t>
  </si>
  <si>
    <t>Componente dañado</t>
  </si>
  <si>
    <t>visita para chequeo de horarios +chequeo de valvulas equipo 
100% operativo</t>
  </si>
  <si>
    <t>ESCUELA JUAN MACKENNA</t>
  </si>
  <si>
    <t>fusible quemado este es remplazado</t>
  </si>
  <si>
    <t>desconecion a causa de automatico abajo</t>
  </si>
  <si>
    <t>ESCULA NONATO COO</t>
  </si>
  <si>
    <t>COMPLEJO EDUCACIONAL CONSOLIDADA</t>
  </si>
  <si>
    <t>desconexion a causa de automatico abajo</t>
  </si>
  <si>
    <t>interface caida por ruido electico</t>
  </si>
  <si>
    <t>ESCUELA ANDES DEL SUR</t>
  </si>
  <si>
    <t>desconexion por placa pegada</t>
  </si>
  <si>
    <t>CENTRO EDUCACIONAL VALLE HERMOSO</t>
  </si>
  <si>
    <t>By Pass abierto</t>
  </si>
  <si>
    <t>se instala manometro en entrada y salida cpa detectando problemas de presion a 
causa de valculas de control, estas son remplazadas solucionando problema de presion</t>
  </si>
  <si>
    <t>sistema bypass activado por terceros, se comprueba funcionamiento de equipo quedando operativo</t>
  </si>
  <si>
    <t>ESCUELA LUIS MATTE LARRAIN</t>
  </si>
  <si>
    <t>se activa bypass por corte de agua no programado, se realiza revicion 
de sistema quedando operativo</t>
  </si>
  <si>
    <t>ESCUELA UNIÓN NACIONAL ÁRABE</t>
  </si>
  <si>
    <t>desccion por desconexion por descongifuracion de interface, 
este es reprogramado</t>
  </si>
  <si>
    <t>ALICURA</t>
  </si>
  <si>
    <t>ESCUELA LUIS ARRIETA CAÑAS</t>
  </si>
  <si>
    <t>Max 232</t>
  </si>
  <si>
    <t>equipo desconectado por max 232 quemada esta es remplazada</t>
  </si>
  <si>
    <t>Sensor de Pulso</t>
  </si>
  <si>
    <t>revivion de sab, se debe remplazar placa electronica, +cambio de solenoide en valvula 
bypass activado en cpa por terceros sensor de pulso fuera por tercerpos</t>
  </si>
  <si>
    <t>diferencial abajo por corte en en linea electrica, este es reparado quedando operativo</t>
  </si>
  <si>
    <t>Reparación</t>
  </si>
  <si>
    <t>reparacion de fuga hidrica en terminal pvc valvula de control vaño damas</t>
  </si>
  <si>
    <t>sistema con bypass activado en cpa este es normalizado, equipo queda 
operativo</t>
  </si>
  <si>
    <t>CARLOS FERNANDEZ PEÑA</t>
  </si>
  <si>
    <t>valvula de control alta con defecto, esta es cerrada dejando 
solo en funcionamiento valvula de baja</t>
  </si>
  <si>
    <t>ERASMO ESCALA</t>
  </si>
  <si>
    <t>Memoria mala</t>
  </si>
  <si>
    <t>visita por problemas de data, cambio de memoria equipo queda gurdando</t>
  </si>
  <si>
    <t>revicion equipo sab bañe varones por mal funcionamiento, placa electronica en mal estado 
esta es remplazada</t>
  </si>
  <si>
    <t>cambio de valvula 1" en baño varones, equipo queda sin fuga hidrica</t>
  </si>
  <si>
    <t>ANTONIO HERMIDA FABRES</t>
  </si>
  <si>
    <t>desconexion por ruido electrico,interface nuevamente programada.</t>
  </si>
  <si>
    <t>corte de AGUA se proboca por dia no progranado, este es habilitado 
de 07:00 a 19:00</t>
  </si>
  <si>
    <t>placa oegada esta es reiniciada</t>
  </si>
  <si>
    <t>Mtto Preventivo</t>
  </si>
  <si>
    <t>chequeo sistema cpa 100% operativo
chequo sistema sab 100% operativo</t>
  </si>
  <si>
    <t>TOBALABA</t>
  </si>
  <si>
    <t>chequeo cpa equipo 100% operativo
chequeo sistema sab, 100% operativo</t>
  </si>
  <si>
    <t>chequeo cpa equipo 100% operativo</t>
  </si>
  <si>
    <t>Mtto Predictivo</t>
  </si>
  <si>
    <t>Solenoide</t>
  </si>
  <si>
    <t>chequeo de cpa, cambio de solenoide por cumplimiento de ciclo</t>
  </si>
  <si>
    <t>ESCUELA ESPECIAL PONTÍFICE JUAN PABLO II</t>
  </si>
  <si>
    <t>Instalación sistema CIR</t>
  </si>
  <si>
    <t>reinatalacion de sistema cir control sab en baño,
queda pendiente empalme electrico.</t>
  </si>
  <si>
    <t>SANTA MARIA</t>
  </si>
  <si>
    <t>Software</t>
  </si>
  <si>
    <t>Desprogramacion</t>
  </si>
  <si>
    <t>equipo desconectado por ruido electrico</t>
  </si>
  <si>
    <t>RENCA</t>
  </si>
  <si>
    <t>JUAN DE ATALA HIRMAS</t>
  </si>
  <si>
    <t>Retiro Sistema CIR</t>
  </si>
  <si>
    <t>retiro sistema cir</t>
  </si>
  <si>
    <t>REBECA MATTE BELLO</t>
  </si>
  <si>
    <t>ESCUELA GABRIELA</t>
  </si>
  <si>
    <t>descnexion por ruido electrico y corte de luz proboca desconfiguracion por interface
de conexion</t>
  </si>
  <si>
    <t>a causa de baja precion es regulada llave de caudal,esta es regulada sin exito por
problema de presion es de matriz aguas andinas.</t>
  </si>
  <si>
    <t>sistema desconectado a causa de automatico abajo, este es subido quedando
sistema con energia.</t>
  </si>
  <si>
    <t>ESCUELA VILLA INDEPENDENCIA</t>
  </si>
  <si>
    <t>desconexion por interface abajo.</t>
  </si>
  <si>
    <t>LICEO MAIPO</t>
  </si>
  <si>
    <t>Revison tecnica</t>
  </si>
  <si>
    <t>olaca pegada, no recupera data, memoria es remplazada</t>
  </si>
  <si>
    <t>solenoide en mal estado, este proboca corte de fusible de proteccion, estas 
son remplazadas quedando sistema operativo</t>
  </si>
  <si>
    <t>Falla Fuente switching</t>
  </si>
  <si>
    <t>fuente switching mala, esta es remplasada dejando equipo conectado a app wes,
cpa es regularizado.</t>
  </si>
  <si>
    <t>ESCUELA LOS ANDES</t>
  </si>
  <si>
    <t>retiro poste , mas panel solar 
reubucacion de sistema cir</t>
  </si>
  <si>
    <t>retiro poste , mas panel solar</t>
  </si>
  <si>
    <t>sistema desconectado por tener integrado max 232 quemada
esta es remplazada quedando sistema conectado</t>
  </si>
  <si>
    <t>sistema de monitoreo desconectado a causa de intervencion de terceros, u corto circuito
automatico se encuentra "abajo", equipo queda 100% operativo</t>
  </si>
  <si>
    <t>esta es reseteada de fabrica.</t>
  </si>
  <si>
    <t>retiro poste solar mas panel solar</t>
  </si>
  <si>
    <t>FLEMING</t>
  </si>
  <si>
    <t>Anibal Aranda</t>
  </si>
  <si>
    <t>se hace cambio de sensor, dejando equipo operativo</t>
  </si>
  <si>
    <t>LA FLORIDA</t>
  </si>
  <si>
    <t>LICEO ALTO CORDILLERA</t>
  </si>
  <si>
    <t>Ultrasonido</t>
  </si>
  <si>
    <t>Transductor suelto</t>
  </si>
  <si>
    <t>a causa de fuma en medidor de agua potable tranductores ultrasonido son 
removidos, estos son nuevamente instalados, captando caudal regularizando 
lectura de consumo.</t>
  </si>
  <si>
    <t>instalacion de economisador hidrico cpa mas construccion de camara y 
tapa de camara, equipo queda operativo.</t>
  </si>
  <si>
    <t>llave de emergencia activada el dia 07-11-2025 sin informe 
se normaliza llave u colegio mantiene suministro hidrico</t>
  </si>
  <si>
    <t>equipo apagado, diferencial abajo por golpe electrico o manipulacion de tercero, 
este es nuevamente habilitado quedando operativo.</t>
  </si>
  <si>
    <t>la desconexion es por un coto circuito que activa fusible de proteccion
a placa electronica, se cambia fusible y se mide voltaje mas amperaje 
llave de emergencia abierta por tecnico de la corporacion. esta es regularizada</t>
  </si>
  <si>
    <t>QUILICURA - CAMARINES</t>
  </si>
  <si>
    <t>cable de sensor de pulso con sulfato, este es reconectado y 
protegido con sinta engomada</t>
  </si>
  <si>
    <t>QUILICURA - PRODERCO</t>
  </si>
  <si>
    <t>Router</t>
  </si>
  <si>
    <t>router defectuoso requiere cambio mientras se confirma que la placa esta 
guardando correctamente la data en terreno</t>
  </si>
  <si>
    <t>QUILICURA - LAVADO DE MAQUINA</t>
  </si>
  <si>
    <t>memoria defectuosa pierde guardado, se realiza el cambio dejando operativo el monitoreo</t>
  </si>
  <si>
    <t>desconexion por ruido electrico, interfas no programado 
caudalimetro ultrasonido desconfigurado, este es programado en 
parametros ya guardados. equipo operativo.</t>
  </si>
  <si>
    <t>l, chequeo voltajes de salida,
chequeo de conectividad. cambio de 2 solenoides en valvulas de control</t>
  </si>
  <si>
    <t>chequeo de valvulas de control, chequeo voltajes de salida,
chequeo de conectividad.</t>
  </si>
  <si>
    <t>se reinstala equipo sab en baño niños, equipo quda operativo</t>
  </si>
  <si>
    <t>JUAN BAUTISTA PASTENE</t>
  </si>
  <si>
    <t>fuga en cpa proboca emergencia hidrica en horario nocturno, valvula de 
control con roptura, este es reparado</t>
  </si>
  <si>
    <t>valvula de control sab con defecto, esta es remplazada, falta habilitacion de sab</t>
  </si>
  <si>
    <t>cambio de 2 valvulas de control en cpa wes
equipo queda operativo</t>
  </si>
  <si>
    <t>reparacion de filtracion en cpa wes, este es reparado y habilitado co exito.</t>
  </si>
  <si>
    <t>valvula de control sab co defecto es remplazada, equipo operativo 
baño damas</t>
  </si>
  <si>
    <t>instalacion de collerin en sala de bombas sur.</t>
  </si>
  <si>
    <t>PIZZA HUT</t>
  </si>
  <si>
    <t>cambio de manguera despiche valvula, esta es extendida hasta el exterir de local.</t>
  </si>
  <si>
    <t>KFC</t>
  </si>
  <si>
    <t>intervencion se pide cambio de materialidad en instalaion 
baño guardias de pvc a ppr.</t>
  </si>
  <si>
    <t>instalacion de gabinete cir mas canalisacion tranductores mas control de valvulas 
reparacion de fuga en odo bronce baño de guardias</t>
  </si>
  <si>
    <t>router con problemas de conexion, este es reiniciado mas resetiado
equipo queda operativo</t>
  </si>
  <si>
    <t>intervencion hidrica, instalacion de valvula control en matriz sala de bombas sur</t>
  </si>
  <si>
    <t>remplazo de router</t>
  </si>
  <si>
    <t>prueba de funcionamiento electrovalvulas, ambas defectuosas</t>
  </si>
  <si>
    <t>mantenimiento preventivo de solenoide</t>
  </si>
  <si>
    <t>cambio de solenoide en valvula de alta</t>
  </si>
  <si>
    <t xml:space="preserve">cambio de electrovalvulas por problemas de apertura 
</t>
  </si>
  <si>
    <t>mantenimiento preventivo cambio de solenoides</t>
  </si>
  <si>
    <t>cambio de valvula alta y baja</t>
  </si>
  <si>
    <t>cambio de valvula alta</t>
  </si>
  <si>
    <t>cambio de solenoide preventivo</t>
  </si>
  <si>
    <t>ESCUELA PADRE HURTADO</t>
  </si>
  <si>
    <t>implementacion de medidor ultrasonido</t>
  </si>
  <si>
    <t>lectura de validacion ultra sinido 100x0,01m3 map: 9858m3
llave de emergenca abierta por baja presion.</t>
  </si>
  <si>
    <t>ETAPA 1,2,3 Y 4</t>
  </si>
  <si>
    <t>ESTANQUE NORTE LOCALES</t>
  </si>
  <si>
    <t>AGUNSA</t>
  </si>
  <si>
    <t>MODULO D</t>
  </si>
  <si>
    <t>se realiza reapriete de valvula baja</t>
  </si>
  <si>
    <t>Router sin Voltaje</t>
  </si>
  <si>
    <t>equipo desconectado por interface abajo</t>
  </si>
  <si>
    <t>placa en estado pegada, esta es reiniciada</t>
  </si>
  <si>
    <t>estanque inferior desconectado, se reubican las antenas quedando 
conectado, data actualizada en app</t>
  </si>
  <si>
    <t>visita por desconexion, ruido electrico desconfigura interface, este es reprogramado 
se actualiza codigo en microcontrolador pick it, cambio de solenoide en valvulas de baja 
equipo queda operativo</t>
  </si>
  <si>
    <t>valvulas de control en mal estado, equipos sab en buen estado</t>
  </si>
  <si>
    <t>LO VALLEDOR</t>
  </si>
  <si>
    <t>BARRIO NORTE</t>
  </si>
  <si>
    <t>habilitacion sistema wes</t>
  </si>
  <si>
    <t>NIDO</t>
  </si>
  <si>
    <t>POZO PROFUNDO</t>
  </si>
  <si>
    <t>Reubicacion</t>
  </si>
  <si>
    <t>siatema sin conexion a causa de cambio gabinete electrico este 
es normalizado enpalmado a 220v</t>
  </si>
  <si>
    <t>PISCINA</t>
  </si>
  <si>
    <t>integrado de comunicacion defectuoso se realiza cambio</t>
  </si>
  <si>
    <t>placa con reguladores de voltaje en corte</t>
  </si>
  <si>
    <t>se instala medidor ultrasonido para monitorear matriz.</t>
  </si>
  <si>
    <t>programacion extencion horaria.</t>
  </si>
  <si>
    <t>chequeo de corte valvulas, equipo operativo</t>
  </si>
  <si>
    <t>sensor de pulso fuera de posicion a causa de terceros.</t>
  </si>
  <si>
    <t>desconexion por ruido en placa, se instala condensador se 470 f en 
alimentacion de 12 v</t>
  </si>
  <si>
    <t>sistema sin suministro electrico, automatico abajo.</t>
  </si>
  <si>
    <t>CDUC</t>
  </si>
  <si>
    <t>CLUB HOUSE</t>
  </si>
  <si>
    <t>cambio de dos valvulas de control en cpa wes.</t>
  </si>
  <si>
    <t>MODULO E</t>
  </si>
  <si>
    <t>memoria de placa wes defectuosa geneando desconfiguraciones varias 
perdida de data desde 11-02-2026</t>
  </si>
  <si>
    <t>equipo sab con problema de conexion, este es reparado cambiando fusilera</t>
  </si>
  <si>
    <t>visita para evaluacion de cambio de valvulas, este trabajo no se efectuara ya que ambas 
valvulas de control se encuentran en perfecto estado, 
se realizan mejoras en configuracion de caudalimetro ultrasonido.</t>
  </si>
  <si>
    <t>mau</t>
  </si>
  <si>
    <t>modificacion hidrica en el colegio genera daños a la canalisacion 
electrica se deja normalizado empalme 220v</t>
  </si>
  <si>
    <t>se realiza normaalisacion de valvulas dejando equipo 100% operativo</t>
  </si>
  <si>
    <t>se normaliza la comunicacion entre tranductores de medidor ultrasonido.
camara co una cara demolida por trabajos hidricos de la corporacion.</t>
  </si>
  <si>
    <t>se aumenta tiempo de carga a estanque de 3.3min a 5 min</t>
  </si>
  <si>
    <t>por intervencion de terceror, se encuentra en corte el equipo wes 
se normaliza equipo y se vuelve a capasitar a doña veronica</t>
  </si>
  <si>
    <t>llave de emergencia activada, presuntamente por baja presion, se habilita 
100%.</t>
  </si>
  <si>
    <t>primera regulacion diurna</t>
  </si>
  <si>
    <t>CARMELA CARVAJAL</t>
  </si>
  <si>
    <t>corte de agua inusual, se hace una revicion tecnica encontrando 
automaticos abajo, se da acesoria para proximo evento similar.</t>
  </si>
  <si>
    <t>Instalacion</t>
  </si>
  <si>
    <t>instalacion de caudalimetro ultrasonido</t>
  </si>
  <si>
    <t>equipo desconectado por max 232 quemada, esta es remplazada
quedando equipo conectado</t>
  </si>
  <si>
    <t xml:space="preserve">cambio de caudalimetro ultrasonido por falla. sensores ultrasonido en mal estado,
estos fueron intervenidos por terceros(cables tironeados), ambos tranductores son remplazados.
</t>
  </si>
  <si>
    <t>desconexion de equipo por ruido electrico, interface se vuelve a programar.
se levanta en terreno que hay un corto circuito en algun lugar del establecimiento.</t>
  </si>
  <si>
    <t>retiro de cir</t>
  </si>
  <si>
    <t>visita a establecimiento para realizar pruebas de caudal y presion,
llave de valvula en bypass, se comprueba buen funcionamiento 
en valvulas de control cpa. se comprueba que problemas de presion es a nivel comunal 
ya que no es el unico colegion que presenta problemas.</t>
  </si>
  <si>
    <t>cambio de memoria en equipo placa wes.</t>
  </si>
  <si>
    <t>valvula de baja sin operacion por falla en solenoide, la cual es remplazada qudando 
operativo</t>
  </si>
  <si>
    <t>se visita terreno encontrando router "pegado", este es 
reiniciado conectandose a internet.</t>
  </si>
  <si>
    <t>valvulas con detalle, cambio de solenoide en 2 valvulas de control
para su buen funcionamiento</t>
  </si>
  <si>
    <t>Equiopo cir con automaticos abajo, por intervencion de terceros,
este es restituido quedando operativo.</t>
  </si>
  <si>
    <t>sab desabilitado a causa de cable de conexion a valvula de 
control esta sulfatado, este es reparado quedando operativo.</t>
  </si>
  <si>
    <t>equipo con detaloe en sensor de movimiento proboca mal funcionamiento 
de este. se reconecta cable suelto quedando operativo</t>
  </si>
  <si>
    <t>revicion de caudalimetro, este se cetea en "cero" para su buena lectura</t>
  </si>
  <si>
    <t>CENTRO EDUCACIONAL EDUARDO DE LA BARRA</t>
  </si>
  <si>
    <t>visita por desconexion, ruido electrico desconfigura interfaz de conexion 
este es reprogramado</t>
  </si>
  <si>
    <t>equipo marcando (0) a causa de sensor removido, este es fijado con amarra 
metalica, chequeo de pulso ok</t>
  </si>
  <si>
    <t>visita por lecturas incorrectas, caudalimetro ultrasonico desconetado
por ruido electrico, este es reprogramado, equipo 100% operativo</t>
  </si>
  <si>
    <t>UDD</t>
  </si>
  <si>
    <t>SALA DE BOMBAS HONDURAS</t>
  </si>
  <si>
    <t>equipo ultrasonido desconfigurado ( espesor de pared) este es reconfigurado
se efectua cambio de memoria por defecto</t>
  </si>
  <si>
    <t>Renovación Silicona</t>
  </si>
  <si>
    <t>visita por desconexion, max 232 quemada, esta es remplazada,
equipo recupara data</t>
  </si>
  <si>
    <t>visita por desconexion, ruido electrico provoca desconfiguracion de interfaz, 
se instala condensador de 470 mf para attenuar ruido electrico</t>
  </si>
  <si>
    <t>COPEC</t>
  </si>
  <si>
    <t>COSTANERA</t>
  </si>
  <si>
    <t>desconexion por cable de red en mal estado, este es remplazado</t>
  </si>
  <si>
    <t>actualisacion de codigo en microcontrolador pick it, prueba de 
funcionamiento valvulas, equipo 100% operativo</t>
  </si>
  <si>
    <t>memoria defectuosa, esta es remplazada.</t>
  </si>
  <si>
    <t>ESTANQUE B</t>
  </si>
  <si>
    <t>equipo con automatico abajo, este es restablecido, se renueva 
cilicona en tranductores, mejorando señales</t>
  </si>
  <si>
    <t>CALLE DE SERVICO</t>
  </si>
  <si>
    <t>visita para revicion de caudalimetro, este esta 100% operativo
se detecta consumo de 1,21m3 hora por posible fuga hidrica</t>
  </si>
  <si>
    <t xml:space="preserve">ruido electrico desprograma interfaz aparando reuter 
</t>
  </si>
  <si>
    <t>valvula de alta queda cerrada momentaniamente para formacion de membrana 
valvula de baja queda operando regulada al 90% llave bypass regulada para control
nocturno</t>
  </si>
  <si>
    <t>automatico caido presuntamente por terceros, este es 
levantado, equipo queda operativo</t>
  </si>
  <si>
    <t>desconectividad por cobertura, equipo se vuele a conectar 
a app wes</t>
  </si>
  <si>
    <t>RIEGO</t>
  </si>
  <si>
    <t>equipo con problemas de pulso, placa es remplazada</t>
  </si>
  <si>
    <t>placa electronica con reguladores quemados, tambien se daña placa roja de 
comunicacion, placa mas tarjeta roja son remplazados equipo queda operativo</t>
  </si>
  <si>
    <t>PRONTO BAÑO</t>
  </si>
  <si>
    <t>problema de memoria no guarda data, este es remplazado</t>
  </si>
  <si>
    <t>LAVADO AUTOMATICO NORTE</t>
  </si>
  <si>
    <t>desconexion por ruido electrico, desconfiguracion
interfaz, equipo es reprogramado y conectado</t>
  </si>
  <si>
    <t>instalacion de medidor ultrasonido por medidor de turbina 
defectuoso</t>
  </si>
  <si>
    <t>lectura validacion Ultrasonido 49x0,01m3
lec map A.A 9858</t>
  </si>
  <si>
    <t>valvula de control con problema de apertura a causa de solenoide 
estas son remplazada, equipo operativo.</t>
  </si>
  <si>
    <t>placa apagada a causa de automatico en posicion aguas abajo
este es restablecido aguas arriba, equipo 100% operativo</t>
  </si>
  <si>
    <t>cambio de membrana</t>
  </si>
  <si>
    <t>placa "pegada" esta es reiniciada, equipo 100% operativo</t>
  </si>
  <si>
    <t>DEPOSITO</t>
  </si>
  <si>
    <t>interfas desporgramada por ruido electrico este es 
reconfigurado</t>
  </si>
  <si>
    <t>OFICINA ADMIN</t>
  </si>
  <si>
    <t>placa dañada por sulfatacion, esta es remplazada, equipo de monitoreo 
100% operativo</t>
  </si>
  <si>
    <t>LAVADO AUTOMATICO SUR</t>
  </si>
  <si>
    <t>router en estado "pegaado" este es reiniciado, equipo 100% operativo.</t>
  </si>
  <si>
    <t>Gabriel Prieto</t>
  </si>
  <si>
    <t>valvula en estado bypass, este queda 100% operativo
prueba de solenoide ok.</t>
  </si>
  <si>
    <t>revicion sab baño varones sensor defectuoso, se pide recambio de este</t>
  </si>
  <si>
    <t>retiro de gabinete cir por +sensor de pulso, por cambio de 
MAP este sera reinstalado</t>
  </si>
  <si>
    <t>ESTADIO ISRAELITA</t>
  </si>
  <si>
    <t>MATRIZ AV LAS CONDES</t>
  </si>
  <si>
    <t>router es remplazado, equipo 100% operativo.</t>
  </si>
  <si>
    <t>PUERTA 1</t>
  </si>
  <si>
    <t>ultima regulacio cpa segun consumo de matriz MAP mas 
activacion on/off para cpa</t>
  </si>
  <si>
    <t>equipo sin lectura, renovacion de cilicona en tranductor ltrasonido, 
equipo operativo lec ultrsonido; 44755x0,01m3</t>
  </si>
  <si>
    <t>RAIMUNDO TUPPER</t>
  </si>
  <si>
    <t>letura herronea, renovacion de cilicona en tranductor ultrasonido, cambio de memoria
equipo 100% operativo lec map12 8558m3 lec ultrasonido 587363x0,01m3</t>
  </si>
  <si>
    <t>desconexion a causa de placa pegada, esta es remplazada + integrado pik it 
sulfato en bornes de conexion pick it.</t>
  </si>
  <si>
    <t>renovacion de ciliconan anductor ultrasonido.</t>
  </si>
  <si>
    <t>renovacion de ciliconan anductor ultrasonido, regulacion nocturna normalizado</t>
  </si>
  <si>
    <t>equipo caudalimetro con altercion a causa de corte de luz ,este es recalibrado 
equipo 100% operativo</t>
  </si>
  <si>
    <t>herror de lectura en caudalimetro ultrasonido, renovacion de cilicona
ewuipo 100% operativo</t>
  </si>
  <si>
    <t>regulacion nocturna 6.45 lt x -m</t>
  </si>
  <si>
    <t>Actualizacion de Codigo</t>
  </si>
  <si>
    <t>actualizacion de codigo en integrado pik it</t>
  </si>
  <si>
    <t>placa pegada, esta es reinada y decetiada, equipo monitoriando y operativo</t>
  </si>
  <si>
    <t>instalacion punto de monitoreo wes</t>
  </si>
  <si>
    <t>MATRIS CHESTERTON</t>
  </si>
  <si>
    <t>Auditoria</t>
  </si>
  <si>
    <t>Validacion Data</t>
  </si>
  <si>
    <t>lectura validacion 2028x0,01m3</t>
  </si>
  <si>
    <t>instalacion sistema monitoreo wes</t>
  </si>
  <si>
    <t>colegio con 100% del caudal el problema radica en el suministro de agua caliente 
para que la presion de agua fria este en su maxima capasidad.</t>
  </si>
  <si>
    <t>regulacion especial para mitigar fuga de agua, lunes a domingo.
00:00-06:00 baja 40% maximo caudal 4 m3 x hora 
06:00-00:00 alta 90% maximo caudal 8 m3 max x hora.</t>
  </si>
  <si>
    <t>GENCHI</t>
  </si>
  <si>
    <t>CDP PUENTE ALTO</t>
  </si>
  <si>
    <t>Retiro Sistema CPA</t>
  </si>
  <si>
    <t>retiro cir, retiro cpa. queda pendiente retiro de porte solar</t>
  </si>
  <si>
    <t>COLINA 1</t>
  </si>
  <si>
    <t>retiro cir, retiro cpa.</t>
  </si>
  <si>
    <t>MONITOREO MATRIZ PRINCIPAL OVALO</t>
  </si>
  <si>
    <t>retiro cir.</t>
  </si>
  <si>
    <t>MONITOREO MATRIZ PRINCIPAL MODULO</t>
  </si>
  <si>
    <t>CPA OVALO</t>
  </si>
  <si>
    <t>retiro cpa, retiro cir.</t>
  </si>
  <si>
    <t>COLINA 2 RED SUR</t>
  </si>
  <si>
    <t>COLINA 2 REDIMPULSION</t>
  </si>
  <si>
    <t>CPF SAN MIGUEL SALA IMPULSION</t>
  </si>
  <si>
    <t>retiro cepa de sala de bombas, retiro cir,
retiro cir matriz principal, retiro cpa</t>
  </si>
  <si>
    <t>reinstalacion de cpa luego de la emergencia atendida el dia miercoles 
28-05-2025</t>
  </si>
  <si>
    <t>visita por corte hidrico am, equipo sin falla, chequeo de voltajes ok</t>
  </si>
  <si>
    <t>cpa con bypass activado, este es normlizado, actualizacion de codigo 
en integrado pik it equipo 100% operativo</t>
  </si>
  <si>
    <t>configuracion horaria, actualisacion de codigo en integrado, pik it 
valvula alta operativa, valvula de baja cerrada manual, equipo 100% operativo.</t>
  </si>
  <si>
    <t>reprogramacion caudalimetro ultrasonido, bypass activado, este es normalizado 
equipo 100% operativo, este es normalizado equipo 100% operativo.</t>
  </si>
  <si>
    <t>cpa con bypass activado, este es normalizado equipo 100% operativo</t>
  </si>
  <si>
    <t>cambio de valvula alta presion en equipo de control cpa equipo 100% operativo</t>
  </si>
  <si>
    <t>integrado de comunicacion defectuoso impide comunicacion con app wes.
memoria defectuosa no guarda registro desde la ultima conexion, por lo que se detecta 
que un golpe de corriente quemo ambos integrados , este es normalizado 100% operativo.</t>
  </si>
  <si>
    <t xml:space="preserve">valvula de altpresion tiene problemas en la membrana s e deja la balbula de baja 
regulada con presion alta durante todo el dia. se requiere realizar mantenimiento de la valvula 
con un corte hidrico con 30 min maximo de corte.
</t>
  </si>
  <si>
    <t>Cortocircuito</t>
  </si>
  <si>
    <t>visita por desconexion sistema de monitoreo y control wes, a causa de cortocircuito en bodega 
multicancha. con autorisacion del colegio se desempalma por completo la dependencia,
queda empalmado unicamente sistema wes.</t>
  </si>
  <si>
    <t>CAPITAN JOSÉ LUIS ARANDE</t>
  </si>
  <si>
    <t>equipo apagagado por corte electrico, se cambia fusible y memoria por daños.</t>
  </si>
  <si>
    <t xml:space="preserve">terminal de guente switchung sulfatado genera mal contacto, se remplaza
terminal dejandolo operativo.
se nesesita generar relleno por socavon causado por compactacion a base de umedad 
</t>
  </si>
  <si>
    <t>por manipulacion de terceros se daña cañeria de manometro provocando 
la perdida de agua .
fuga fue reparada por equipo de operaciones corporacion
equipo wes sumo una linea mas de ladrillos para aumentar separacion entretapa de camara y 
mnometro.</t>
  </si>
  <si>
    <t>Equipo reubicado por pae queda mal instalado,sensor inductivo y desconectado de comunicacion lan
por lo que desde martes 10-06-2025 no registra data.</t>
  </si>
  <si>
    <t>placa *pegada* regrabado de codigo en microcontrolador pick it reparacion interfas de conexion 
equipo monitoreando y operativo.</t>
  </si>
  <si>
    <t>SALA DE BOMBAS EDIFICIO ¨O¨</t>
  </si>
  <si>
    <t>integrado max 232 defectuosa , esta es remplazada. router amplimax con señal debil
se coordina reubicacion para dejarlo a exterior de sala bombas.</t>
  </si>
  <si>
    <t>se cambia sensor de pulso para normalizar la correcta lectura.
programacion horaria normalizada.</t>
  </si>
  <si>
    <t>problema de fuga hidrica en sistema sab baños damas 
este es reparado con exito.</t>
  </si>
  <si>
    <t>visita por desconexion, max 232 dañada es remplazada, valvula de alta presion 
con problemas a causa de solenoide defectuosa , esta es remplazada ,
equipo 100% operativo.</t>
  </si>
  <si>
    <t>corte de agua se provoca por por falta de programacion hidrica dia jueves 
este es programado, equipo 100% operativo.</t>
  </si>
  <si>
    <t>cambio de router por falta de conectividad, equipo 100% operativo.</t>
  </si>
  <si>
    <t>Descalibracion Peso Pulso</t>
  </si>
  <si>
    <t>sistema con peso pulso herroneo, se actualiza a peso pulso 100lt
x pulso equipo 100% operativo.</t>
  </si>
  <si>
    <t>visita por bypass en valvula de control, esta es regularizada
equipo 100% operativo</t>
  </si>
  <si>
    <t>equipo cpa con valvulas de control en bypas, esta es normalizada equipo
100% operativo se comprueba funcionamiento de valvulas.</t>
  </si>
  <si>
    <t>renovacion fuente de poder mas instalacion de caudalimetero 
ultrasonido, lec map 78826 lec ultrasonido 15x0,1</t>
  </si>
  <si>
    <t>valvula de control sin corte nocturno, valvulas de control en bypass, esto es
regularizado
extencion horaria apertura hidrica 04:50.</t>
  </si>
  <si>
    <t>instalacio de caudalimetro y sensores ultrasonido
equipo 100% operativo</t>
  </si>
  <si>
    <t>router pegado, se reconfigura dejando equipo conectado.</t>
  </si>
  <si>
    <t>sensor ultrasonico sin pasta de conexion, se aplica pasta.</t>
  </si>
  <si>
    <t>reinstalacion sistema cir wes mas sensor ultrasonido para medicion de 
caudal (caudalimetro) equipo 100% operativo. lec ultrasonido 94x0,01
map 273929</t>
  </si>
  <si>
    <t>instalacion de caudalimetro ultrasonido
equipo 100% operativo</t>
  </si>
  <si>
    <t>Validación Data</t>
  </si>
  <si>
    <t>lec ultrasonido; 26401 lec map 274001</t>
  </si>
  <si>
    <t>lectura validacion sistema wes lec; 7632</t>
  </si>
  <si>
    <t>equipo apagado a causa de diferencial caido en tablero electrico
cambio de integrado max232 equipo 100% operativo.</t>
  </si>
  <si>
    <t>lec validacion lec map 1371 lec ultrasonido 
4278x0,01m3</t>
  </si>
  <si>
    <t>reubicacion cir wes</t>
  </si>
  <si>
    <t>Instalación sistema CPA</t>
  </si>
  <si>
    <t>instalacion cpa en matriz principal tupper 
equipo operativo</t>
  </si>
  <si>
    <t>ESFORPEN BOSQUE GENCHI SIMULACION</t>
  </si>
  <si>
    <t>retiro de cpa en punto de control</t>
  </si>
  <si>
    <t>ESFORPEN BOSQUE ADMINISTRACION</t>
  </si>
  <si>
    <t>retiro de cpa en punto de control administracion.</t>
  </si>
  <si>
    <t>ESC. OF CARMEN</t>
  </si>
  <si>
    <t>retiro tablero cir wes en punto de monitoreo carmen y artemio.</t>
  </si>
  <si>
    <t>retiro de tablero cir en punto administracion y simulacion 
equipos sin energia electrica.</t>
  </si>
  <si>
    <t>regulacion nocturna en cpa impulsion anterior mete 13m3 hora
actual mente se regula a 5m3hora, cambio de membrana en valvula de control 
baja, equipo 100% operativo.</t>
  </si>
  <si>
    <t>desconexion por ruido en placa descpnfigurada, acutualisacion en 
microcontrolador pick it equipo 100% operativo.</t>
  </si>
  <si>
    <t>lec map 11768 lec wes x37929 9% rendimieno.</t>
  </si>
  <si>
    <t>lec map 123266 lec wes 319140x0,01m3 18% rendimieno.</t>
  </si>
  <si>
    <t>CPF SAN MIGUEL MATRIZ PRINCIPAL</t>
  </si>
  <si>
    <t>alza de voltaje daña equipo de control, se cambio placa con todo sus componentes 
ademas de cambio fuente de poder, equipo queda normalizado</t>
  </si>
  <si>
    <t>problemas de max 232 se cambia dejando conexion con app wes, actualisacion de codigo pick
actualizacion de router.</t>
  </si>
  <si>
    <t>MADECCO</t>
  </si>
  <si>
    <t>URETA COX</t>
  </si>
  <si>
    <t>punto desconectado por integado de comunicacion, se realiza el
cambio quedando 100% operativo, se actualiza codigo pick</t>
  </si>
  <si>
    <t>programacion medidor sala de bombas 
gabinete 7 poniente golpeado por camiones.</t>
  </si>
  <si>
    <t>activacion bypass por corte electrico, instalacion de gabinete para diferencial y
automatico wes.</t>
  </si>
  <si>
    <t>ESTANQUE CISTERNA</t>
  </si>
  <si>
    <t>se normalisan solenoides fuga nocturna 4m3xHora</t>
  </si>
  <si>
    <t>sanitaria entrega bajo caudal y 1 bar de presio, cambio sensor de puslo
se normaliza control nocturno 00:01-06:00, caudal max 650 LxM</t>
  </si>
  <si>
    <t>se aumenta flujo hudrico nocturno 40% del total
equivalente a 12.000 litros por hora.</t>
  </si>
  <si>
    <t>se cambia brida quebrada en cpa, equipo 100% operativo.</t>
  </si>
  <si>
    <t>visita por desconexion, router con funcionamiento intermitente, se requiere 
renovacion, equipo conectado y operativo.</t>
  </si>
  <si>
    <t>visita por desconexion de equipo, se encuentra automatico diferencial aguas abajo,
dejando sin suministro electrico a cir wes, este es encendido quedando 100% operativo.</t>
  </si>
  <si>
    <t>visita para regularisacion caudal nocturno, fuga 2.6m3 x hora., regulacion 
acordada 1.4m3 x hora. eqiupo 100% operativo</t>
  </si>
  <si>
    <t>retiro artefacto de control hidrco cpa, retiro gabinete metalico , pedestal metalico.</t>
  </si>
  <si>
    <t>cambio de solenoide NO a NC para en caso de cortes electrico 
o fallas del equipo wes se abran las valvulas.</t>
  </si>
  <si>
    <t>normalisacion de control nocturno, actualizacion en integrado codigo pik it</t>
  </si>
  <si>
    <t>integrado max 232 se cambia por falla, se restablese conectividad,
cambio de memoria, se pierde la data.</t>
  </si>
  <si>
    <t>placa de comunicacion rs232 a lan quemada , se 
remplaza dejando el punto conectado a app wes.</t>
  </si>
  <si>
    <t>actualisacion reset lectura caudalimetro ultrasonido lec; 45378x0,01m3
actualizacion reset a placa electronica</t>
  </si>
  <si>
    <t>euipo desprogramado por ruido en placa wes. 
actualisacion de codigo en microprosesador pik it, 
equipo conectado y monitoriando.</t>
  </si>
  <si>
    <t>cable comun alimentacion solenoide cortado no entregando el voltaje de 12 v 
a solenoide lo que deja sin apertura a valvula de control, se remplaza cable
dejando equipo 100% operativo</t>
  </si>
  <si>
    <t>visita por desconexion, cambio de integrado 
max 232, equipo 100% operativo.</t>
  </si>
  <si>
    <t>regulacion nocturna 1100 lt x hora.</t>
  </si>
  <si>
    <t>CASINO</t>
  </si>
  <si>
    <t>visita por desconexion de equipo, 30 min de desface en horario no permite 
que la maquina conecte con app wes , esta es actualizada, equipo de monitoreo 
100% operativo</t>
  </si>
  <si>
    <t>visita por apertura de llave emergencia, se acusa poco caudal en bañon de porteria.
sin envargo baño de damas tiene exelente caudal , de todas maneras es regulada llave de paso 
en valvula de control, se realiza prueba de apertura y corte en valvulas baja y alta presion 
manometro marcando 2bar de presion disponible, equipo 100% operativo.</t>
  </si>
  <si>
    <t>ESTANQUE C</t>
  </si>
  <si>
    <t>se encuentra tuberia de sensor dañado, se repara tuberia y cable cortado.</t>
  </si>
  <si>
    <t>se instala sensor ultrasonido para mejorar monitoreo wes.</t>
  </si>
  <si>
    <t>visita por apertura bypass en valvula de control, esta es regularizada
equipo 100% operativo.</t>
  </si>
  <si>
    <t>equipo sab desenergizado deja sin funcionamiento baño de damas,
baño de varones con valvula sin corte total, esta se ajusta 
quedando 100% operativa.</t>
  </si>
  <si>
    <t>revivio de equipo, 100% operativo</t>
  </si>
  <si>
    <t>revicion de sistema, prueba de valvulas ok, sensor de pulso es retirado,
por intervencion de aguas andinas, se proyecta instalacion de equipo ultrasonido.</t>
  </si>
  <si>
    <t>problema de control en sab baño damas, requiere cambio de placa.
equipo de monitoreo 100% operativo.</t>
  </si>
  <si>
    <t>prueva de funcionamiento en valvulas de contro,
equipo operativo.</t>
  </si>
  <si>
    <t>prueva de funcionamiento en valvulas de contro,
equipo 100% operativo.</t>
  </si>
  <si>
    <t>Cambio de Solenoide</t>
  </si>
  <si>
    <t>cambio de valvula control en cpa , equipo 100% operativo.</t>
  </si>
  <si>
    <t>equipo monitoriandon correctamente.</t>
  </si>
  <si>
    <t>Empalme electrico</t>
  </si>
  <si>
    <t>cambio de placa wes en tablero cir por defecto en alimentacion a valvulas de control, 
equipo 100% operativo.</t>
  </si>
  <si>
    <t>cambio de valvulas por mantenimiento preventivo
horario de presiom 90% 06:00-1900* 0%19:00-06:00</t>
  </si>
  <si>
    <t>mantenimiento valvula de alta presion cpa wes.</t>
  </si>
  <si>
    <t>revicion sab baños hombre y mujer, sistemas 100% operativo.
se encuentra sensor de pulso fuera de MAP, este es reinstalado.
equipo de monitoreo 100% operativo.</t>
  </si>
  <si>
    <t>sab con falla de poteciometro, descargas estanques cada 5 min ,
by pass en vavula de control baño hombre, valvula de control defectuosa 
vambio de valvula + solenoide + cambio de potenciometro , equipos sab 100% operativo.</t>
  </si>
  <si>
    <t>revicion sistema sab baños, cambio de voltimetro por falla,
este es remplazado qudando 100% operativo.</t>
  </si>
  <si>
    <t>cambio de dos potenciometros, cambio de membrana 
en valvula de contrl defectuosa, tiempo de llenado de estanque 
5:40 min.</t>
  </si>
  <si>
    <t>aumento de presion nocturna a 5%</t>
  </si>
  <si>
    <t>regulacion cpa wes</t>
  </si>
  <si>
    <t>configuracion de placa errada (hora-id-etc)
se actualiza microcontrolador pick it con ultimo codigo.</t>
  </si>
  <si>
    <t>Toma de Lectura Inicial</t>
  </si>
  <si>
    <t>termino auditoria sin wes, comienzo auditoria con wes lec; 109448</t>
  </si>
  <si>
    <t>comienzo auditoria con wes lec 108552</t>
  </si>
  <si>
    <t>Toma de Lectura Final</t>
  </si>
  <si>
    <t>lectura con wes 110982</t>
  </si>
  <si>
    <t>llave de emergencia actiada, se regula nuevamente a 1,5 m3 x hora 
lectura inicio con wes 110186</t>
  </si>
  <si>
    <t>lecturas herroneas a causa de falta cilicona en tranductores ultrasonido.</t>
  </si>
  <si>
    <t>06:30 apretura valvula de baja, llave con caudal bajo, esta es regulada segun nesesidad 
equipo operativo</t>
  </si>
  <si>
    <t>equipo se encuentra con energia electrica disponible,
falta instalavion de sensor ultrasonido 
se regulariza valvula con bypass.</t>
  </si>
  <si>
    <t>eqipo con bypass activado, se acusa escases hidrica en puntos mas alejados de map
valvulas de control en correcto funcionamiento</t>
  </si>
  <si>
    <t xml:space="preserve">comienzo auditoria sin wes lec map; 12175
</t>
  </si>
  <si>
    <t xml:space="preserve">comienzo auditoria sin wes lec map; 183144
</t>
  </si>
  <si>
    <t xml:space="preserve">comienzo auditoria sin wes lec map; 70672
</t>
  </si>
  <si>
    <t xml:space="preserve">comienzo auditoria sin wes lec map; 11146
</t>
  </si>
  <si>
    <t xml:space="preserve">comienzo auditoria sin wes lec map; 16214
</t>
  </si>
  <si>
    <t>comienzo auditoria sin wes lec map; 7713
map wes; 9538x0.01m3</t>
  </si>
  <si>
    <t>comienzo auditoria sin wes lec map; 123197
map wes; 313312x0.01m3</t>
  </si>
  <si>
    <t>comienzo auditoria sin wes lec map; 29083
map wes; 158701x0.1m3</t>
  </si>
  <si>
    <t>comienzo auditoria sin wes lec map; 11370
map wes; 121471x0.1m3</t>
  </si>
  <si>
    <t>comienzo auditoria sin wes lec map; 23508
map wes; 8210x0.1m3</t>
  </si>
  <si>
    <t>termino auditoria con wes lec map; 16611
lec wes; 36820x0,1 14 % rendimiento</t>
  </si>
  <si>
    <t>termino auditoria con wes lec map; 11522
lec wes; 70812 122178x0,1 % rendimiento</t>
  </si>
  <si>
    <t>termino auditoria con wes lec map; 20297
lec wes; 70812 29,7% rendimiento</t>
  </si>
  <si>
    <t>termino auditoria con wes lec map; 7791
lec wes; 17252x0,01 9,7% rendimiento</t>
  </si>
  <si>
    <t>termino auditoria con wes lec map; 12339
lec wes; 4383x0,1 21.7% rendimiento</t>
  </si>
  <si>
    <t>termino auditoria con wes lec map; 28683
lec wes; 183380 12.7% rendimiento</t>
  </si>
  <si>
    <t xml:space="preserve">termino auditoria sin wes, comienzo auditoria con wes 
lec map; 23582 lec ultrasonido wes;8737x0,1m3
</t>
  </si>
  <si>
    <t xml:space="preserve">termino auditoria sin wes, comienzo auditoria con wes 
lec map; 11704 lec map wes; 37865
</t>
  </si>
  <si>
    <t xml:space="preserve">termino auditoria sin wes, comienzo auditoria con wes 
lec map; 29167 lec ultrasonido; 159036x0,1m3
</t>
  </si>
  <si>
    <t xml:space="preserve">termino auditoria sin wes, comienzo auditoria con wes 
lec map; 123235 lec ultrasonido; 315698x0,01m3
</t>
  </si>
  <si>
    <t xml:space="preserve">termino auditoria sin wes, comienzo auditoria con wes 
lec map; 7754 lec ultrasonido; 13571x001,1m3
</t>
  </si>
  <si>
    <t xml:space="preserve">termino auditoria sin wes, comienzo auditoria con wes 
lec map; 16428 lec ultrasonido; 35862x0,1m3
</t>
  </si>
  <si>
    <t xml:space="preserve">termino auditoria sin wes, comienzo auditoria con wes 
lec map; 12267 lec ultrasonido; 3982x0,1m3
</t>
  </si>
  <si>
    <t>termino auditoria sin wes, comienzo auditoria con wes 
lec map; 11252 
instalacion equipo de medicion ultrasonido+ cambio de placa wes por defecto.
equipo 100% operativo.</t>
  </si>
  <si>
    <t>termino auditoria sin wes, comienzo auditoria con wes 
lec map; 20237 lec map wes ; 70754</t>
  </si>
  <si>
    <t>termino auditoria sin wes, comienzo auditoria con wes 
lec map; 183270</t>
  </si>
  <si>
    <t>termino auditoria sin wes, comienzo auditoria con wes 
lec map; 11455 lec ultrasonido 121843x0,1m3</t>
  </si>
  <si>
    <t>comienzo auditoria sin wes lec map; 37795
lec map wes;11631</t>
  </si>
  <si>
    <t>visita por desconexion de equipo se encuentra automatico diferencial abajo, cortando el suministro electrico a cir wes este es encendida dejando asi el equipo operativo.</t>
  </si>
  <si>
    <t>retiro de artefacto de control hidrico cpa retiro de gabinete metalico, pedestal metalico.</t>
  </si>
  <si>
    <t>matriz principal.- visita para regulacion caudal nocturna, fuga noche 2,6 m3 x hr regulacion nocturna a 14 m3 x hr. prederco equipo desconectado por falla de fuente switching esta es remplazada + actualizacion de codigo pickit</t>
  </si>
  <si>
    <t>Instalacion de cpa en matriz hidrica tupper equipo operativo.</t>
  </si>
  <si>
    <t>retiro de cpa de punto de control simulacion empalme ok.</t>
  </si>
  <si>
    <t>retiro de cpa en punto de control administracion</t>
  </si>
  <si>
    <t>retiro de sistema sir wes en punto de monitoreo carmen y artemio.</t>
  </si>
  <si>
    <t>cambio de 2 potenciometros cambio de membrana en valvula defectuosa, tiempo de llenado de estanque 5:40 min</t>
  </si>
  <si>
    <t>en baño de mujeres se realizo el cambio de un potenciometro, regulacion de descarga 5:00 min bypass activada en valvula de control. baño de hombres cambio de valvula de control mas solenoide cambio de potenciometro (2) regulacion de descarga dejandose en 5:00 min, quipos dejados operativos</t>
  </si>
  <si>
    <t>revision de sistema sab baños, cambio de voltimetro por falla (no cortaba voltaje) este es rremplazado dejando asi el equipo operativo.</t>
  </si>
  <si>
    <t>revision sistema sab baños hombres/mujeres sistema se deja operativo, se encuentra sensor de pulso fuera de map este es nuevamente instalado, equipo de monitoreo y control totalmente operativo.</t>
  </si>
  <si>
    <t>retiro de tablero cir, en punto administracion y simulacion equipos, sin energia electrica.</t>
  </si>
  <si>
    <t>regulacion nocturna en cpa impulsion, anteriormente en 12 m3 hora, actualmente se regula a 5m3 hora cambio de membrana en valvula de control baja. equipo queda opertivo.</t>
  </si>
  <si>
    <t>visita por desconecion del equipo, se encuentra automatico desenergisado
(se encuentra abajo) este se vuelve a energisar quedando equipo 
100% operativo.</t>
  </si>
  <si>
    <t>instalacion de nuevo sensor de pulso por cambio de MAP</t>
  </si>
  <si>
    <t>instalacion sensor ultrasonico 
lec ultrasonico 4x0,1 lec medidor 22294</t>
  </si>
  <si>
    <t xml:space="preserve">cambio de artefacto de medicion, instalacion ultrasonico
lec medidor 14020 lec ultrasonico 3x0,1m3
equipo operativo
</t>
  </si>
  <si>
    <t xml:space="preserve">cambio de artefacto de medicion, instalacion ultrasonico
lec medidor 28274 lec ultrasonico 10x0,1m3
equipo operativo
</t>
  </si>
  <si>
    <t xml:space="preserve">cambio de artefacto de medicion, instalacion ultrasonico
lec medidor 11518 lec ultrasonico 2x0,1m3
equipo operativo
</t>
  </si>
  <si>
    <t>regulacion cpa con maxima capasidad en caudal alta presion 90%
baja presion 70%, chequeo de arranque en en club hause ok.</t>
  </si>
  <si>
    <t>nueva regulacion horaria, lectura medidor 124055x0,01</t>
  </si>
  <si>
    <t>consumo am supera umbral de regulacion , se pasa de baja a media presion 
para sub sanar la condicion.</t>
  </si>
  <si>
    <t>modificacion de reseptaculo y tranductores ultrasonico
equipo operativo.</t>
  </si>
  <si>
    <t>instalacion sistema de monitoreo wes</t>
  </si>
  <si>
    <t>caudalimetro ultrasonico en falla por falta de silicona en tranductores
lectura 4723x0,01 Q:90 UP86 DN:86</t>
  </si>
  <si>
    <t>equipo desenergisado a causa de terseros, es normalisado.
lec ultrasoico 173429x0,01m3</t>
  </si>
  <si>
    <t>equipo desconectado, problemas en desconfiguracion de interfas
se actualiza codigo y se reprograma placa, quedando equipo operativo.</t>
  </si>
  <si>
    <t>se normalisabaño varones de media.
capasitacion app wes.</t>
  </si>
  <si>
    <t>desconexion por desconfiguracion a causa de ruido en placa , 
esta es reconfigurada quedando equipo operativo.</t>
  </si>
  <si>
    <t>memoria defectuosa , esta es remplazada, equipo 100% operativo</t>
  </si>
  <si>
    <t>MATRIZ PRINCIPAL</t>
  </si>
  <si>
    <t>cable sensor de pulso defectoso (sulfatado) tramo de cable es 
remplazado quedando equipo operativo</t>
  </si>
  <si>
    <t>restauracion de cañeria corriente debil, tramo map a 
gabinete matriz principal.</t>
  </si>
  <si>
    <t xml:space="preserve">maquina wes con llave de emergencia activada desde el dia 23-06-2023
se encuentra solenoide sin funcionamiento coinside horario con problemas hidrico en baños
se cambia solenoide dejando equipo 100% operativo
</t>
  </si>
  <si>
    <t>interfas desconfigurada, por ende router no podia trabajar
con normalidad , este es reconfigurado quedando equipo 100% operativo</t>
  </si>
  <si>
    <t>se aplica bypass en valvula de control a causa de falla en micro prosesador
cambio de memoria y micro pick it mas gabado de ultimo codigo
equipo 100% operativo</t>
  </si>
  <si>
    <t>sistema desconectado por remodelacion de todo el edificio
se habilita un empalme independiente para sistema wes, eddificio 
se regularizara dentro de 15 dias, caja electrica, diferencial y automatico
fue retirado por empresa constructora.</t>
  </si>
  <si>
    <t>equipo desconectado por fuente dañada, se retiran dos fuentes, 
se instala fuente de ultima generacion</t>
  </si>
  <si>
    <t>visita por activacion de llave bypass en cpa red sur; cable sulfatado 
provoca desconexion de solenoide en valvula de control, se remplaza canalisado y cables
equipor 100% operativo.</t>
  </si>
  <si>
    <t>fin auditoria con wes lectura 76083</t>
  </si>
  <si>
    <t>termino auditoria sin control
inicio auditoria con control lectura 225581</t>
  </si>
  <si>
    <t>termino auditoria con wes 24,4% rendimiento</t>
  </si>
  <si>
    <t>cambio de bateria solar, sistema 100% operativo</t>
  </si>
  <si>
    <t>visita por apertura de bypass en valvula de control por falta de 
presion, esta es regulada quedando equipo 100% operativo</t>
  </si>
  <si>
    <t>comienzo auditoria sin wes Lec tura medidor; 75068</t>
  </si>
  <si>
    <t>comienzo auditoria sin wes Lec tura medidor; 163002</t>
  </si>
  <si>
    <t>max 232 quemada, se cambia dejando equipo conectado</t>
  </si>
  <si>
    <t>llave de regulacion nocturna corrida, se normaliza para tener 0,5 m3 
nocturno.</t>
  </si>
  <si>
    <t>termino de auditoria con wes lec admn 163514 34% rendimiento , lec artemio 75437 sin rendimiento</t>
  </si>
  <si>
    <t>Comienzo de auditoria con wes</t>
  </si>
  <si>
    <t>termino de auditoria sin wes comienzo de auditoria con wes lec de administracion 163311 lec de simulacion 75252</t>
  </si>
  <si>
    <t>Cambio de valvula control cpa equipo se deja ooperativo</t>
  </si>
  <si>
    <t>Punto artemio actualizacion de codigo, carmen fuente de switching quemada, requiere cammbio</t>
  </si>
  <si>
    <t>Cambio de fuente 220v a 12v, dia 13-12-2024 cambio de MAP, por lo que se requiere cambio de sensor de pulso acorde al modelo sensus</t>
  </si>
  <si>
    <t>Reparacion de fuga hidrica, salida del cpa empalme al colegio, cambio de solenoide 2 valvulas de control se deja el equipo totalmente operativo.</t>
  </si>
  <si>
    <t>termino de auditoria con wes, lec matriz principal - 694648, lec sala de impulsion 629484</t>
  </si>
  <si>
    <t>Comienzo de audioria sin wes, lec 225483</t>
  </si>
  <si>
    <t>Modulo - retiro de sensor de pulso sensus y recuperacion de data, ovalo calle 14, Fusible quemado y placa apagada, este se cambia por un fusible nuevo dejando asi el equipo totalmente ooperativo.</t>
  </si>
  <si>
    <t>Fin de auditoria con control 442775</t>
  </si>
  <si>
    <t>Fin de auditoria con control</t>
  </si>
  <si>
    <t>comienzo de auditora con wes lec 448944</t>
  </si>
  <si>
    <t>Comienzo de audioria con wes matriz principal lec 694008 impulsion lec 629587</t>
  </si>
  <si>
    <t>termino de auditoria con wess Lec: .m principal 601395. lec ovalo novoche 629102</t>
  </si>
  <si>
    <t>ESC. OF ARTEMIO</t>
  </si>
  <si>
    <t>desconexion por ruido electrico, esta es configurada y puesta en linea. es. del carmen, corte de luz, corta el suministro de agua, provocando asi la ativacion de llave de emergencia por terceros, luego esta es regularizada por wes y normalizada .</t>
  </si>
  <si>
    <t>Visita por desconexion, placa de comunicacion en mal estado, no funciona, esta es remplazada quedando asi el equipo conectado . activacion de codigo en procesador.</t>
  </si>
  <si>
    <t>Solenoide valvula Baja presion en mal estado, esta es remplazada quedando equipo 100% operativo.</t>
  </si>
  <si>
    <t>Regulacion 100% 04:00 - 01:00, 10% 01:00 - 04:00 para ambos equipos, lectura de administracion 173597, simulacion - 079547</t>
  </si>
  <si>
    <t>actualiacion de regulacion verano, 06:00 a 23:00 100% - 23:00 a 23:59 , 00:01 a 06:00 - 10%</t>
  </si>
  <si>
    <t>Desconexion por placa pegada esta es reiniciada volviendo a la normalidad, cambio en funcionamiento de valvula se desabilita alta y se activa baja equipo operativo.</t>
  </si>
  <si>
    <t>LO BOZA - EDIFICIO PRINCIPAL CASINO</t>
  </si>
  <si>
    <t>Cambio de memoria, actualizacion de codigo en procesador equipo 100% operativo</t>
  </si>
  <si>
    <t>LO BOZA - POZO DE LAVADO DE VEHICULO</t>
  </si>
  <si>
    <t>retiro de puntos de monitoreo wes edificio princ. reutilizacion, 6v pozo, Lav. vehiculos.</t>
  </si>
  <si>
    <t>Llave bypass se encuentra activada desde dia 04-01-2025 a raiz de intervencion de terceros, equipo 100% operativo.</t>
  </si>
  <si>
    <t>Apertura de llave de emergencia por falta de agua en horario nocturno se realiza regulacion insitu con funcionarios de unidad, se detecta una bomba de alimentacion en mal estado, no se encuentra alimentando el baño que esta en frente a la oficina del jefe interno. Por lo tanto se aumenta el caudal nocturno a 159 LxM, Red impulsioin; apertura llave de emergencia esta es regulada a 160 LxM nocturno</t>
  </si>
  <si>
    <t>Lectura de validacion de sensor de pulso Lec; 481151 13:29 hrs</t>
  </si>
  <si>
    <t>placa pegada esta es reiniciada, Actualizacion de codigo en procesador equipo conectado y monitoreando, modulo D regulacion noct 9 LxM</t>
  </si>
  <si>
    <t>regulacion red impulsion dia 650 LxM noche 180 LxM 07:00 - 23:00 regulacion red sur dia 650 LxM noche 110 LxM 07:00 - 23:00</t>
  </si>
  <si>
    <t>sala de impulsion corte hidrico nocturno desde las 22:00 a las 07:00.</t>
  </si>
  <si>
    <t>Consumo actual 256 LxM consumo se regula al 50% para privilegiar llenado de estanque.</t>
  </si>
  <si>
    <t>Memoria en falla, esta es remplazada por una memoria nueva, se deja el equipo operativo</t>
  </si>
  <si>
    <t>MODULO ABC</t>
  </si>
  <si>
    <t>Router pegado este se reinicia y vuelve el internet, equipo conectado</t>
  </si>
  <si>
    <t>comienzo auditoria con wes lec 272483</t>
  </si>
  <si>
    <t>comienzo auditoria con wes lec 335485</t>
  </si>
  <si>
    <t>comienzo auditoria con wes lec 138166</t>
  </si>
  <si>
    <t>comienzo auditoria con wes lec 83767</t>
  </si>
  <si>
    <t>comienzo auditoria con wes lec 70885</t>
  </si>
  <si>
    <t>Auditoria con wes Lec 53838</t>
  </si>
  <si>
    <t>Auditoria con wes Lec 127351</t>
  </si>
  <si>
    <t>Auditoria con wes Lec 72389</t>
  </si>
  <si>
    <t>Auditoria con wes Lec 88640, se realiza cambio de una solenoide</t>
  </si>
  <si>
    <t>Auditoria con wes Lec 021895</t>
  </si>
  <si>
    <t>Auditoria con wes Lec 58010</t>
  </si>
  <si>
    <t>Auditoria con wes Lec 143467</t>
  </si>
  <si>
    <t>Auditoria con wes Lec 1711</t>
  </si>
  <si>
    <t>Auditoria con wes Lec 2208x0,01 m3</t>
  </si>
  <si>
    <t>Auditoria con wes Lec 8778</t>
  </si>
  <si>
    <t>Auditoria con wes Lec 122486</t>
  </si>
  <si>
    <t>Auditoria con wes Lec 9024</t>
  </si>
  <si>
    <t>Auditoria con wes Lec 21646</t>
  </si>
  <si>
    <t>Auditoria con wes Lec 36187</t>
  </si>
  <si>
    <t>Auditoria sin wes Lec, 272508</t>
  </si>
  <si>
    <t>comienzo de auditoria sin wes Lec, 235603</t>
  </si>
  <si>
    <t>comienzo de auditoria sin wes Lec, 138224.</t>
  </si>
  <si>
    <t>comienzo de auditoria sin wes Lec, 83814</t>
  </si>
  <si>
    <t>comienzo de auditoria sin wes Lec, 70895</t>
  </si>
  <si>
    <t>comienzo de auditoria sin wes Lec, 53863</t>
  </si>
  <si>
    <t>comienzo de auditoria sin wes Lec, 127427</t>
  </si>
  <si>
    <t>comienzo de auditoria sin wes Lec, 72642</t>
  </si>
  <si>
    <t>comienzo de auditoria sin wes Lec, 88820</t>
  </si>
  <si>
    <t>comienzo de auditoria sin wes Lec, 22021</t>
  </si>
  <si>
    <t>comienzo de auditoria sin wes Lec, 58044</t>
  </si>
  <si>
    <t>comienzo de auditoria sin wes Lec, 143487.</t>
  </si>
  <si>
    <t>comienzo de auditoria sin wes Lec, 1718</t>
  </si>
  <si>
    <t>comienzo de auditoria sin wes Lec, 4258x0,01m3.</t>
  </si>
  <si>
    <t>comienzo de auditoria sin wes Lec, 8828</t>
  </si>
  <si>
    <t>comienzo de auditoria sin wes Lec, 122509</t>
  </si>
  <si>
    <t>comienzo de auditoria sin wes Lec, 9118, se encuentra llave de emergencia abierta, sin dar aviso u notificacion.</t>
  </si>
  <si>
    <t>comienzo de auditoria sin wes Lec, 21722.</t>
  </si>
  <si>
    <t>comienzo de auditoria sin wes Lec, 36250.</t>
  </si>
  <si>
    <t>comienzo de auditoria con wes. Lec 272535.</t>
  </si>
  <si>
    <t>comienzo de auditoria con wes. 19 a 9 pm corte, Lec 235870.</t>
  </si>
  <si>
    <t>comienzo de auditoria con wes. Lec 138392</t>
  </si>
  <si>
    <t>comienzo de auditoria con wes. Lec 083852</t>
  </si>
  <si>
    <t>mantenimiento valvulas de CPA, comienzo de auditoria sin wes. Lec 70908</t>
  </si>
  <si>
    <t>Comienzo de auditoria con wes, Baño de damas presenta filtracion de agua, abajo del estanque.</t>
  </si>
  <si>
    <t>fin auditoria sin wes, Lec 58245.</t>
  </si>
  <si>
    <t>fin auditoria sin wes</t>
  </si>
  <si>
    <t>fin auditoria sin wes
lec 8932 rendimiento 51.92%</t>
  </si>
  <si>
    <t>fin auditoria sin wes
lec 9184</t>
  </si>
  <si>
    <t>fin auditoria sin wes
lec 36291</t>
  </si>
  <si>
    <t>fin auditoria con wes 9,8% rendimiento
lec 21806</t>
  </si>
  <si>
    <t>Termino de auditoria sin wes (Administracion), Comienxo de auditoria con wes (simulacion), Lec Administracion; 163311, Lec simulacion; 75252.</t>
  </si>
  <si>
    <t>Se normaliza baño varones Media, capacitacion app wes.</t>
  </si>
  <si>
    <t>Desconexion por placa "pegada" esta es reiniciada volviendo a la normalizacion. Cambio en funcionamiento de valvula se estabiliza alta y se activa baja equipo operativo.</t>
  </si>
  <si>
    <t>Activacion regulacion de verano; 06:00 a 23:00 - 100%, 23:00 a 23:59 - 10%, 00:01 - 06:00 - 10%</t>
  </si>
  <si>
    <t>Regulacion 100% 04:00 - 01:00 para ambos, 10% 01:00 - 04:00 equipos, Lectura administracion 173597 / Lec; Simulacion 079547.</t>
  </si>
  <si>
    <t>Solenoide de valvula de baja presion en mal estado, esta es remplazada quedando el equipo ooperativo.</t>
  </si>
  <si>
    <t>Termino de auditoria con wes, Lec. Principal; 601395. Lec ovalo calle 14; 629102.</t>
  </si>
  <si>
    <t>Comienzo de auditoria con wes, LEC 448944.</t>
  </si>
  <si>
    <t>Fin de auditoria con control.</t>
  </si>
  <si>
    <t>Fin de auditoria.</t>
  </si>
  <si>
    <t>Comienzo de auditoria sin Wes. Lec de medidor; 225484.</t>
  </si>
  <si>
    <t>desconexion por desconfiguracion y ruido en placa, esta se regulariza quedando totalmente operativa.</t>
  </si>
  <si>
    <t>punto costanera memoria defectuosa esta es remplazada, equipo en linea.</t>
  </si>
  <si>
    <t>cable de sensor de pulso defectuoso (sulfatada). tramo de cable es remplazado quedando totalmente operativo.</t>
  </si>
  <si>
    <t>rerstauracion de cañeria corriente debil tamaño map a gabinete matriz principal.</t>
  </si>
  <si>
    <t>deposito - cambio de memoria actualizacion codigo pick it Modulo D-reset chip equipo queda conectado y con control Modulo E - reset router equipo conectado ABC - actualizacion codigo PICK.</t>
  </si>
  <si>
    <t>actualizacion de Pick it mas programacion</t>
  </si>
  <si>
    <t>Placa pegada esta es reiniciada, actualizacion de codigo en prosecador. equipo conectado y funcionando, Modulo D; regulacion noct 9xL</t>
  </si>
  <si>
    <t>visita ureta cox, desconexion de puntos estanque cisterna id no corresponde y es actualizado, sistema conectado y monitoreando 100% operativo, lec medidor u.s. 9,6m3 Lec; medidor casino - 22509, Lec medidor ureta cox - 307200, Lec medidor san nicolas 131800.</t>
  </si>
  <si>
    <t>SAN NICOLAS</t>
  </si>
  <si>
    <t>Instalacion CIR de monitoreo. ureta COX</t>
  </si>
  <si>
    <t>Actualizacion de ID para comunicacion APP wes Lecturas: san nicolas 131849, taller MTTO 9,6, ureta cox 307232, Casino; 22513.</t>
  </si>
  <si>
    <t>Actualizacion de codigo pick it de todos los puntos de monitoreo, estanque C contabliza m3 de forma erronea. por motivo de humedad en empalme de sensor pscina - cambio de placa, por regulador de voltaje en buen estado.</t>
  </si>
  <si>
    <t>inicio de auditoria Con wes. Lec; 097612</t>
  </si>
  <si>
    <t>Segunda lectura de auditoria 4/11 - 6/11 se normaliza programacion cpa.</t>
  </si>
  <si>
    <t>QUILICURA - DERCOMAQ</t>
  </si>
  <si>
    <t>Comienzo de auditoria sin wes.</t>
  </si>
  <si>
    <t>M principal actualizacion de codigo pick it, Lav. Maq. Equipo desconectado cambio de ozax 232 sistema queda operativo.</t>
  </si>
  <si>
    <t>Cambio de fuente 220-24v equipo operativo.</t>
  </si>
  <si>
    <t>Se actulizo el codigo Pick it, cambio de memoria, causa raiz memoria en mal estado, se deja el equipo operativo.</t>
  </si>
  <si>
    <t>Desconexion falla de interfaz esta es reprogramada equipo operativo.</t>
  </si>
  <si>
    <t>fin de auditoria sin wes. Lec; 122532.</t>
  </si>
  <si>
    <t>desconexion de sistema por desatiblizacion de empalme por empresa electrica, sistema se empalma despues (aguas abajo) de interruptor difenrencial, equipo queda operativo.</t>
  </si>
  <si>
    <t>Comienzo de auditoria sin wes. Lec; 5876.</t>
  </si>
  <si>
    <t>fin de auditoria Lec; 27092.</t>
  </si>
  <si>
    <t>fin de auditoria Lec; 5986 perdida de aguas andinas, 15453x0,01 perdida de wes.</t>
  </si>
  <si>
    <t>fin de auditoria Lec; 10275.</t>
  </si>
  <si>
    <t>fin de auditoria Lec; 10796.</t>
  </si>
  <si>
    <t>fin de auditoria Lec; 8386.</t>
  </si>
  <si>
    <t>Lectura final auditoria. Lec; 178262.</t>
  </si>
  <si>
    <t>Normalizacion del CPA, Lec; 122120.</t>
  </si>
  <si>
    <t>Normalizacion del SAB, Normalizacion del CPA, Lec; 026992.</t>
  </si>
  <si>
    <t>Llave de emergencia activada por guardia. Inspectora solicita al guardia tenga el baño con estanque para evitar apertura de llave. Lec; 068300.</t>
  </si>
  <si>
    <t>equipo se reconecta quedando en linea, se realiza regulacion de equipo lec; 008296.</t>
  </si>
  <si>
    <t>Comienzo de auditoria sin wes lectura 026719.</t>
  </si>
  <si>
    <t>Comienzo de auditoria sin wes lectura 020475.</t>
  </si>
  <si>
    <t>Comienzo de auditoria sin wes lectura 035246.</t>
  </si>
  <si>
    <t>Comienzo de auditoria con wes lec 5934.</t>
  </si>
  <si>
    <t>Comienzo de auditoria sin wes lec 178056.</t>
  </si>
  <si>
    <t>Comienzo de auditoria sin wes lec 69190.</t>
  </si>
  <si>
    <t>Comienzo de auditoria sin wes lec de medidor 5877, lectura de medidor ultrasonido 4241x0,01.</t>
  </si>
  <si>
    <t>Comienzo de auditoria con wes lec. 35279</t>
  </si>
  <si>
    <t>Comienzo de auditoria sin wes lec. 122087.</t>
  </si>
  <si>
    <t>Comienzo de auditoria sin wes lec. 10536.</t>
  </si>
  <si>
    <t>Termino de auditoria con wes lec 68384. 23,64% de rendimiento, se realizo una actualizacion de codigo Pick it.</t>
  </si>
  <si>
    <t>Termino de auditoria, sin rendimiento lec 122175.</t>
  </si>
  <si>
    <t>Termino de auditoria con wes, sin rendimiento. Lec 35340, llave de emergencia se encuentra abierta.</t>
  </si>
  <si>
    <t>Conmienzo de auditoria sin wes Lec. 8741.</t>
  </si>
  <si>
    <t>Conmienzo de auditoria con wes Lec. 122455</t>
  </si>
  <si>
    <t>Conmienzo de auditoria con wes Lec. 8936</t>
  </si>
  <si>
    <t>Conmienzo de auditoria con wes Lec. 178192</t>
  </si>
  <si>
    <t>Conmienzo de auditoria con wes Lec. 10183</t>
  </si>
  <si>
    <t>Conmienzo de auditoria con wes Lec. 10677</t>
  </si>
  <si>
    <t>renovacion de tuberia y cables cir cpa equipo conectado y controlando, equipo se deja operativo.</t>
  </si>
  <si>
    <t>Comienzo de auditoria sin wes lec 874.</t>
  </si>
  <si>
    <t>Comienzo de auditoria con wes Lec 36046</t>
  </si>
  <si>
    <t>Comienzo de auditoria sin wes Lec 8082.</t>
  </si>
  <si>
    <t>Comienzo de auditoria sin wes Lec 10051.</t>
  </si>
  <si>
    <t>Comienzo de auditoria sin wes Lec 8200.</t>
  </si>
  <si>
    <t>Cambio de 2 solenoides en valvula de alta mas un cambiode membrana en valvula de baja.</t>
  </si>
  <si>
    <t>Cambio de equipo electronico ultrasonico equipo midiendo correctamente. Lec 0,13 m3 equipo queda operativo.</t>
  </si>
  <si>
    <t>Por problemas de control en cpa, se realiza el cambio de placa WES y fuente de 220v-12v. equipo queda operativo</t>
  </si>
  <si>
    <t>Comienzo de auditoria con wes, Lec. 143442</t>
  </si>
  <si>
    <t>Apertura bypass en horario am, se asegura apertura de 06:40 a 06:00 am. Equipo operativo.</t>
  </si>
  <si>
    <t>Regulacion de sistema cpa post elecciones. Equipo operativo</t>
  </si>
  <si>
    <t>Normalizacion de cpa post elecciones, equipo operativo.</t>
  </si>
  <si>
    <t>Visita por cambio de horario para dia sabado 07-09-24. Lechidrica 06:30 cierrre 20:00 hrs.</t>
  </si>
  <si>
    <t>Visita por cambio de horario, de adelanta 1 hora reloj de sistema wes. equipo operativo.</t>
  </si>
  <si>
    <t>Comienzo de auditoria con wes lec. 57966, cambio de ambas solenoides (2).</t>
  </si>
  <si>
    <t>Comienzo de auditoria con wes lec. 72189, cambio de membrana y cambio de solenoides.</t>
  </si>
  <si>
    <t>Rotura de 2 cañerias a causa de frustracion y canalizacion de tuberia electrica, estas ya fueron reparadas y probadas.</t>
  </si>
  <si>
    <t>Validacion wes lectura 01698</t>
  </si>
  <si>
    <t>Activacion cpa wes, Lectura 127306</t>
  </si>
  <si>
    <t>Activacion cpa wes</t>
  </si>
  <si>
    <t>Activacion cpa wes, Lec 872460</t>
  </si>
  <si>
    <t>validacion data, lectura 5x0,01 m3</t>
  </si>
  <si>
    <t>activacion cpa lec MAP 88469</t>
  </si>
  <si>
    <t>se activa bypass en ambas valvulas de control por falta de presion hidrica en establecimiento aguas andinas, no entrega suficiente presion hidrica.</t>
  </si>
  <si>
    <t>finalisacion actulisacion sistema wes lec MAP 57637</t>
  </si>
  <si>
    <t>lec map 86494</t>
  </si>
  <si>
    <t>renovacion de sistema cir, canalisacion de cableado sensor de pulso mas solenoide
equipo 100% operativo, lec map 233541</t>
  </si>
  <si>
    <t>instalacion sesnsor de pulso</t>
  </si>
  <si>
    <t>regulacion cpa con maxima capasidad de caudal, altra presion 90%
baja presion 70% chequeo de caudales ok.</t>
  </si>
  <si>
    <t>llamado de establesimiento por baja presion , se modifica horario de apertura 
antes 07:00am y se actualiza apertura a las 06:00am.</t>
  </si>
  <si>
    <t>revicion de equipo por desconexion, se recomienda renovacion de router.</t>
  </si>
  <si>
    <t>LAVADO AUTO SERVICIO NORTE</t>
  </si>
  <si>
    <t>puntos desconectados por router "pegado" este se cambia de empalme,
provocando su reinicio cada 1 hora.</t>
  </si>
  <si>
    <t>QUILICURA - EDIFICIO JCB</t>
  </si>
  <si>
    <t>equipo desconectado, este es reiniciado y empalmado a placa wes
para su reinicio</t>
  </si>
  <si>
    <t>desconexion por desconfiguracion , esta es regularizada 
equipo operativo.</t>
  </si>
  <si>
    <t>ruido en placa provoca desconfiguracion, check de memoria ok.
se requiere cambio de membrana en ambas valvulas de control</t>
  </si>
  <si>
    <t>activacion bypass por corte electrico e l comuna.
esta es regularizada chequeo de corte en valvulas ok.</t>
  </si>
  <si>
    <t>regurarisacion bypass en valvula de control.</t>
  </si>
  <si>
    <t>comienzo auditoria con control wes lec. 61029</t>
  </si>
  <si>
    <t>termino auditoria lec mdidor 61232 46% rendimiento.</t>
  </si>
  <si>
    <t>comienzo auditoria son wes lec. 60586</t>
  </si>
  <si>
    <t>corte hidrico se debe a solenoide en mal estado, esta es remplazada 
equipo 100% operativo.</t>
  </si>
  <si>
    <t>desconfiguracion horaria por duido en placa. se realiza testeo de memoria, 
chequeo de voltajes. sistema conectado y cpa operativo.</t>
  </si>
  <si>
    <t>ESC. EL BOSQUE ADMINISTRACION</t>
  </si>
  <si>
    <t>valvula de alta con problemas en solenoide, se remplaza solenoide quedando 100%
operativo</t>
  </si>
  <si>
    <t>desconexion y activacion de bypass por cortes electricos prolongados,
se regula caudal nocturno a 170 lxm, equipo 100% operativo.</t>
  </si>
  <si>
    <t>urto de solenoide en valvula de control baja, esta es repuesta e instalada 
se normaliza sistema cpa.</t>
  </si>
  <si>
    <t>visita por membrana defectuosa, ambas membranas en las estado , 1 solenoide en mal estado 
se considera cambio de membranas en valvulas de control.</t>
  </si>
  <si>
    <t>cambio de membrana en valvula de control, equipo 100% operativo</t>
  </si>
  <si>
    <t>cambio de fuente de poder, cambio de placa wes, cambio de solenoide,
equipo 100% operativo</t>
  </si>
  <si>
    <t>desconexion por ruido electrico, cambio de fuente switching, chequeo de voltajes ok,
equipo 100% operativo.</t>
  </si>
  <si>
    <t>EDIFICIO DEPORTIVO</t>
  </si>
  <si>
    <t>tranductor up sin gel ultrasonico, se repara condicion dejando equipo operativo.</t>
  </si>
  <si>
    <t>error en memoria externa, integrado defectuoso, se realiza cambio dejando equipo operativo</t>
  </si>
  <si>
    <t>cable de red agunsa dañado en canalisacion, se decide dejar router agunsa 
dentro del gabinete wes para proteger router y asegurar la conectividad</t>
  </si>
  <si>
    <t>normalisacion de sistema, recuperacion de membrana ok, regulacion nocturna 
19lxm, equipo 100% operativo</t>
  </si>
  <si>
    <t>visita por reprogramacion horaria, relos adelantado 1 hora se 
normalisa, equipo 100% operativo.</t>
  </si>
  <si>
    <t>activacion de bypass por corte de luz en comuna</t>
  </si>
  <si>
    <t>equipo desconectado, este es reiniciado, quedando en linea, 100% operativo</t>
  </si>
  <si>
    <t>normalisacion control nocturno cpa, 50ltxmin</t>
  </si>
  <si>
    <t>ESC. EL BOSQUE GENCHI ACADEMIA</t>
  </si>
  <si>
    <t>cambio de fuente switching, cambio de pick+reloj+memoria que fueron 
dañados por fuente antigua</t>
  </si>
  <si>
    <t>bateria solar con carga baja, queda cargando sin conexion por 72hrs</t>
  </si>
  <si>
    <t>reconexion a bateria (13.1v) se programa interas de 15 min para recuperacion de data.
equipo 100% operativo</t>
  </si>
  <si>
    <t>punto caido por baja de automatico, cambio de empalme soluciona el problema raiz
equipo 100% operativo</t>
  </si>
  <si>
    <t>valvula de alta y baja presion no sierra, se requiere camcio de membrana.</t>
  </si>
  <si>
    <t>regulacion alta presion 980lxm
regulacion baja preion 780lxm.</t>
  </si>
  <si>
    <t>LAVADO AUTO SERVICIO SUR</t>
  </si>
  <si>
    <t>sensor de pulso removido por terceros, este es fijado quedando operativo.</t>
  </si>
  <si>
    <t>sensor de pulso fuera de postura por reparacion hidrca efectuada.
esta es reinstalada quedando operativo.</t>
  </si>
  <si>
    <t xml:space="preserve">instalacion punto de monitoreo, gabinete cir + placa wes+ router tp link+ sensor de pulso.
</t>
  </si>
  <si>
    <t>ruido en placa provoca desconfiguraciin de horarios, se realiza cambio de memoria 
y confuguracion de horarios.</t>
  </si>
  <si>
    <t>QUILICURA - CASINO</t>
  </si>
  <si>
    <t>sensor de pulso fuera de postura, este es reinstalado. equipo operativo.</t>
  </si>
  <si>
    <t>SISTEMA CON RUIDO EN PLACA CAUSA CAMBIOS DE HORARIO E ID
CHEQUEO DE MEMORIA ARROJA CERO ERROR. PLACA PUESTA EN LINEA</t>
  </si>
  <si>
    <t>equipos desconectados; lav.maquinaria/ proderco/jcb/M.principal
todos los puntos son puesto en linea.
M. principal, cambio de empalme, alimentado desde placa wes 9v
proderco, cambio de empalme, alimentado desde placa wes 9v.</t>
  </si>
  <si>
    <t>en base al consumo constante de 5m3hora se regula a la baja, a 3m3xhora 
maximo en periodo nocturno</t>
  </si>
  <si>
    <t>placa pegada por fuente, se realiza reinicio de sistema, se programa cambio 
para reparacion final.</t>
  </si>
  <si>
    <t>membrana desformada, se realiza complra de repuesto para planificar cambio.</t>
  </si>
  <si>
    <t>cambio de membrana en valvula de baja, cambio de memoria en cir</t>
  </si>
  <si>
    <t>regulscion de baja presion; de 780lxm a 680lxm</t>
  </si>
  <si>
    <t>punto desconectado, cambio de empalme de router, conectado actualmente a placa wes.</t>
  </si>
  <si>
    <t>sistema desconectado por ruido en placa,chequo de memoria arroja 0 defecto,
esta es reconfigurada quedando 100% operativa.</t>
  </si>
  <si>
    <t>SENSOR DE PULSO REMOVIDO POR VIBRACION EN CPA, ESTE ES FIJADO CON TORNILLO</t>
  </si>
  <si>
    <t>ELEMENTARY</t>
  </si>
  <si>
    <t>retiro de gabinete wes+ placa de establecimiento 
validacion datos punto teatro 0,1% de error app wes vs map.</t>
  </si>
  <si>
    <t>cambio de fuente switching para puntos de monitoreo 
elementary 91217/teatro 5689/high school 32034</t>
  </si>
  <si>
    <t>cir con problemas en cargador solar este es remplazado quedando 100% operativo
solenoide en mal estado es remplazada quedando equipo cpa 100% operativo.</t>
  </si>
  <si>
    <t>valvula desfectuosa, cambio de membrana en valvula de control quedando 100% operativa.</t>
  </si>
  <si>
    <t>restauracion de camara cpa, recontruccion en ladrillo e instalacion de tapa camara 
reinstalacion sistema cir, placa y fuente switching</t>
  </si>
  <si>
    <t>visita por no descarga de estanque sab baño varones, llave de paso en mal estado
impide paso de agua por agripamiento, esta es manipulada hasta lograr un mayor caudal,
se solicita cambio de tuberia</t>
  </si>
  <si>
    <t>visita por corte electrico provoca corte de agua, activacion de bypass, 
se regulariza bypas y se regula caudal nocturno a 5lxm</t>
  </si>
  <si>
    <t>visita por problemas de lectura, sensor de pulso removido por vivraciones 
de cpa, este es fijado con tornillo quedando 100% operativo</t>
  </si>
  <si>
    <t>cir sin energia 220v a causa de automatico caido por corte electrico,
este es normalisado sistema 100% operativo</t>
  </si>
  <si>
    <t>visita por desconexion, desconfiguracion horaria proboca desconexion de equipo
chequeo de memoria y reconfiguracion equipo 100% operativo</t>
  </si>
  <si>
    <t>extencion horaria 07:00 a 22:30 lunes a domingo por obras en establecimiento</t>
  </si>
  <si>
    <t>extencion horaria de 07:00 a 22:30 de lunes a domingo por obras en el establecimiento</t>
  </si>
  <si>
    <t>problemas de comunicacion, cambio de max 232, equipo 100% operativo.</t>
  </si>
  <si>
    <t>desconexion por desconfiguracion se cambia memoria y pick it equipo 100% operativo.</t>
  </si>
  <si>
    <t>remodelacion tapa de camara cpa aplicacion de liquido 
deswoxidante a pernos y tuercas.</t>
  </si>
  <si>
    <t>chequeo cpa, valvulas de control ok.</t>
  </si>
  <si>
    <t>chequeo de cir ok, chequeo de cpa, cambio de solenoide en valvula de baja 
sistema 100% operativo.</t>
  </si>
  <si>
    <t>chequeo cir y cpa, sistema 100% operativo</t>
  </si>
  <si>
    <t>cir con control remoto suelto provoca corte electrico desenergisando placa
esta es regularizada equipo 100% operativo</t>
  </si>
  <si>
    <t>se solisita cambio de bateria u nuevo empalme electrico 
sab en buenas condiciones funcionamiento 100% operativo</t>
  </si>
  <si>
    <t>chequeo cir y cpa 100% operativo</t>
  </si>
  <si>
    <t>sistema 100% operativo chequeo cir y cpa 100% operativo.
sistema sab es retirado de baño de establecimiento</t>
  </si>
  <si>
    <t>sistema desconfigurado a causa de memoria defectuosa , se cambia memoria 
quedando sistema 100% operativo.</t>
  </si>
  <si>
    <t>se solicita cambio de fuente switching y cambio de empalme por problemas reiterativos 
de corte electrico en linea 
sab baño varones en buen estado, baño damas placa no hace el corte electrico, se requiere cambio 
de potenciometro</t>
  </si>
  <si>
    <t>sistema sab baño damas 100% operativo
baño de varones chequeo de valvulas y solenoide ok, sensor de movimiento en 
mal estado se solisita recambio.</t>
  </si>
  <si>
    <t>se solicita renovsr sistrema cir, placa fuente switching + revicion de cpa 
( valvulas de control antiguas)</t>
  </si>
  <si>
    <t>sistema sab 100% operativo, cpa 100% operativo 
cpa 100% operativo</t>
  </si>
  <si>
    <t>sistema sab 100% operativo, placa desconfigurada, se solicita cambio de fuente swiching 
cpa inundado por fuga en valvula de control, se solicita cambio de ambas valvulas de contro</t>
  </si>
  <si>
    <t>revicion sistema cpa y cir 100% operativo
se remplaza solenoide por mal funcionamiento.</t>
  </si>
  <si>
    <t>revicion sistema cpa y cir 100% operativo
revicion sistema sab 100% operativo</t>
  </si>
  <si>
    <t>revicion cpa y cir ok, sistema sab 100% ooperativo, ruido en placa desconfigurada, 
memoria es reprogramada se solicita cambio de fuente switching.</t>
  </si>
  <si>
    <t>chequeo cir y cpa ok, sistema sab 100% operativo</t>
  </si>
  <si>
    <t xml:space="preserve">sistema cpa y valvulas de control ok, sistema cir requiere cambio de fuente switching,
por ruidos en placa, esta es reprogramada y pesta en linea, sistema cir100% operativo
</t>
  </si>
  <si>
    <t>normalisacion equipo cpa regulacion; nocturna 0,6m3x hora 00:01-06:00
se programa de 3:00 a 4:00 maxima presion para evaluar nivel de fuga.</t>
  </si>
  <si>
    <t>sistema chequeo sab 100% operativo.
sistema chequeo cir ok, cpa con 1 valvula de operativa y valvula 2 con problemas de funcionamiento 
se soliita cambio de valvula u membrana.</t>
  </si>
  <si>
    <t xml:space="preserve">regulacion sistema hidrico cpa lec; 556724
</t>
  </si>
  <si>
    <t>remodelacion tapa de camara y mantencion desixiante a pernos y tuercas.</t>
  </si>
  <si>
    <t>visita por corte electrico en unidad se revisaron todo los equipos 
asegurando el correcto funcionamiento</t>
  </si>
  <si>
    <t>regulacion nocturna de 0,5m3 a 0,8m3 programacion especial fin de año 2023.</t>
  </si>
  <si>
    <t>memoria dañada provoca error de programacion , se cambia memoria y se normaliza equipo</t>
  </si>
  <si>
    <t>llave bypass activada por falta de agua en periodo nocturno, esta es regulada a 12lxm nocturno.
modificacion horaria, programaion de dia lunes queda para toda la semana.</t>
  </si>
  <si>
    <t>llave bypass activada por falta de agua en periodo nocturno, esta es regulada a 16,6lxm nocturno.</t>
  </si>
  <si>
    <t xml:space="preserve">app marcando 0 en grafico; se visita terreno encontrando cable sulfatado en linea de canalisacion 
sensor de pulso, este es reparado equipo monitoriando 100% operativo 
</t>
  </si>
  <si>
    <t>visita por apertura llave de emergencia dia sabado 24-02-2024 esta es regularizada 
a 14 a 16 lxm nocturno.</t>
  </si>
  <si>
    <t>visita por apertura llave emergencia, esta es regularizada a 13 lxm nocturno
equipo 100% opertativo</t>
  </si>
  <si>
    <t>fin auditoria con wes; sabado 28-01-24; se activa protocolo de emergencia por corte 
electrico, el equipo de mantencion notifica que el quipo electrogeno no tiene partida 
automatica lo que proboca el corte hidrico.</t>
  </si>
  <si>
    <t>regulacion nocturna y diurna ajustado. dia 900lxm noct. 100lxm</t>
  </si>
  <si>
    <t>visita por activacion de bypass, se visita punto no encontrando anomalidad en sistema 
chequeo de pertura y bcierre de valvula de control, cheque funcionamiento solenoide 
cir y cpa 100% operatrivo, cambio de pick it.</t>
  </si>
  <si>
    <t>visita por desconexion; se realiza actualisacion de pick it, cambio de empalme alimentacion 
amplimax 24v actualmente alimentado de fuente switching24v punto monitoriando 
100% operativo.</t>
  </si>
  <si>
    <t>visita por activacion llave bypass, esta es regularizada, corte de agua se debe a 
soleniude en mal estado, esta es remplazada equipo 100% opertativo</t>
  </si>
  <si>
    <t>desconexion por desconfiguracion de memoria, no que no afecta disponibilidad hidrica 
se realiza chequeo de memoria, sin defecto. Punto conectado cpa y cir 100% operativo</t>
  </si>
  <si>
    <t>visita por baja presion en las mañanas, se realizan pruebas de presion no teniendo 
resultado positivo se presume "fuga existente" por despresurisacion de caudal.</t>
  </si>
  <si>
    <t>placa pegada, esta es reiniciada y chequeado los voltajes, 
equipo de monitoreo 100% operativo.</t>
  </si>
  <si>
    <t xml:space="preserve">cambio de funciones en valvulas de control., valvula de baja pasa a ser alta presion,
horario de apertura hidrica, 07:00, cierre hidrico 23:00hrs.
</t>
  </si>
  <si>
    <t>visita por apertura llave de emergencia, dia sabado 24-02-2024
esta es regularizada de 14-16lxm nocturno</t>
  </si>
  <si>
    <t>visita por apertura llave de emergencia, esta es regulada a 13lxm
nocturno, equipo 100% operativo.</t>
  </si>
  <si>
    <t>fin auditoria con wes medidor AA; 606228 medidor wes; 548619, auditoria en cpa requiere repeticion 
en impulsion por trabajos realizador en semana sin wes (corte de agua)</t>
  </si>
  <si>
    <t>se programa con nocturna y valvula de baja cumpliendo las funciones de alta con 900lxm
maximo entregado por la sanitaria sacyr.; lectura medidor 136777</t>
  </si>
  <si>
    <t>valvula de alta requiere cambio de membrana</t>
  </si>
  <si>
    <t>programacion cpa wes baja presion 00:01-06:00
06:00-10:00/12:00-24:00/17:00-23:59 alta presion 1250lxm
10:00-12:00/14:00-17:00 media presion 850lxm</t>
  </si>
  <si>
    <t>se normaliza equipo, baja presion desde las 00:01- 06:00 200lxm
alta presion desde las 06:00- 23:59 650lxm</t>
  </si>
  <si>
    <t>max 232 quemada, esta es remplazada.</t>
  </si>
  <si>
    <t>auditoria sin wes miercoles a jueves / auditoria con wes jueves a viernes 
lectura AA; 261303 /lectura wes; 068062</t>
  </si>
  <si>
    <t>se regula meia presion a alta presion de 09:00 a 16:00 
por falta de agua en torre 3</t>
  </si>
  <si>
    <t>vista por activacion de bypass, sistema regularizadon 
equipo 100% operativo</t>
  </si>
  <si>
    <t>regulacion de sistema cpa, sistema 100% operativo.</t>
  </si>
  <si>
    <t>por motivos de remodelacion en 2 baños del establecimiento se retiran 
2 sensores de movimiento 1 placa sab 1 transformador de 220v a 12v
1 transformador de 220v a 24v</t>
  </si>
  <si>
    <t>visita por fuga hidrica en valvula de control sistema sab,
fuga reparada, sistema sab 100% operativo</t>
  </si>
  <si>
    <t>reprogramacion horaria corte hidrico a las 23:59
cambio de valvula de control+solenoide en baño varones 
sistema sab 100% operativo.</t>
  </si>
  <si>
    <t>visita por falta de presion en linea hidrica, cambio de membrana y solenoide en 
valvula de control (mejora caudal en punto critico ( cocina)
regulacion caudal sab baños damas ok. estanque secundario co problemas de vaciado
se informa a marcelo carrasco para su reparacion.</t>
  </si>
  <si>
    <t>modificacion corte hidrico a las 23:00hrs
equipo 100% operativo</t>
  </si>
  <si>
    <t>regularisacion sistema cpa, apertura hidrica 07:00, corte hidrico 23:00,
equipo 100%operativo</t>
  </si>
  <si>
    <t>sistema con automatico caido a causa de corte electrico externo, chequeo de voltajes,
cir y cpa 100% operativo</t>
  </si>
  <si>
    <t>memoria desconfigurada, chequeo de memoria cero error , esta es 
reprogramada y puesta en marcha.</t>
  </si>
  <si>
    <t>placa pegada, cambio y gravado de pick it</t>
  </si>
  <si>
    <t>nueva regulacion nocturna por reclamos de guardias que trabajan durante la noche,
16.6lxm equipo 100% operativo</t>
  </si>
  <si>
    <t>visita por activacion de bypass, esta es nuevamente regulada a 12 lxm nocturno,
modificacion horaria programacion de lunes se mantiene hasta el domingo</t>
  </si>
  <si>
    <t>normalisacion control hidrico nocturno , 08m3 hora</t>
  </si>
  <si>
    <t>valvula de control no cierra por causa de membrana desformada, se cambia de valvula
y se pone puesta en marcha de valvula secundaria apertura horaria 07:00-21:00 cierre</t>
  </si>
  <si>
    <t>llave by pass abierta, se normaliza condicion en horario de apertura 07:00-21:00</t>
  </si>
  <si>
    <t>llave by pass abierta, se normaliza condicion.</t>
  </si>
  <si>
    <t>equipo wes en falta de pick se mejora condicion dejando el equipo 100% operativo</t>
  </si>
  <si>
    <t>personal de mantencion manipula llaves de cpa con la intencion de realizar corte hidrico
para reparar fuga existente en modulos, se regula caudal nocturno equipo 100% operativo</t>
  </si>
  <si>
    <t>cambio de sensor movimiento baño varones 
equipo 100 % operativo.</t>
  </si>
  <si>
    <t xml:space="preserve">sab de baño damas reparado, se realiza limpiesa de pista en placa sab ,
cambio de dos potenciometros quedando equipo 100%operativo. 
</t>
  </si>
  <si>
    <t>apertura llave de emergencia, membtrana desformada no permite apertura 
de valvulas, cambia el uso de valvula quedando operativa la de alta presion
equipo 100% operartivo</t>
  </si>
  <si>
    <t>extencion horaria de 07:00 a 22:00 de lunes a domingo por trabajos en los colegios.</t>
  </si>
  <si>
    <t>memoria dañada por fuentes, se remplaza memoria,placa y fuente 
normalisacion de equipo 06:00 a 18:00 100%
18:00 a 22:00 50%
22:00 a 06:00 0%</t>
  </si>
  <si>
    <t>MOLYMET</t>
  </si>
  <si>
    <t>CASA DE CAMBIO</t>
  </si>
  <si>
    <t>re configuracion medidor ultrasonico
lectura de validacion, revicion conectividad.</t>
  </si>
  <si>
    <t>punto caido por falta de energia 220v,
se realiza levantamiento para nuevo empalme electrico
acceso a empalme existente no es posible por desconocimiento de llaves del sector .</t>
  </si>
  <si>
    <t>termino nauditoria sin wes / comienzo auditoria con wes 
lectura medidor 074125</t>
  </si>
  <si>
    <t>visita por desconexion, placa pegada por desconfiguracion , alarma reconfigurada 
horario reprogramado , equipo de monitoreo 100% operativo.</t>
  </si>
  <si>
    <t>punto desconectado, chequeo de router, placa roja , chequeo de voltajes 
equipo 100% operativo</t>
  </si>
  <si>
    <t>regulacion nocturno de 0,5m3 a 0,8m3
programacion especial fin de añon 2023.</t>
  </si>
  <si>
    <t>memoria dañada provoca error en programacion 
se cambia memoria y se normaliza equipo.</t>
  </si>
  <si>
    <t>desconexion por placa pegada, esta es reiniciada y chequeada, equipo 100% operativa.</t>
  </si>
  <si>
    <t>descinexion por fuente quemada, esta es remplazada y chequeada 
equipo 100% operativo.</t>
  </si>
  <si>
    <t>cambio de fuente switching, equipo conectado 100% operativo.</t>
  </si>
  <si>
    <t>falla en apertura de valvulas de control cpa placa alimentacion de solenoides
con voltajes negativos 
-cambio de placa wes/cambio de membrana a una valvula/ cambio de 2 
solenoides NO 
equipo conectado 100% operativo.</t>
  </si>
  <si>
    <t>sistema desconectado por desconfiguracion de memoria, cambio de transformadores 
a fuente switching sistema 100% operativo</t>
  </si>
  <si>
    <t>apertura bypass a valvula de control por plebicito de dia domingo 17-12-23</t>
  </si>
  <si>
    <t>se activa llave de emergencia al 100% por plebicito de dia domingo 17-12-23</t>
  </si>
  <si>
    <t>se activa llave de emergencia por plebicito de dia domingo 17-12-23</t>
  </si>
  <si>
    <t>consumo fantasma"fuga" elevada provoca vaciado de estanque , por este motivo 
se cancela auditoria sin control, se acuerda programa cpa wes con los siguientes horarios
baja presion; 23:00-06:00 10% media presion 06:00-10:30///14:00-23:00 70%
alta presion 10:30-14:00 100% del caudal</t>
  </si>
  <si>
    <t>comienzo auditoria sin wes, lectura medidor 
14777</t>
  </si>
  <si>
    <t>regulacion numero 6</t>
  </si>
  <si>
    <t>regulacion nocturna entre las 00:01-05:30
media; 22:00-23:59
alta 05:30- 22:00</t>
  </si>
  <si>
    <t>regulaion nocturna al 20%
regulacion diutna al 100%</t>
  </si>
  <si>
    <t>regulacion nocturna entre las 22:00 y las 06:00 4ta regulacion. lec medidor ; 13932</t>
  </si>
  <si>
    <t>regulacion nocturna entre 02:00-06:00 al 50% regulacion Nª 5 lec. medidor; 13977</t>
  </si>
  <si>
    <t>visita por desconexion, motivo, desconfiguracion 
por ruidos en linea electrica, punto configurado y 
chequeado, equipo 100% operativo.</t>
  </si>
  <si>
    <t>OPEN PLAZA - MATRIZ PRINCIPAL</t>
  </si>
  <si>
    <t>cambio de fuente switching</t>
  </si>
  <si>
    <t>por placa pegada se remplaza fuente switching , punto
conectado 100% operativo</t>
  </si>
  <si>
    <t>jueves 30-11-23 reparacion de fuga en matriz principal, sector sur,
trabajo ejecutado sin novedad.
lunes 4-12-23 estrega de trabajos ejecutados el dia 30-11
estucado y mejora de camara de registro.</t>
  </si>
  <si>
    <t>visita por desconexion , estado de placa wes " pegada "
cambio de fuente switching alimentacion placa, punto wes conectado
100% operativo.</t>
  </si>
  <si>
    <t>visita por desconeccion, se realiza configuracion id, horarios, alarmas, cal, 
chequeo en general, sistema 100% operativo.</t>
  </si>
  <si>
    <t>termino de auditoria sin wes, comienzo auditoria con wes;
lectura medidor; 055389</t>
  </si>
  <si>
    <t>a causa de valvulas de control en mal estado baja considerablemente presion de agua en establesimiento 
se programa cambio de membrana en valvulas de controlpara el dia miercoles 22/11/23
corte de agua programado para las 16:30</t>
  </si>
  <si>
    <t>placa "pegada" chequeo de parametros y reinicio de placa, sistema 100%
operativo.</t>
  </si>
  <si>
    <t>testeo de memoria, cambio de reloj, actualisacion de pick a causa de desconexion
sistema 100% operativo.</t>
  </si>
  <si>
    <t>cambio sensor de pulso, sistema 100% operativo</t>
  </si>
  <si>
    <t>termino auditoria con wes lec. medidor; 453675
medidor sacyr; 966884</t>
  </si>
  <si>
    <t>termino auditoria con wes lec. medidor; 456834
medidor sacyr; 966884</t>
  </si>
  <si>
    <t>visita por desconfiguracion placa wes, cambio de fuente de poder, 
220v-12v configuracion de sistema, cambio de solenoide valvula de alta 
sistema 100% operativo.</t>
  </si>
  <si>
    <t>comienzo auditoria sin wes
lec. medidor; 55256</t>
  </si>
  <si>
    <t>visita por activacion llave emergencia, a causa de desconfiguracion horaria , proboca 
mal funcionamiento de sistema CPA, configuracion horaria y chequeo ok, sistema 100%
operativo.</t>
  </si>
  <si>
    <t>corte de agua a causa de desconfiguracion horaria, sistema
reprogramado, equipo 100% operativo</t>
  </si>
  <si>
    <t>visita por corte de agua,se revisa sistema no encontrando error en programacion
a consecuensia de corte de agua puntual, se deduce que falta de agua es probocada por 
compañia aguas andinas.</t>
  </si>
  <si>
    <t>nueva regulacion alta &gt; 05:30&gt;22:00
media 22:00&gt;23:59 baja 00:01&gt; 05:30</t>
  </si>
  <si>
    <t>instalacion cpa, sin perdida equipo hidrico 100% operativo lec medidor 013413</t>
  </si>
  <si>
    <t>nueva regulacion 06;00&gt;23:59 alta 60%
23:59&gt; 06:00 baja 10%, cambio de memoria lec medidor;583317</t>
  </si>
  <si>
    <t>termino auditoria sin control/comienzo auditoria con wes, lectura medidor; 453123
medidor sacyr; 958073</t>
  </si>
  <si>
    <t>termino auditoria sin control/comienzo auditoria con wes, lectura medidor; 449719
medidor sacyr; 958073</t>
  </si>
  <si>
    <t>comienzo auditoria sin wes, lectura medidor; 444859
medidor sacyr; 946718</t>
  </si>
  <si>
    <t>punto desconectado por placa pegada, esta es reiniciada quedando 
conectada y operativa, comienzo auditoria sin wes, lectura medidor; 447359
medidor sacyr; 946718</t>
  </si>
  <si>
    <t>fin auditoria con wes lec. medidor &gt;210659</t>
  </si>
  <si>
    <t>auditoria con wes lec. medidor &gt;114475</t>
  </si>
  <si>
    <t xml:space="preserve">termino auditoria con wes; 
lectura medidor &gt; 266634
rendimiento 29,2% de rendimiento.
</t>
  </si>
  <si>
    <t xml:space="preserve">termino auditoria con wes; 
lectura medidor &gt; 218702
rendimiento 61% de rendimiento.
</t>
  </si>
  <si>
    <t xml:space="preserve">termino auditoria con wes; 
lectura medidor &gt; 129338
rendimiento 64,6% de rendimiento.
</t>
  </si>
  <si>
    <t xml:space="preserve">termino auditoria con wes; 
lectura medidor &gt; 079054
rendimiento 26,5% de rendimiento.
</t>
  </si>
  <si>
    <t xml:space="preserve">termino auditoria con wes; 
lectura medidor &gt; 49630
rendimiento 66% de rendimiento.
</t>
  </si>
  <si>
    <t xml:space="preserve">termino auditoria con wes; 
lectura medidor &gt; 120084
rendimiento 74,5% de rendimiento.
</t>
  </si>
  <si>
    <t xml:space="preserve">termino auditoria con wes; 
lectura medidor &gt; 49060
rendimiento 69,6% de rendimiento.
</t>
  </si>
  <si>
    <t xml:space="preserve">termino auditoria con wes; 
lectura medidor &gt; 067717
rendimiento 16,6% de rendimiento.
</t>
  </si>
  <si>
    <t xml:space="preserve">termino auditoria con wes; 
lectura medidor &gt; 139710
rendimiento 42,5 % de rendimiento.
</t>
  </si>
  <si>
    <t xml:space="preserve">termino auditoria con wes; 
lectura medidor &gt; 009688
rendimiento 50 % de rendimiento.
</t>
  </si>
  <si>
    <t xml:space="preserve">termino auditoria con wes; 
lectura medidor &gt; 045922
rendimiento 38,3 % de rendimiento.
</t>
  </si>
  <si>
    <t xml:space="preserve">comienzo auditoria sin wes
lectura medidor &gt; 078974
</t>
  </si>
  <si>
    <t>comienzo auditoria sin wes
lectura medidor &gt; 049248
se solicita revisar sensor sistema sab baño barones.</t>
  </si>
  <si>
    <t xml:space="preserve">comienzo auditoria sin wes
lectura medidor &gt; 218488
</t>
  </si>
  <si>
    <t xml:space="preserve">comienzo auditoria sin wes
lectura medidor &gt; 266523
</t>
  </si>
  <si>
    <t>comienzo auditoria sin wes
lectura medidor &gt; 0484417
sistema desconectado a causa de desconfiguracion horaria,
esta es normalizada y conectada a app wes.</t>
  </si>
  <si>
    <t>comienzo auditoria sin wes
lectura medidor &gt; 119848</t>
  </si>
  <si>
    <t>comienzo auditoria sin wes
lectura medidor &gt; 06794</t>
  </si>
  <si>
    <t>comienzo auditoria sin wes
lectura medidor &gt; 139581</t>
  </si>
  <si>
    <t>comienzo auditoria sin wes
lectura medidor &gt; 067382</t>
  </si>
  <si>
    <t>comienzo auditoria sin wes
lectura medidor &gt; 009544</t>
  </si>
  <si>
    <t>comienzo auditoria sin wes
lectura medidor &gt; 045521</t>
  </si>
  <si>
    <t>termino auditoria sin wes/ comienzo auditoria con wes 
lectura medidor &gt; 266588</t>
  </si>
  <si>
    <t>termino auditoria sin wes/ comienzo auditoria con wes 
lectura medidor &gt; 218643</t>
  </si>
  <si>
    <t>termino auditoria sin wes/ comienzo auditoria con wes 
lectura medidor &gt; 129269</t>
  </si>
  <si>
    <t>termino auditoria sin wes/ comienzo auditoria con wes 
lectura medidor &gt; 079023</t>
  </si>
  <si>
    <t>termino auditoria sin wes/ comienzo auditoria con wes 
lectura medidor &gt; 049533</t>
  </si>
  <si>
    <t>termino auditoria sin wes/ comienzo auditoria con wes 
lectura medidor &gt; 120036</t>
  </si>
  <si>
    <t>termino auditoria sin wes/ comienzo auditoria con wes 
lectura medidor &gt; 048910</t>
  </si>
  <si>
    <t>termino auditoria sin wes/ comienzo auditoria con wes 
lectura medidor &gt; 067551</t>
  </si>
  <si>
    <t>termino auditoria sin wes/ comienzo auditoria con wes 
lectura medidor &gt; 139688</t>
  </si>
  <si>
    <t>termino auditoria sin wes/ comienzo auditoria con wes 
lectura medidor &gt; 009640</t>
  </si>
  <si>
    <t>termino auditoria sin wes/ comienzo auditoria con wes 
lectura medidor &gt; 0680033</t>
  </si>
  <si>
    <t>auditoria con wes; lec medidor&gt; 003391</t>
  </si>
  <si>
    <t>auditoria con wes; lec medidor&gt; 000849</t>
  </si>
  <si>
    <t>auditoria con wes; lec medidor&gt; 045769</t>
  </si>
  <si>
    <t>remplazo de fuente switching,chequeo de voltajes, 
sistema conectado a app wes</t>
  </si>
  <si>
    <t>visita por activacion de bypass &gt; desconfiguracion horaria.
chequeo de memoria ok, configuracion de horarios
regulacion nocturna 80lxm 22:00&gt;06:00
regulacion baja 400lxm 06:00&gt;10:00--18:00&gt;22:00
regulacion alta 900lxm 10:00&gt;18:00</t>
  </si>
  <si>
    <t>sistema fuera de linea producto de placa pegada, esta es reiniciada y chequeada
comprobacion de internet, voltajes y orarios, sistema 100% operativo, llave en bypass 
normalizada a caudal nocturno.</t>
  </si>
  <si>
    <t>app wes marcando 0 en litros por minutos, marcando 0 en m3 hora
sensor de pulso sucuio, el cual es extraido limpiado e instalado, 
sistema queda operando marcando consumos en grafico app wes.</t>
  </si>
  <si>
    <t>visita por desconeccion, placa pegada.
esta es reiniciada y conectada a app wes, sistema operativo.</t>
  </si>
  <si>
    <t xml:space="preserve">termino auditoria con wes; 
lec medidor wes; 001467
23% de rendimiento
</t>
  </si>
  <si>
    <t xml:space="preserve">termino auditoria con wes; 
lec medidor wes; 001467
29% de rendimiento
</t>
  </si>
  <si>
    <t xml:space="preserve">termino auditoria con wes; 
lec medidor wes; 009322
sin rendimiento
</t>
  </si>
  <si>
    <t xml:space="preserve">termino auditoria con wes; 
lec medidor wes; 002127
sin rendimiento
</t>
  </si>
  <si>
    <t xml:space="preserve">termino auditoria con wes; 
lec medidor wes; 159602
34% de rendimiento
</t>
  </si>
  <si>
    <t xml:space="preserve">termino auditoria con wes; 
lec medidor wes; 003574
66% de rendimiento
</t>
  </si>
  <si>
    <t xml:space="preserve">termino auditoria con wes; 
lec medidor wes; 114530
sin rendimiento
</t>
  </si>
  <si>
    <t>termino auditoria con wes; 
lec medidor wes; 000923
lec medidor aguas andinas; -- rendimiento de 20%</t>
  </si>
  <si>
    <t>termino auditoria con wes; 
lec medidor; 005559
47% de rendimiento</t>
  </si>
  <si>
    <t>comienzo auditoria con wes
lec medidor wes;157472
lec medidor aguas andinas; 003217</t>
  </si>
  <si>
    <t>comienzo auditoria con wes
lec medidor;001367</t>
  </si>
  <si>
    <t>comienzo auditoria con wes
lec medidor;009206</t>
  </si>
  <si>
    <t>comienzo auditoria con wes
lec medidor;002051</t>
  </si>
  <si>
    <t>comienzo auditoria con wes
lec medidor;159496</t>
  </si>
  <si>
    <t>comienzo auditoria con wes
lec medidor; 005402</t>
  </si>
  <si>
    <t>comienzo auditoria con wes
lec medidor; 001712</t>
  </si>
  <si>
    <t xml:space="preserve">termino auditoria con wes 
lec mdidor wes; 001774
rendimiento de 24%
</t>
  </si>
  <si>
    <t xml:space="preserve">termino auditoria sin wes 
lec mdidor wes; 005156
</t>
  </si>
  <si>
    <t xml:space="preserve">termino auditoria sin wes 
lec mdidor wes; 009020
</t>
  </si>
  <si>
    <t xml:space="preserve">termino auditoria sin wes 
lec mdidor wes; 001947
</t>
  </si>
  <si>
    <t xml:space="preserve">termino auditoria sin wes 
lec mdidor wes; 159193
</t>
  </si>
  <si>
    <t xml:space="preserve">termino auditoria sin wes 
lec mdidor wes; 002682
</t>
  </si>
  <si>
    <t xml:space="preserve">termino auditoria sin wes 
lec mdidor wes; 114425
</t>
  </si>
  <si>
    <t xml:space="preserve">termino auditoria sin wes 
lec mdidor wes; 000762
</t>
  </si>
  <si>
    <t>termino auditoria sin wes 
lec mdidor wes; 157237
lec. medidor aguas andinas: 2985</t>
  </si>
  <si>
    <t>termino auditoria sin wes 
lec mdidor; 001629</t>
  </si>
  <si>
    <t>termino auditoria sin wes 
lec mdidor; 001158</t>
  </si>
  <si>
    <t>ESTANQUE DE REUTILIZACION</t>
  </si>
  <si>
    <t>instalacion de medidor para remplazo del equipo dañado
entrega del medidor defectuoso
equipo 100% operatino.</t>
  </si>
  <si>
    <t>comienzo auditoria con control wes 
lectura medidor¨; 210593</t>
  </si>
  <si>
    <t>regulacion nocturna 15%
regulacion diurna 85%</t>
  </si>
  <si>
    <t>viait corte de agua, solenoide sin voltaje a causa de humedad, 
cable sulfatado y cortado. Cable reparado, sistema 100% operativo.</t>
  </si>
  <si>
    <t>comienzo auditoria sin wes; lectura medidor; 157072
lectura medidor aguas andinas; 2823</t>
  </si>
  <si>
    <t>comienzo auditoria sin wes; lectura medidor; 157123
lectura medidor aguas andinas; 2873</t>
  </si>
  <si>
    <t>comienzo auditoria sin wes; lectura medidor; 1018</t>
  </si>
  <si>
    <t>comienzo auditoria sin wes; lectura medidor; 8949</t>
  </si>
  <si>
    <t>comienzo auditoria sin wes; lectura medidor; 1885</t>
  </si>
  <si>
    <t>comienzo auditoria sin wes; lectura medidor; 159032</t>
  </si>
  <si>
    <t>comienzo auditoria sin wes; lectura medidor; 002153</t>
  </si>
  <si>
    <t>comienzo auditoria sin wes; lectura medidor; 114372</t>
  </si>
  <si>
    <t>comienzo auditoria sin wes; lectura medidor; 000671</t>
  </si>
  <si>
    <t>comienzo auditoria sin wes; lectura medidor; 004858</t>
  </si>
  <si>
    <t>comienzo auditoria sin wes; lectura medidor; 001544</t>
  </si>
  <si>
    <t>placa apagado por reguladores de voltaje defectuosos,
placa wes es remplasada quedando punto monitoriando 
100% operativo.</t>
  </si>
  <si>
    <t>visita por mantenimiento, cambio de 2 solenoides "NO"
sistema 100% operativo.</t>
  </si>
  <si>
    <t>visita por funcionamiento baño, valvula con baypass activado, 
este es normalizado dejandolo nuevamente automatico, corporacion repara tuberia fuera de 
posicion con cilicona, sistema 100% operativo.</t>
  </si>
  <si>
    <t>punto anteriormente enpalmado a 220 v en luminaria,
al dia de hoy se cambia empalme 220v a caja estanca de enchufes 
canalisada con mt, sistema 100% operativo.</t>
  </si>
  <si>
    <t>visita por punto desconevtado, cambio de memoria y gravado de codigo en pick it
punto conectado en linea 100% operativo.</t>
  </si>
  <si>
    <t>visista por mantencion, cambio de solenoide en valvulas de control
1 NC- 1 NO</t>
  </si>
  <si>
    <t>regulacion nocturna se pasa de 0,4m3 hora a 0,8m3 hora 
lectura medidor; 67120</t>
  </si>
  <si>
    <t>visita por mantenimiento preventivo, equipo 100% operativo</t>
  </si>
  <si>
    <t>cambio de 2 solenoides "NO" en valvulas de control.</t>
  </si>
  <si>
    <t xml:space="preserve">comienzo auditoria con wes ; lectura medidor wes ;54562
lectura medidor aguas andinas; 2919
</t>
  </si>
  <si>
    <t xml:space="preserve">comienzo auditoria con wes ; lectura medidor wes ;123964
lectura medidor aguas andinas; 5955
</t>
  </si>
  <si>
    <t xml:space="preserve">termino auditoria con wes ; lectura medidor wes ;54682
lectura medidor aguas andinas; 3058 rendimiento 27%
</t>
  </si>
  <si>
    <t xml:space="preserve">termino auditoria con wes ; lectura medidor wes ;124202
lectura medidor aguas andinas; 6196 rendimiento 23%
</t>
  </si>
  <si>
    <t>termino auditoria sin wes ; lectura medidor wes ;54325
lectura medidor aguas andinas; 2638
cambio de 2 solenoides NO en valvulas de control</t>
  </si>
  <si>
    <t>termino auditoria sin wes ; lectura medidor wes ;123473
lectura medidor aguas andinas; 5460
cambio de 2 solenoides NO en valvulas de control</t>
  </si>
  <si>
    <t>termino auditoria sin wes ; lectura medidor wes ;210275
lectura medidor aguas andinas; 294( medidor aguas andinas malo)</t>
  </si>
  <si>
    <t>termino auditoria sin wes ; lectura medidor wes ;210489
lectura medidor aguas andinas; 294( medidor aguas andinas malo)</t>
  </si>
  <si>
    <t>comienzo auditoria sin wes; lectura medidor wes ;210414
lectura medidor aguas andinas; 294</t>
  </si>
  <si>
    <t>comienzo auditoria sin wes; lectura medidor wes ;210213
lectura medidor aguas andinas; 294</t>
  </si>
  <si>
    <t>comienzo auditoria sin wes; lectura medidor wes ;54460
lectura medidor aguas andinas; 2447</t>
  </si>
  <si>
    <t>comienzo auditoria sin wes; lectura medidor wes ;123163
lectura medidor aguas andinas; 5148</t>
  </si>
  <si>
    <t>cambio de bateria en sistema solar, sistema operativo y controlando.</t>
  </si>
  <si>
    <t>visita por activacion llave de emergencia, cambio de membrana en valvula 
de control regulacion verano noturno 9% dia 80%</t>
  </si>
  <si>
    <t>punto conectado y no guardando data, chequeo y test de memoria. gravado 
de codigo en integrado para placas de&gt; riego- reutilisacion - matriz principal,
punto queda guardando data ok, sistema 100% operativo.</t>
  </si>
  <si>
    <t>punto con desconfiguracion de programa, no guardando data, en cuanto su coneccion este 
se maneja con dos alimentaciones 220v y 12 v de panel solar el cual funciona atraves de un contactor,
este esta fallando y causa ruidos a placa generando mal funcionamiento, se retira contactor dejando solo
alimentacion de 220v, se realiza cambio de memoria quedando punto conectado y guardando data, 
equipo 100% operativo.</t>
  </si>
  <si>
    <t>punto conectado pero no guarda data, se realiza chequeo de memoria
arrojando 0 error, cambio de fuente switching, punto conectado y operativo.</t>
  </si>
  <si>
    <t>visita por sistema desconectado, chequeo de placa arroja desconfiguracion por ruido 
a placa, esta es configurada y se cambia memoria, punto conectado y comunicando.</t>
  </si>
  <si>
    <t>visita por desconeccion, producto de posible manipulacion de terceros en router amplimax,
chip se encuentra fuera de posicion probocando corte de internet. puerto bloqueado en nuve 
no deja que se comunique con la red, se toma contacto con don jose otarola para el desbloqueo 
de este, punto conectado y comunicando.</t>
  </si>
  <si>
    <t>visita por desconeccion, el motivo es por placa pegada, esta es reiniciada 
y configurada, punto conectado monitoriando 100% operativo.</t>
  </si>
  <si>
    <t>cambio de placa y pick por supuesto mal funcionamiento de placa, 
inspeccion de cpa se detecta valvula de control cerrada manualmete por tercero
probocando corte de sumunistro a las 13:00 hrs cuando sistema cambia de 
valvula de control, esta es normalisada quedando sistema 100% operativo.</t>
  </si>
  <si>
    <t>visita por corte de agua y desconeccion de red, se identifica que la placa 
esta `pegada` la cual es reiniciada, se restablece horario quedando operativo.</t>
  </si>
  <si>
    <t>visita por mal funcionamiento de membrana en valvula de control,
se cambia de funcionamiento valvula, queedando 100% operativo</t>
  </si>
  <si>
    <t xml:space="preserve">punto desconectado producto de fuente switching quemada, esta es retirada 
y remplazada por una fuente nueva.
sensor de pulso no operativa, linea de sensor de pulso cortada en tramo de empalme,
este es reparado quedando operativo.
punto 100 % opertivo comunicando a app wes 
</t>
  </si>
  <si>
    <t>grafico app con marcacion erronea, cambio de memoria y programacion.</t>
  </si>
  <si>
    <t>LO BOZA - REUTILIZACION</t>
  </si>
  <si>
    <t>punto desconectado, cambio de memoria y configuracion, queda 
nuevamente conectado.</t>
  </si>
  <si>
    <t>se visita establecimiento encontrando sistema en correcto fincionamiento , desprogramacion 
de alarma e id producidos por ruidos producto por caida de automatico en reiteradas ocaciones, 
se restablece sistema quedando operativo.</t>
  </si>
  <si>
    <t>CPA MODULO</t>
  </si>
  <si>
    <t>sellado de gabinete cir de modulo con cilicona.
punto matriz principal portabilidad a wom</t>
  </si>
  <si>
    <t xml:space="preserve">visita por activacion de llave emergencia, diagnosito anterior determina que la placa estaba pegada,
lo cual no es asi, caudal de la unidad pobre por manipulacion de valvula de control altra presion 
</t>
  </si>
  <si>
    <t>visita por apertura de llave emergencia, debido a manipulacion de terceros en valvula de 
control caudal baja a 500lxm lo cual no es suficiente para abastecer la unidad este es normalizado a
900/1000 lxm dejando sistema 100% operativo.</t>
  </si>
  <si>
    <t>reinstalacion de router tp-link punto restablese su coneccion 
comunicando a app wes, sistema 100% operativo.</t>
  </si>
  <si>
    <t>corto circuito en empalme electrico, no se puede realizar reparacion por las presipitaciones 
ya que el riesgo electrico es mayor, se deja activo el protocolo de emergencia hidrica 
hasta la normalisacion de cir wes.</t>
  </si>
  <si>
    <t>visita por punto desconectado, tras las intensas lluvias del pasado dia 6-9 cir se ve afectado por humedad,
afectando directamente fuente switching, la cual causa problemas a router del mismo punto quemandolo, 
se remplaza fuente switching dejando punto operativo, no obstante se retira router para su remplazo
por un aparato nuevo, mejora en sellado de canalisacion y entrada a cir, chequeo de voltajes y funcionamiento
de valvulas de control ok.</t>
  </si>
  <si>
    <t>visita por equipo desconectado de app wes, se chequea cir,
encontrandon modem sin internet, por lo tanto se registra numero de 
chip, para activacion de servicio</t>
  </si>
  <si>
    <t>punto denominado riego registra "0" consumo por cable cortado (reparado)
m. principal opera correctamente
reutilisacion tiene medidor dañado, requiere cambio.</t>
  </si>
  <si>
    <t>reinstalacion de placa wes en cir, sistema monitoreando con normalidad
sistema funcionando al 100%.</t>
  </si>
  <si>
    <t>gabinete electrico suelto de las fijaciones, se presume daño por terceros 
se cambian fijaciones dejando gabinete correctamente instalado.</t>
  </si>
  <si>
    <t>visita por programacion cambio de horario verano 
02-09-2023</t>
  </si>
  <si>
    <t>visita por activacion de bypass en valvula de control cpa ,
se vuelve a su posicion automatico quedando operativo.</t>
  </si>
  <si>
    <t>se normaliza horario de funcionamiento de apertura y cierre de valvula , se comprueva
su correcto funcionamiento chequeando punto ,aiatema 100% operativo</t>
  </si>
  <si>
    <t>regulacion nocturna 30% 22:00&gt;06:00
diurno 80% 06:00&gt;22:00</t>
  </si>
  <si>
    <t>regulacion nocturna 10% 22:00&gt;06:00
diurno 80% 06:00&gt;22:00</t>
  </si>
  <si>
    <t>equipo desconectado de internet, se da reinicio a router
recuperando la conectividad,
se programa cambio de hora verano 2-09-2023</t>
  </si>
  <si>
    <t>LO BOZA - SALA DE IMPULSION</t>
  </si>
  <si>
    <t>renovacion en sistema, cambio de router y portabilidad
de chip a compañia wom</t>
  </si>
  <si>
    <t>visita por desconeccion, se revisa sitema encontrando automatico abajo,
este se normalisa y equipo funciona sin problemas, punto conectado 
y comunicando a app wes.</t>
  </si>
  <si>
    <t>visita por emergencia, se solicita modificacion de horarios, en valvula de control
por rotura de matriz principal de establecimiento, por lo que marcelo carrasco 
propone los siguientes horarios de apertura de valvulas.
07:00&gt;15:30 valvula habilitada / 15:30&gt;18:00 valvula deshabilitada 18:00&gt;21:00
valvula habilitada 21:00&gt;07:00 valvula deshabilitada.</t>
  </si>
  <si>
    <t>nueva configuracion de placa comunicacion (placa roja) port 5000/ port8846
valvula en corte nocturno no acciona por membrana desfigurada, se cambia de funcionalidad de valvula,
mas instalacion de nueva solenoide, sistema queda operativo 100%</t>
  </si>
  <si>
    <t>punto desconectado por desconfiguracion, cambio de memoria y 
configuracion desde cero, punto conectado funcionando ok.</t>
  </si>
  <si>
    <t>LO BOZA - LAVADO DE VEHICULOS</t>
  </si>
  <si>
    <t>chequero de sistema y voltajes, todo funcionaldo al 100%</t>
  </si>
  <si>
    <t>sistema desconfigurado, reconfiguracion desde cero, 
equipo queda comunicando a la red.</t>
  </si>
  <si>
    <t>portabilidad de chip, a wom.</t>
  </si>
  <si>
    <t>equipo no guardando data, se realiza cambio de memoria y 
reconfiguracion de sistema.</t>
  </si>
  <si>
    <t>visita por problemas de conexion, se realiza cambio re router y chp,
portabilidad a wom, sistema queda comunicando a la red.</t>
  </si>
  <si>
    <t>CONTROL NIDO</t>
  </si>
  <si>
    <t>registro fotografico de todo los puntos; estanque B estanque C 
elementary, high scool, teatro , picina poso profundo.</t>
  </si>
  <si>
    <t>pick con codigo herroneo proboca mala contabilidad de caudal
en red hidrica, se remplaza pick it y memoria, reconfiguracion de todo el sistema 
y calibracion, sistema queda 100 % operativo.</t>
  </si>
  <si>
    <t>sensor de pulso marcando 0 producto de intervencion de terceros, 
se realisa seguimiento a linea sensor encontrando corte en punto de empalme, 
este es empalmado nuevamente, y queda operativo.</t>
  </si>
  <si>
    <t>instalacion definitiva de router movil sim 4gG N300 DWR - M 92
queda punto comunicando , toma fotografica de medidores, estanque B estanque C
elementary, high scool, teatro , picina poso profundo.</t>
  </si>
  <si>
    <t>medidor detenido, se trabaja en intervencion a medidor y es destapado
encontrando piedras dentro de la red hidrica y en aspa de medidor 
entorpeciendo su buen funcionamiento, este es destapado y limpiado, 
para su reinstalacion y normal funcionamiento.</t>
  </si>
  <si>
    <t>HIGH SCHOOL</t>
  </si>
  <si>
    <t>CPA de control, puntos elementary, high scool, teatro inundado a causa de 
modificacion de nuevo empalme a sistema CPA queda filtrando.</t>
  </si>
  <si>
    <t xml:space="preserve">sistema comunicando, al momento de realizar modificaciones y actualisacion placa
verde, se produce falla, la cual nos bota de servidor electronico "perro guardian"
se programa cambio de fuente switching.
</t>
  </si>
  <si>
    <t>red internet de punto debil, la cual no permite que app se actualise, chequeo de cir, voltajes, 
placa roja ok, cir al 100%</t>
  </si>
  <si>
    <t xml:space="preserve">instalacion momentanea de router wes, para recuperacion de data , operacion ok.
</t>
  </si>
  <si>
    <t>cambio de memoria y reconfiguracio de equipo monitoreo, 
cambio de luz piloto de 12v a 220v, equipo comunicando.</t>
  </si>
  <si>
    <t>cambio de luz piloto de 12v a 220v</t>
  </si>
  <si>
    <t>dispositivo desconectado, se realiza cambio de memoria y reprogramacion, 
luz piloto se remplaza de 12v a 220v .</t>
  </si>
  <si>
    <t>POZO 1</t>
  </si>
  <si>
    <t>retiro gabinete cir de monitoreo sector pozo por trabajos 
en el lugar.</t>
  </si>
  <si>
    <t>punto lavado automatico sur desconectado, comunicacion no concluida ya que 
cable de conectividad rs232 defectuoso no permite comunicacion.
se retira placa para su revicion y posterior instalacion.</t>
  </si>
  <si>
    <t>regulacion caudal invierno, 
alta 650 LxM 06:00&gt;16:30
media 500 LxM 16:30&gt;23:00
baja 100 LxM 23:00&gt; 06:00</t>
  </si>
  <si>
    <t>regulacion nocturna de 200 LxM se reduce a 166LxM 
10M3 x h Nocturno.</t>
  </si>
  <si>
    <t>regulacion valvula de alta 950 LxM, regulacion valvula de baja 850 LxM 
regulacion nocturna, 160 LxM, cambio de solenoide NO en valvula de baja.</t>
  </si>
  <si>
    <t>desactivacion de valvul cpa, regulacion limitada caudal 100LxM/ 6m3 H
en caso de ser nesesario se activa valvula a distancia.</t>
  </si>
  <si>
    <t>regulacion nocturna, disminucion de caudal invierno,
regulacion 150lxm</t>
  </si>
  <si>
    <t xml:space="preserve">regulaciones de caudal, disminucion de consumos invierno
250 lxm dia -- 50 lxm nocturno ( valvula dia en corte)
</t>
  </si>
  <si>
    <t>termino auditoria sin control, comienzo auditoria con control
lectura medidor ; 63558</t>
  </si>
  <si>
    <t>auditoria sin control lectura medidor; 63483</t>
  </si>
  <si>
    <t>ajuste de caudal nocturno en horario pick ( 12:45 am) regulacion
nocturna 10 LxM</t>
  </si>
  <si>
    <t>falla en valvula de baja, solenoide NC defectuosa, 
cambio de solenoide resuelve problema de funcionamiento valvula,
sistema operativo 100%</t>
  </si>
  <si>
    <t>visita por activacion llave de emergencia, se revisa sistema CPA no encontrando ningun problema
a raiz de calefont en mal estado no ensiende, por lo que se piensa en poca presion en la linea hidrica y se activa llave de 
emergencia, personal wes, da explicacion pertinente al caso, y se normaliza caudal de CPA , actualmente funcionando con 2 bar de presion.</t>
  </si>
  <si>
    <t>instalacion de nuevo sensor de pulso en nuevo medidor aguas andinas 
sistema recalibrado y operanso.</t>
  </si>
  <si>
    <t>sensor de pulso fuera de posicion devido a que en el establecimiento se cambio medidor 
de matriz principal, sensor de pulso wes existente no es compatible con nuevo medidor, 
se solicita cambio de medidor.</t>
  </si>
  <si>
    <t>sistema desconectado por desconfiguracion de memoria, cambio de memoria en placa matriz principal
normalisacion de memoria en placa riego, se restablecen las dos placas y quedan 
comunicando a app wes.</t>
  </si>
  <si>
    <t>placa de comunicacion (placa roja ) mala, bypass activado,
se solicita cambio de placa de comunicacion se cambia memoria y se restablece horario,
sistema operativo valvula en automatica.</t>
  </si>
  <si>
    <t>visita por accionamiento de llave emergencia, de vido a corte de luz se acciona llave de emergencia 
dejando 100 % de caudal a las 16:00 hrs se revisa sistema cpa, normalizando paso de caudal.
se eda conocimiento en terreno a sra maria paz de ejecucion medida de emergencia en caso de corte.</t>
  </si>
  <si>
    <t>visita por terminacion de trabajos, canalisacion de cableado que quedo pendiemte de la ultima 
modificacion quedando con terminaciones, calibracion de sistema 0100, regulacion de caudal 
queda entregando entre 1000 a 1200 LxM en horario de 06:00 a 22:00Hrs.</t>
  </si>
  <si>
    <t>regulacion n°1 para mejorar ahorro
alta 30 LxM- - mdia 20 LxM- - baja 8 LxM</t>
  </si>
  <si>
    <t>cambio solenoide valvula de alta, cambio de fuente switching sistema funcionando 100%
programavion de horarios segun recreo diurno y nocturno.</t>
  </si>
  <si>
    <t>se reinstala placa wes, sistema normalizado, chequeo de valvulas ok, horarios ok,
corte y apertura de valvulas ok, sistema operativo 100%</t>
  </si>
  <si>
    <t>sistema habilitado 100% operativo.</t>
  </si>
  <si>
    <t>sistema habilitado 100% operativo</t>
  </si>
  <si>
    <t xml:space="preserve">sistema en auditoria con control, lectura medidor; 112487
</t>
  </si>
  <si>
    <t>comienzo auditoria con control, lectura medidor 112091</t>
  </si>
  <si>
    <t>Mirko Lorca</t>
  </si>
  <si>
    <t>fin auditoria con control.</t>
  </si>
  <si>
    <t>fin auditoria con control, rendimiento del 20%</t>
  </si>
  <si>
    <t>fin auditoria con control lectura medidor; 46144, 20% de rendimiento.</t>
  </si>
  <si>
    <t>cambio de cargador solar, equipo funcionando 100%</t>
  </si>
  <si>
    <t>fin auditoria sin control, inicio auditoria con control, sab operativo
se aumenta tiempo de descarga.</t>
  </si>
  <si>
    <t>fin auditoria sin control, inicio auditoria con control.</t>
  </si>
  <si>
    <t>inicio auditoria sin control, inicio auditoria con control.</t>
  </si>
  <si>
    <t>fin auditoria sin control, inicio auditoria con control.
sab operativo, cpa operativo.</t>
  </si>
  <si>
    <t>inicio auditoria 100% lectura medidor 46024.</t>
  </si>
  <si>
    <t>inicio auditoria 100% lectura medidor 437698, cambio de cargador solar.</t>
  </si>
  <si>
    <t>inicio auditoria 100% flujo lectura medidor; 192188</t>
  </si>
  <si>
    <t>fin auditoria con control, 40% de rendimiento</t>
  </si>
  <si>
    <t>fin auditoria sin control, rendimiento de 20%, sistema operativo</t>
  </si>
  <si>
    <t>fin auditoria sin control, equipo funcionando control nocturno.</t>
  </si>
  <si>
    <t>fin auditoria sin control, lectura medidor; 147740</t>
  </si>
  <si>
    <t>termino auditoria sin control, comienzo auditoria con control
lectura medidor</t>
  </si>
  <si>
    <t>termino auditoria sin control, comienzo auditoria con control
lectura medidor 4154</t>
  </si>
  <si>
    <t>termino auditoria sin control, comienzo auditoria con control
lectura medidor 259401</t>
  </si>
  <si>
    <t>termino auditoria sin control, comienzo auditoria con control
lectura medidor 140968</t>
  </si>
  <si>
    <t>inicio auditoria 100 % sin control lectura medidor 259284</t>
  </si>
  <si>
    <t>inicio auditoria 100 % sin control lectura medidor 4066</t>
  </si>
  <si>
    <t>inicio auditoria 100 % sin control</t>
  </si>
  <si>
    <t>sistema de internet caido, se reinicia sistema recuperando la conectividad a app wes
recalibracion de todo los puntos de tablero.</t>
  </si>
  <si>
    <t>cambio de chip actualisacion a wom.</t>
  </si>
  <si>
    <t>cambio de chip actualisacion a wom, actualisacion de pick it programa intergrado
cambio de sensor pulso por mal funcionamiento, chequeo a tablero cir ok.</t>
  </si>
  <si>
    <t>cambio de chip, actualisacion a wom</t>
  </si>
  <si>
    <t>cambio de chip, actualisacion a wom, regulacion alta presion 06:00&gt;23:59 1200lxm
regulacion baja presion 23:59&gt;06:00 212lxm</t>
  </si>
  <si>
    <t>cambio de chip actualisacion a wom, puntos carmen y artemio</t>
  </si>
  <si>
    <t>inicio auditoria 100%caudal lectura medidor; 177330</t>
  </si>
  <si>
    <t>regulacion de presion media-baja por temporada de vacaciones.
sistema ok, valvulas ok</t>
  </si>
  <si>
    <t>programacion de horarios segun solicitud de corporacion media y baja presion</t>
  </si>
  <si>
    <t>programacion horario verano, sistema ok</t>
  </si>
  <si>
    <t>fin auditoria con control, lectura medidor; 419891</t>
  </si>
  <si>
    <t>fin auditoria sin wes, inicio auditoria con wes
lectura medidor; 419766</t>
  </si>
  <si>
    <t>auditoria sin control, lectura medidor; 419196</t>
  </si>
  <si>
    <t>se realiza cambio de valvula , se realiza programacion segun horarios
sistema hidrico ok, sistema electronico ok</t>
  </si>
  <si>
    <t>inicio auditoria sin control, lectura medidor; 161956</t>
  </si>
  <si>
    <t>fin auditoria sin control
inicio auditoria con control lectura medidor; 162018</t>
  </si>
  <si>
    <t>fin auditoria sin wes 
inicio auditoria con wes, lectura medidor; 161818</t>
  </si>
  <si>
    <t>sistema bypass activado, auditoria se repite 01-04-22 hasta viernes 08-04-22 lectura medidor; 161890</t>
  </si>
  <si>
    <t>auditoria sin control wes
lectura medidor; 161751</t>
  </si>
  <si>
    <t>fin auditoria con wes; se continua evaluandonel consumo 
lectura medidor; 162015</t>
  </si>
  <si>
    <t>fin auditoria con wes; se continua evaluandonel consumo 
.</t>
  </si>
  <si>
    <t>regulacion nocturna , regulacion dia alta y baja presion.</t>
  </si>
  <si>
    <t>chequeo de sistema, electronica ok, sistena hidrico ok, regulacion ok
se realiza nueva regulacion nocturna, por nesesidad de cuidador nocturno 
chequo de horario.</t>
  </si>
  <si>
    <t>inicio auditoria sin wes, lectura medidor 
39576</t>
  </si>
  <si>
    <t>fin auditoria sin wes inicio auditoria con control wes
lectura medidor; 39670</t>
  </si>
  <si>
    <t>comienzo auditoria sin wes lectura medidor; 39402</t>
  </si>
  <si>
    <t>fin auditoria con wes
promedio de ahorro dia 20,5m3 43,62% de rendimiento</t>
  </si>
  <si>
    <t>1 valvula funcionando, regulacion alta, media y baja horario de recreo en planilla de
regulacion bateria 11.0volt led rojo en cargador.</t>
  </si>
  <si>
    <t>fin auditoria con wes lectura medidor 60915</t>
  </si>
  <si>
    <t>fin auditoria sin wes, inicio auditoria con wes, lectura medidor
; 60850</t>
  </si>
  <si>
    <t>regulacion y proframacion recreos; 09:30&gt;09:50- -11:20&gt;11:30- - 12:40&gt;14:00 
salida de estudiantes: 08:00 entrada salida &gt;15:00 : 16:00, ingreso personal 07:30, salida 19:30
horario casino: 11:00&gt;14:00hrs noche con regulacion inima: 20:00&gt;07:00 horario corte 07:00&gt;20:00</t>
  </si>
  <si>
    <t>fin auditoria con wes, no aplica rendimiento minimo,
se realiza una seguna auditoria para obtener rendimiento</t>
  </si>
  <si>
    <t>sistema ok, electronica ok, hidrico ok, ahorro % ok
sin observaciones de parte del establecimiento.</t>
  </si>
  <si>
    <t>termino de auditoria lectura medidor; 178994
40%de rendimiento.</t>
  </si>
  <si>
    <t>horario de entrada y salida funcionarios: 07:30&gt;22:30 horario de casino : 11:00&gt;14:10
horario de recreo 09:40&gt;11:00- - 11:30&gt;11:40- - 13:10&gt;14:10, recreo nocturna 19:45&gt;22:00
cpa ok, valvulas nuevas sistema sab ok, sistema solar y electrico ok.</t>
  </si>
  <si>
    <t>revucion de sistema, sistema ok, electronica ok
sistema hidrico ok, sin observaciones de parte del establecimiento</t>
  </si>
  <si>
    <t>revucion de sistema, sistema ok, electronica ok sistema hidrico ok,
sin observaciones de parte del establecimiento</t>
  </si>
  <si>
    <t>regulacion 70% constante, realizar cambio de canalisacion a tablero electrico y cpa valvulas, horarios en
planilla de regulacion, cambio de placa, cambio de bateria.</t>
  </si>
  <si>
    <t>fin auditoria con control wes, lectura medidor ; 104355</t>
  </si>
  <si>
    <t>se realiza visita por activacion de protocolo de emergencia, a las 11:15 establecimiento
queda sin suministro hidrico. se detecta qiue en solenoide de alta presion esta defectuosa,
por lo que se remplaza, pero problma sigue por corte circuito en fuente de alimentacion,
la cueal fue la causa raiz que daño la solenoide y fue cambiada por una fuente nueva.</t>
  </si>
  <si>
    <t>mantencion preventiva solenoide;
programacion y regulacion 07:00&gt;19:00 alta presion 19:00&gt;23:59- -00:01&gt;07:00 baja
lectura medidor; 103170</t>
  </si>
  <si>
    <t>termino de auditoria lectura de 2% rendimiento , lectura medidor 103255</t>
  </si>
  <si>
    <t>inicio auditoria sin control. lectura mediodr; 162715</t>
  </si>
  <si>
    <t>regulasion de valvulas alta y media ademas de llave de vaja 
conexion de sensor de pulso</t>
  </si>
  <si>
    <t>nueva regulacion alta presion por falta de agua en piso 3 y sala de profesores.</t>
  </si>
  <si>
    <t xml:space="preserve">regulacion nocturna, regulacion dia y horarios de alta, programacion de horarios
recreo y almuerzo ambas valvulas funcionando ok, minima nocturna 20&gt;6:30
</t>
  </si>
  <si>
    <t>1 valvula cierra y abre bien, la segunda valvula con problemas, placa funcionando ok, 
sistema bupass por auditoria, falta candado cpa y gabinete electrico.</t>
  </si>
  <si>
    <t>inicio funcionarios 7:50&gt;18:00 lunes a viernes, sabado y domingo guardias externos 
los recreos 9:30&gt;9:45 recreo 2 11:15&gt;11;30 recreo 3 13:00&gt;14:00 colacion.
clase hasta las 17:30hrs alumnos de enseñanza media. 1 valvula cerrando</t>
  </si>
  <si>
    <t>mantencion a valvulas, ambas abriendo y cerrando, placa electronica en buen estado,
CPa sin candad, cambio de solenoide, sistema bypass.</t>
  </si>
  <si>
    <t>guardias solo de noche todo los dias, horario de clase aun no se define, 
contactar a don juan vera para verificar horarios, electronica en funcionamiento 
solenoides ok, valvulas cerrando.</t>
  </si>
  <si>
    <t>regulacion de sistema wes segun horario, cambio de membrana en abas valvulas .
fun auditoria sin wes; inicio auditoria con wes, lectura medidor; 129316</t>
  </si>
  <si>
    <t>funcionamiento de placa electronica ok, queda pendiente una valvula, prblema de presion
se deve a compañia externa u instalasiones, llave bypass abierta, sistema solar ok.</t>
  </si>
  <si>
    <t>mantencion de valvulas, cambio de membrana. programacion horaria de equipo wes
fin auditoria sin wes 
inicio auditoria con wes. lectura medidor; 102388</t>
  </si>
  <si>
    <t>cambio de placa y cargador, electronica funcionando ok, proxima visita cambiar valvula defectuosa</t>
  </si>
  <si>
    <t xml:space="preserve">sistema sab en funcionamiento correcto, en sistema hidrico cpa cambiara valvula de control, regulador de voltaje 
en placa wes en mal estado, horarios ingreso 07:00@18:30- - sabado y domingo &gt;dia y noche.
</t>
  </si>
  <si>
    <t>regulacion nocturna, regulacion dia alta y baja.
horarios 9:45&gt;10:45; 11:35&gt;11:50 ; 13:20&gt;14:05
horario entrada funcionaios; 6:45&gt;21:00</t>
  </si>
  <si>
    <t>cambio de placa wes, valvula sin apertura en manual, poste bateria y
cargador en buen estado.</t>
  </si>
  <si>
    <t>falla de descargas por llave de paso en corte</t>
  </si>
  <si>
    <t>sab en estado bypass, cambio de valvula, cpa bypass en auditoria 
lectura medidor; 166559</t>
  </si>
  <si>
    <t>viernes 18 ver cambio de valvulas.aprox. 15:00 a17:00hrs.
electronica funcionando bien, sistema bypass</t>
  </si>
  <si>
    <t>Cristian Sepulveda</t>
  </si>
  <si>
    <t>se reliza levantamiento, se da el 100% de caudal por elecciones presidenciales.</t>
  </si>
  <si>
    <t>se realiza visita por baja presion de agua, ubo una desprogramacion de los datos, pudo haber sido 
por una corriente parasitoria. se realiza cambio de solenoides, re realiza calibracion y programacion de sistema,
se realizan pruebas de variacion de presion, se monitores por los proximos dias.</t>
  </si>
  <si>
    <t>instalacion sistema de monitoreo pozo 3</t>
  </si>
  <si>
    <t>mantencion preventiva de solenoides, cambio de membrana por falla de esta.</t>
  </si>
  <si>
    <t>lectura lo valledor wes; 4266
lectura lo valledor aguas andinas; 584320</t>
  </si>
  <si>
    <t>se realiza cambio de medidor por problemas interno en la relojeria, lo que impide el correcto 
conteo de m3 consumido, trabajo realizado 19-02-2020 lectura medidor wes</t>
  </si>
  <si>
    <t>medidor wes con falla mecanica, el conteo se detiene, se requiere cambio de medidor</t>
  </si>
  <si>
    <t>finalisacion auditoria lectura medidor; 365799</t>
  </si>
  <si>
    <t>se realiza inicio de auditoria por requerimiento de eduardo velazqueez para 
conocer el consumo diario sin control lectura medidor; 364917</t>
  </si>
  <si>
    <t>se desactiva sistema cpa dejando 100% de caudal por elecciones presidenciales.</t>
  </si>
  <si>
    <t>se activa sistema de control cpa por termino de elecciones presidenciales</t>
  </si>
  <si>
    <t xml:space="preserve">se activa sistema de control cpa,
se repara placa wes, reguladores con soldadura fria , se programan horarios 
07:00&gt;15:00alta- - 15:00&gt;20:00baja 
</t>
  </si>
  <si>
    <t>se activa sistema de control cpa</t>
  </si>
  <si>
    <t>se activa sistema de control por elecciones presidenciales.</t>
  </si>
  <si>
    <t>se activan solenoides por termino de elecciones presidenciales.</t>
  </si>
  <si>
    <t>alerta de sobre consumo por manipulasion de bypass, se regula corte hidrico nocturno,
conexion 3g habilitado 24Hrs</t>
  </si>
  <si>
    <t>fin auditoria sin control, lectura medidor; 230143</t>
  </si>
  <si>
    <t>fin auditoria hidrica, lectura medidor; 390169</t>
  </si>
  <si>
    <t>fin auditoria sin control</t>
  </si>
  <si>
    <t>inicio auditoria sin control, lectura medidor; 89359</t>
  </si>
  <si>
    <t>no se realiza auditoria por trabajos que se estan ejecutando , se regula presion para mitigar
filtrasion en baño de establesimiento.</t>
  </si>
  <si>
    <t>auditoria sin control, lectura medidor; 154889</t>
  </si>
  <si>
    <t>auditoria sin control, lectura medidor; 109863</t>
  </si>
  <si>
    <t>auditoria sin control, lectura medidor; 95029</t>
  </si>
  <si>
    <t>auditoria sin control, lectura medidor; 95358</t>
  </si>
  <si>
    <t>auditoria sin control, lectura medidor; 229152</t>
  </si>
  <si>
    <t>auditoria sin control, lectura medidor; 389474</t>
  </si>
  <si>
    <t>auditoria sin control, lectura medidor; 47491</t>
  </si>
  <si>
    <t>auditoria sin control, lectura medidor; 97483</t>
  </si>
  <si>
    <t>auditoria sin control, lectura medidor; 131814</t>
  </si>
  <si>
    <t>ajuste de presion periodo estival. lectura medidor 26362</t>
  </si>
  <si>
    <t>ajuste de presion horario verano, apertura de candado por apertura de llave emergencia, se repone prixima semana.</t>
  </si>
  <si>
    <t xml:space="preserve">no se ajusta presion, por que matriz que alimenta baño del segundo ciclo esta con defecto, se deja sistema al 100% para que la corporacion realise una visita de mantenimiento.
</t>
  </si>
  <si>
    <t>ajuste de presion valvulas, periodos estival, lectura medidor; 154449</t>
  </si>
  <si>
    <t>ajuste de presion valvulas, periodos estival, lectura medidor; 106896</t>
  </si>
  <si>
    <t>ajuste de presion valvulas, periodos estival, lectura medidor; 93848</t>
  </si>
  <si>
    <t xml:space="preserve">ajuste de presion periodo esitival, no se realiza porque aguas andinas no distribuye presion requerida cp+on la llave 100% abierta alcansa 0,5 bar.
sistema se encuentra con esta condicion desde agosto sin tener mayor informacion a la empresa wes.
</t>
  </si>
  <si>
    <t>ajuste de presion periodo esitival.
lectura medidor; 385886</t>
  </si>
  <si>
    <t>ajuste de presion periodo esitival.
lectura medidor; 96059</t>
  </si>
  <si>
    <t>regulacion se deja pendiendiente por trabajos existentes en establesimiento.</t>
  </si>
  <si>
    <t>se realiza visita de emergencia por falta de agua en establesimiento, se detecta pro blema en estanque de baño, 
se recomienda revisar dicho estanque.</t>
  </si>
  <si>
    <t>instalacion de tecnologia electronica, inicio auditoria.
lectura medidor; 331081</t>
  </si>
  <si>
    <t>fin auditoria, porcentaje de rendimiento positivo.
lectura medidor; 86342</t>
  </si>
  <si>
    <t>fin auditoria, porcentaje de rendimiento positivo.
lectura medidor; 62061</t>
  </si>
  <si>
    <t>inicio auditoria sin control, lectura medidor; 86315</t>
  </si>
  <si>
    <t>inicio auditoria sin control, lectura medidor; 62005</t>
  </si>
  <si>
    <t>fin auditoria con control, 35% de rendimiento.</t>
  </si>
  <si>
    <t>fin auditoria con control, bajo porcentaje de rendimiento, se ajusta caudal y horarios.</t>
  </si>
  <si>
    <t>fin auditoria con control, 57% de rendimiento</t>
  </si>
  <si>
    <t>fin auditoria, se detecta que el % de haorro no es el esperado por lo que se ajusta caudal y horarios ,
inicio auditoria con control.</t>
  </si>
  <si>
    <t>fin auditoria sin control; 
inicio auditoria con control, lectura medidor; 15608</t>
  </si>
  <si>
    <t>fin auditoria sin control; 
inicio auditoria con control, lectura medidor; 89004</t>
  </si>
  <si>
    <t>se realiza ajuste de caudal segun horario de clases.
inicio auditoria sin control, lectura medidor; 15546</t>
  </si>
  <si>
    <t>no es posible realizar ajuste de caudal por filtracion de 3m3 por hora, se presenta situacion con inspector general 
por lo que se solisita reparar lo antes posible fuga existente , de esta manera se podra regular caudal, se deja corte de agua nocturno.</t>
  </si>
  <si>
    <t>inicio auditoria sin control lectura medidor ;88955</t>
  </si>
  <si>
    <t>inicio auditoria sin control lectura medidor ;86196</t>
  </si>
  <si>
    <t>inicio auditoria por manipulacion de bypass. lectura medidor ;90210</t>
  </si>
  <si>
    <t>fin auditoria, sistema cpa regulando caudal. lectura medidor ;148893</t>
  </si>
  <si>
    <t>fin auditoria, sistema cpa regulando caudal. lectura medidor ;200750</t>
  </si>
  <si>
    <t>fin auditoria, sistema cpa regulando caudal. lectura medidor ;90071</t>
  </si>
  <si>
    <t>fin auditoria, sistema cpa regulando caudal. lectura medidor ;148844</t>
  </si>
  <si>
    <t>fin auditoria, lectura medidor ;61446</t>
  </si>
  <si>
    <t xml:space="preserve">
ajuste de presion alta y baja 
inicio de auditoria sin control, lectura medidor; 89939</t>
  </si>
  <si>
    <t xml:space="preserve">
ajuste de presion alta y baja 
inicio de auditoria sin control, lectura medidor; 148790</t>
  </si>
  <si>
    <t xml:space="preserve">
inicio de auditoria sin control, lectura medidor; 200414</t>
  </si>
  <si>
    <t>se realiza ajuste de caudal,y se verifica en baños funcionando ok, se programan valvulas de control
alta presion y baja presion.
inicio de auditoria sin control lectura medidor ; 61365</t>
  </si>
  <si>
    <t>regulacion de caudal, alta presion 40 LxM de 05:00&gt;08:00
media presion 15LxM 08:00&gt;21:00
(nocturna) 7 LxM 21:00&gt;05:00
lectura medidor; 207282</t>
  </si>
  <si>
    <t>regulacion de caudal, alta presion 11 LxM de 05:00&gt;21:00
(nocturna) 7 LxM lectura medidor; 207233</t>
  </si>
  <si>
    <t>punto desconectado, placa aparentemente pegada, se reinicia sistema, chequeo de voltajes, chequeo hora y fecha quedando punto comunicando a app wes.</t>
  </si>
  <si>
    <t>punto desconectado, se reinicia sistema, chequeo de voltajes, chequeo hora y fecha quedando punto comunicando a app wes.</t>
  </si>
  <si>
    <t>sensor de pulso marcando 0, se canaliza tramo de linea cableado cortado, dejando punto monitoriando</t>
  </si>
  <si>
    <t>instalacion de antena comunicacion, mantencion de gabinete, prueba de conectividad, funcionamiento ok.</t>
  </si>
  <si>
    <t>sitema de impulsion riego con una filtracion en el empalme hidrico, inundando la camara, dañando las bombas,
reparacion de filtracion, responsabilidad de contratista copec.</t>
  </si>
  <si>
    <t>placa de monitoreo defectuosa, se realiza cambio de esta quedando punto monitoreando al 100%</t>
  </si>
  <si>
    <t>camara de medidor inundada lo que genera herror de lectura en medidor, se desagua camara para dejar operativo el sistema,
en revicion si pertenese a una fuga en tuberias pvc o si fue por efecto de aguas lluvias.</t>
  </si>
  <si>
    <t>cambio de fuente de poder, chequeo de sistema.
22/03/21; 23/03/21 visitas</t>
  </si>
  <si>
    <t>solenoide de alta presion dañada, se realiza cambio de solenoide en valvula quedando operativo</t>
  </si>
  <si>
    <t>cambio de modem por problemas de enlase.</t>
  </si>
  <si>
    <t>sistema sin señal 3g, sistema reparado comunicando.</t>
  </si>
  <si>
    <t>visita de inspeccion a punto de monitoreo.</t>
  </si>
  <si>
    <t>PRONTO TIENDA</t>
  </si>
  <si>
    <t xml:space="preserve">entrega medidores retirados.
</t>
  </si>
  <si>
    <t>Emplame Electrico</t>
  </si>
  <si>
    <t>Lectura 000201</t>
  </si>
  <si>
    <t>Lectura 000503</t>
  </si>
  <si>
    <t>Lectura 000605</t>
  </si>
  <si>
    <t>Lectura 000320</t>
  </si>
  <si>
    <t>Retiro de medidor WES mas instalacion de manometro
Matriz mantiene baja presion 0.5 bar</t>
  </si>
  <si>
    <t>Sistema sin medidor por solicitud del cliente</t>
  </si>
  <si>
    <t>Circuito de respaldo esta en corte por falla en el rele.
Se elimina circuito de respaldo</t>
  </si>
  <si>
    <t>Data completa desde el 13-12-2022 hasta 26-12-2022.
Por error en memoria se realiza el cambio</t>
  </si>
  <si>
    <t>Circuito de respaldo esta en corte por falla en el rele y guardado de memoria.
Se elimina el circuito de reapaldo yu se remplaza memoria</t>
  </si>
  <si>
    <t>Conectivida defectuosa por Max 232 y porque la lluvia mojo el router agunsa el cual requiere cambio</t>
  </si>
  <si>
    <t>Sensor de pulso fuera del medidor, se realiza una contramedida dejando fijado con amarras plasticas</t>
  </si>
  <si>
    <t>Medior defectuaoso, no gira por lo tanto no emite pulso</t>
  </si>
  <si>
    <t>Activacion de amplimax</t>
  </si>
  <si>
    <t>Mantenimiento completo a medidor de agua, por porblemas de contaminacion en el interior</t>
  </si>
  <si>
    <t>Instalacion de sistema de monitore WES</t>
  </si>
  <si>
    <t>HEGC</t>
  </si>
  <si>
    <t>SALIDA OSMOSIS</t>
  </si>
  <si>
    <t>Medidor detenido por teflon liquido en su interior</t>
  </si>
  <si>
    <t>RETORNO OSMOSIS</t>
  </si>
  <si>
    <t>Cambio de medidor itron por medidor de inoxidable.</t>
  </si>
  <si>
    <t>Fuente de poder dañanda genera problemas en el monitoreo. Se realiza cambio de fuente para evitar futuros problemas.
Dejando el equipo 100% operativo</t>
  </si>
  <si>
    <t>Regulador de voltaje 7809 genera que el ruoter no este alimentado.
Se realiza cambio de regulador quedando operativo</t>
  </si>
  <si>
    <t>INTERCAMBIADOR 2</t>
  </si>
  <si>
    <t>Validacion de data App V/S Lectura medidor</t>
  </si>
  <si>
    <t>INTERCAMBIADOR 1</t>
  </si>
  <si>
    <t>AGUA BLANDA</t>
  </si>
  <si>
    <t>Reviosn de medidor, contaminacion detiene aspa de movimeiento mecanico
Se limpia dejando el medidor 100% operativo</t>
  </si>
  <si>
    <t>termino auditoria sin control, comienzo auditoria con control
lectura medidor red sur ; 350957- - lectura medidor sacyr; 775488</t>
  </si>
  <si>
    <t>visita por urgencia, colegio queda sin agua, se visita establesimiento y se detecta solenoide
defectuosa, se remplazan 2 solenoides dejando sistema operativo 100%
lectura medidor; 287247</t>
  </si>
  <si>
    <t>actualizacion de conectividad, cambio de pic, sistema 100% operativo</t>
  </si>
  <si>
    <t>reparacion de valvula alta presion.</t>
  </si>
  <si>
    <t>automatico que alimenta cir wes se encuentra caido, por lo tanto sistema cpa se encuentra fuera de fincion.
se normaliza automatico quedando sistema operativo.</t>
  </si>
  <si>
    <t>instalacion sensor de pulso por equipo defectuoso, se encuentra llave de emergencia
al 100 %.</t>
  </si>
  <si>
    <t>apertura valvula bypass, por toma en colegio.</t>
  </si>
  <si>
    <t>visita por cambio de modem, sistema queda conectado y comunicando a app wes</t>
  </si>
  <si>
    <t>regulacion programacion; 06:00&gt;23:00- -programacion nocturna en corte, revision de placa, 
revision de programacion, sistema funcionando.</t>
  </si>
  <si>
    <t>visita por emergencia, se activa llave de emergencia por solenoide defectuoso, se cambia solenoide
y valvula de sistema queda trabajando 100%. lectura medidor; 312543</t>
  </si>
  <si>
    <t>medidor de sistema wes detenido por contaminacion al interior de la turbina, motivo por el cual marca cero 
en app wes, se retira objeto y medidor queda 100% operativo.
lectura medidor las tarrias; 311663</t>
  </si>
  <si>
    <t>fuente switching mala por lo que se remplaza por una nueva.
se remplazan 2 solenoides, y se ajustan caudales; alta 120LxM- -baja 80LxM</t>
  </si>
  <si>
    <t>se detecta membrana en mal estado por lo que se deja una sola valvula en funcionamiento.</t>
  </si>
  <si>
    <t>se cambian 2 membranas de ambas valvulas de control, y 2 solenoides , se programa horario</t>
  </si>
  <si>
    <t>se cambia memoria del sistema wes por problemas visualen en app ( no guarda los LxM)</t>
  </si>
  <si>
    <t>sensor para lectura de consumo descalibrado, se calibra para dejar sistema 100%operativo.
lectura medidor; 307035.</t>
  </si>
  <si>
    <t>visita por baja presion baños segundo piso, se hace la apertura de sistema wes al 100%, se revisa baño segundo piso sin encontrar diferencia de caudal
se normaliza sistema en regulacion y horario.</t>
  </si>
  <si>
    <t>visita por falta de agua, se revisa sistema sin encontrar problemas, revision de puntos en el colegio, 
todos los puntos con agua.</t>
  </si>
  <si>
    <t>se aumenta caudal de un 40% a un 70% para llegar con caudal y presion suficiente a casino.</t>
  </si>
  <si>
    <t>fin auditoria con control; 249745</t>
  </si>
  <si>
    <t>fin auditoria sin control, inicio auditoria con control.; 249195</t>
  </si>
  <si>
    <t>fin auditoria sin control, inicio auditoria con control.; 247202</t>
  </si>
  <si>
    <t>inicio de auditoria sin control. lectura medidor; 245743</t>
  </si>
  <si>
    <t>programacion horarios; 07:00&gt;17:00 alta- - 17:00&gt;23:59 baja 
se realiza cambio de solenoide, se revisa presion y caudal en casino 2do piso, resepcion conforme.</t>
  </si>
  <si>
    <t>problemas en corte de agua por una llave manipulada al interior del colegio, visita sirvio para ajustar sistema que fue modificado, pensando que el problema estaba en el sistema cpa.</t>
  </si>
  <si>
    <t xml:space="preserve">se realiza ajuste de horario para regulacion de caudal.
alta; 07:00&gt;13:00
baja 13:00&gt;20:00
</t>
  </si>
  <si>
    <t>se agenda ajuste de prision para elecciones de peru el dia 25 y 26 de enero</t>
  </si>
  <si>
    <t>se revisa condicion de calefont y casiono, funcionando sin problema; la falta de agua no es lineal, depende del dia y la noche, por ese motivo se deside 
realizar una prueba dejando el 100% del caudal en horario de 06:00&gt;17:30 durante 7 dias para evaluar el funcionamiento de la red hidrica,
se registra lectura medidor aguas andinas para ver el aumento de consumo. lectura; 206050</t>
  </si>
  <si>
    <t>visita por emergencia, desconfiguracion de horario, se realiza chequeo de memoria quedando ok.
se cambia solenoide en valvula quedando operativa, queda en funcionamiento solo valvula de altaen horario 6:30&gt;23:30,
cambio de placa wes por voltajes erroneos.</t>
  </si>
  <si>
    <t>termino de auditoria 
lectura medidor red impulsion; 381588
lectura medidor red sur ; 351259
lectura medidor sacyr ; 777585</t>
  </si>
  <si>
    <t>rendimiento red impulsion ; 47%
rendimiento red sur; 28%</t>
  </si>
  <si>
    <t>cambio preventivo de fuente switching 5v</t>
  </si>
  <si>
    <t>auditoria ; 187243</t>
  </si>
  <si>
    <t>auditoria sin control; 186934</t>
  </si>
  <si>
    <t>auditoria sin control; 186506</t>
  </si>
  <si>
    <t>registro lectura medidor para informe fin auditoria 182385</t>
  </si>
  <si>
    <t>mantencion de medidor wes.</t>
  </si>
  <si>
    <t>registro lectura medidor para informe fin auditoria 182230</t>
  </si>
  <si>
    <t>registro lectura medidor para informe; 182014</t>
  </si>
  <si>
    <t>registro lectura medidor para informe; 181807</t>
  </si>
  <si>
    <t>problema de conexion punto a punto.</t>
  </si>
  <si>
    <t>limpieza de cpa wes,</t>
  </si>
  <si>
    <t>reconexion sensor de pulso puntos high school, elementary , teatro.</t>
  </si>
  <si>
    <t>llave de manometro abierta provoca inundacion, se vacia sistema.
pendiente revicion de medidor estanque b</t>
  </si>
  <si>
    <t>visita a estanque b por consumo constante de 0 m3 
se revisa medidor y se detecta relojeria de medidor detenida.
se toma registro fotografico de los puntos high school, elementary, teatro.</t>
  </si>
  <si>
    <t>TEATRO</t>
  </si>
  <si>
    <t>tablero wes sin alimentacion por causa del accionamiento de un interruptor automatico 
se normalisa situacion, chequeo de voltajes. por peticion de ricardo se mantiene el sistema sin corte nocturno.</t>
  </si>
  <si>
    <t>CANCHA</t>
  </si>
  <si>
    <t xml:space="preserve">cambio de cable por problemas de lectura, instalacion de bateria respaldo.
</t>
  </si>
  <si>
    <t>cpa requiere cambio de membrana para poner equipo en funcionamiento.</t>
  </si>
  <si>
    <t>cambio de solenoide por mantencion preventiva.</t>
  </si>
  <si>
    <t>mantencion de valvula de contro, cambio de membrana y filtro.</t>
  </si>
  <si>
    <t>filtracion en matriz que alimenta porteria, la matriz que alimenta del estanque c al b tiene un bypass
de 63mm que entrega suministro a las dependencias de la porteria.</t>
  </si>
  <si>
    <t>se sube regulacion nocturna a 150 LxM para evitar desavastecimiento de agua en baño guardias.</t>
  </si>
  <si>
    <t>regulacion de 20% a 25% en horario pm de 20:00&gt;05:30</t>
  </si>
  <si>
    <t>programacion de cpa para control de consumo.
05:30&gt;20:00 100%
20:00&gt;05:30 20%</t>
  </si>
  <si>
    <t>conectividad poso profundo normalizado por equipo it, pero queda reparacion de antena punto a punto del estanque c 
la cual sra revisada por redicom.</t>
  </si>
  <si>
    <t>sistema desconectado por motivo de automatico caido en tablero de nido, eduardo rivas levanta sistema y vuelve conexion sin problemas.</t>
  </si>
  <si>
    <t>finalisacion y validacion de funcionamiento sistema de monitoreo estanque c.</t>
  </si>
  <si>
    <t>se solicita revicion de punto lan en poso profundo y estanque c.</t>
  </si>
  <si>
    <t>sistema operativo</t>
  </si>
  <si>
    <t>revicion funcionamiento medidor estanque c equipo operativo 100%</t>
  </si>
  <si>
    <t>filtracion matriz elementary, de 2,7 m3 hora, se realizan pruebas de corte.
por lo anterior se determina que la filtracion esta entre medidor de agua y matriz.</t>
  </si>
  <si>
    <t>normalisacion de alimentacion tablero picina.
chequeo de sistema y programacion.</t>
  </si>
  <si>
    <t>programacion de placa conversora, sistema comunicando, tablero control nido, mejora de placa sistema comunicando,
mejora de tablero picina 3 puntos, estanque c , picina, cancha. revicion y chequeo de sistema.</t>
  </si>
  <si>
    <t>se realiza mejora de conexiones, mejora en cableado, transformadores reubicados, chequeo de placas,
cambio en protexion de corto circuito, mediante portafusible para riel din.</t>
  </si>
  <si>
    <t>se visita punto por desconexion, cambio de placa comunicacion (placa roja) por sulfato en circuito integrado,
sistema operativo conectado a app wes.</t>
  </si>
  <si>
    <t>se interviene punto por desconexion, se remplaza max 232 y pick it</t>
  </si>
  <si>
    <t xml:space="preserve">mantencion preventiva, cambio de solenoide en ambas valvulas 1un NO 1 un NC.
</t>
  </si>
  <si>
    <t>mantencion de punto desconectado, se deja conectado a app wes.</t>
  </si>
  <si>
    <t>mantencion y conexion de todos los puntos desconectados.</t>
  </si>
  <si>
    <t>nueva programacion orarios y caudales.
lunes a sabado alta presion 05:00&gt;09:00 80%- -12:00&gt;15:00 80%- - 17:00&gt;21:00 80%
lunes a sabado media presion 09:00&gt;12:00 60%- -15:00&gt;17:00 60%
horario domingo 1m3 hora.</t>
  </si>
  <si>
    <t>visita por emergencia, se regula cpa quedando con el siguiente orario.</t>
  </si>
  <si>
    <t>presion alta 07:00&gt;09:00- -12:00&gt;15:00- -17:00&gt;21:00
presion media 09:00&gt;12:00- -15:00&gt;17:00
presion domingo al 20%de cauadal</t>
  </si>
  <si>
    <t>normalizacion sistema cpa</t>
  </si>
  <si>
    <t>llave de emergencia activada dia domingo 02-04-2023</t>
  </si>
  <si>
    <t>se realiza nueva programacion para dia domingo; 08:00&gt;08:30- -10:00&gt;10:30- -12&gt;12:30
14:00&gt;14:30- -16:00&gt;16:30- -18:00&gt;18:30 al 50%</t>
  </si>
  <si>
    <t>a causa de solenoide en corte, se quema fusible dejando cir apagado sin conexion.
se remplaza solenoide y fusible,se chequean voltajes, dejando sistema 100% operativo.</t>
  </si>
  <si>
    <t>regulacion dia 1050LxM
regulacion noche 150LxM</t>
  </si>
  <si>
    <t>comienzo auditoria sin wes 
lectura medidor; 377413
lectura sasyr ; 72246</t>
  </si>
  <si>
    <t>se mide amperaje en alimentacion cir desde fuente switching a placa + solenoide 0,57 A
se mide amperaje desde entrada de fuente switchin 0,05A, se mide amperaje desde salida fuente switching 0,018A</t>
  </si>
  <si>
    <t>comienzo auditoria sin wes 
lectura medidor; 350390
lectura sasyr ; 72246</t>
  </si>
  <si>
    <t>sensor de pulso fuera de posocion, se reinstala queda operativo.</t>
  </si>
  <si>
    <t>Regulacion CPA 05:00&gt;09:00 80%- - 09:00&gt;12:00 50%- - 12:00&gt;15:00 80%- - 15:00&gt;17:00 50%
17:00&gt;21:00 80%- - 21:00&gt;05:00 8%</t>
  </si>
  <si>
    <t>inicio auditoria sin wes 
lectura medidor; 50612</t>
  </si>
  <si>
    <t xml:space="preserve">regulacion de sistema CPA 
06:00&gt;21:00 alta presion 80% 130LxM
21:00&gt;06:00 naja presion 20% 30LxM
</t>
  </si>
  <si>
    <t>fin auditoria sin wes 
lectura medidor; 50813</t>
  </si>
  <si>
    <t>entregando el 100% de caudal, la presion de manometro esta en 2,1 bar, dicha condicion impide regular el dia.
regulacion nocturna se regula 60 LxM = al 30% de su maximo caudal.
horario de 05:00&gt;23:50 100% caudal- 00:01&gt;05:00 30%.</t>
  </si>
  <si>
    <t>comienzo auditoria sin wes
lectura medidor; 47618</t>
  </si>
  <si>
    <t>retiro de modem comunicacion para gestion de actualizacion electronica, todo funcionando ok.</t>
  </si>
  <si>
    <t>revicion de conectividad, cambio de modem y router.</t>
  </si>
  <si>
    <t>cambio de placa electronica, normalizacion de conectividad , mantencion general.</t>
  </si>
  <si>
    <t>cambio de integrado, modificacion lectura LxM (calibracion) chequeo general, funcionamiento correcto.</t>
  </si>
  <si>
    <t>actualizacion de sofware de monitoreo WES</t>
  </si>
  <si>
    <t>instalacion de sistema monitoreo WES
esta comprende la instalacion de control inteligente de recurson (CIR) junto con medidor el cual esta cubicando en linea de salida de agua tratada.</t>
  </si>
  <si>
    <t>al momento de llegar, tablero wes se encuentra abierto con candado cortado.
modem 36 sin datos, posiblemente alguna 3sera persona consumio datos de modem, 
se remplaza max 232, placa conversora sin data, se remplaza y programa, se conectan condensadores electricos en entrada de alimentacion de placa
y en alimentacion de 5v, esto mara ayudar a filtrar de mejor manera la linea, el sistema queda conectado y enviando datos.</t>
  </si>
  <si>
    <t>se realiza cambio de sistema completo, placa electronica, placa conversora, modem, router, transformador de alimentacion.</t>
  </si>
  <si>
    <t>se realiza mejora de conectividad, reconfifuracion router, cambio modem 36, mejora de señal.</t>
  </si>
  <si>
    <t>visita por activacion de llave emergencia.</t>
  </si>
  <si>
    <t>se regula caudal nocturno 100LxM, se cambia de valvula por no funcionamiento dejando sistema operativo al 100%</t>
  </si>
  <si>
    <t>punto desconectado, se interviene placa wes,cambio de max 232, reloc, memoria, dejando punto conectado funcionanlo al 100 %</t>
  </si>
  <si>
    <t>mantencion sensor de pulso sistema operativo 100%</t>
  </si>
  <si>
    <t xml:space="preserve">cambio de placa en cir, se agrega fuente de poder 24v para independizar consumo de amplimax, cambio de fusible proteccion.
</t>
  </si>
  <si>
    <t>sistema de control apagado, producto de un corte circuito en solenoide nocturna.
se realiza cambio de solenoide junto con el fusible de proteccion, sistema 100% normalizado</t>
  </si>
  <si>
    <t>cambio de placa en cir, cambio de solenoide, se interviene medidor por obtruccion, se encuentra golilla proviniente de bombas anteriormente reparada, se repara medidor y vuelve a funcionamiento normal</t>
  </si>
  <si>
    <t>se revisa medidor encontrando golilla proviniente de bombas anteriormente reparadas.</t>
  </si>
  <si>
    <t>placa con ruidos, impide el buen funcionamiento, se conecta linea 220v aguas arriba para evitar problemas futuros 
se cambia solenoide dañados en ambas valvulas, medidor detenido requiere revision.</t>
  </si>
  <si>
    <t>cambio de membrana y solenoide en valvuula de alta.</t>
  </si>
  <si>
    <t>mantencion de solenoide
regulacion horaria; 06:00&gt;22:00 60% 350LxM
22:00&gt;06:00 10% 90LxM</t>
  </si>
  <si>
    <t>se reconecta sistema con app wes.</t>
  </si>
  <si>
    <t>se requiere cambio de membrana</t>
  </si>
  <si>
    <t>regulacion de caudal alta presion dia; 1200LxM</t>
  </si>
  <si>
    <t>cambio de router por actualisacion.</t>
  </si>
  <si>
    <t>cambio de brida fisurada en valvula de baja presion 
cpa 100% operativo.</t>
  </si>
  <si>
    <t>se realiza cambio de lugar posicion gabinete wes , sistema con corte nocturno, sistema queda con problemas de comunicacion, se requiere cambiar tarjeta de comunicacion.</t>
  </si>
  <si>
    <t>cambio de fuente swutching, equipo conectado y comunicando.</t>
  </si>
  <si>
    <t>se informa que sala de bombas de la unidad sufre inundacion por flotador de corte defectuoso, a causa de esta, gabinete wes se ve afectado por inundacion 
se retiran componentes de gabinete y se programa cambio de componentes para el dia 16/12</t>
  </si>
  <si>
    <t xml:space="preserve">llave bypass abierta, prueba de corte ;OK
LxM 470 LxM con 2 bombas en funcionamiento; corte 100 LxM, Comunicacion; OK 
</t>
  </si>
  <si>
    <t>faltan 2 bombas para el funcionamiento de salade bombas al 100 %</t>
  </si>
  <si>
    <t>cambio de membrana por no activacion de valvula nocturna.
caudal de 3 bombas esta en un 50 % mas bajo de lo normal &gt; 1500LxM a 720LxM</t>
  </si>
  <si>
    <t>lectura medidor sasyr; 437291
lectura medidor wes ; 239898</t>
  </si>
  <si>
    <t>lectura medidor sasyr; 437291
lectura medidor wes ; 164919</t>
  </si>
  <si>
    <t>puesta en marcha valvula de alta presion, actualisacion de sistema de comunicacion de xbee a amplimax.</t>
  </si>
  <si>
    <t>horarios programados; alta 06:00&gt;23:00
baja 23:00&gt;06:00</t>
  </si>
  <si>
    <t>lectura medidor sacyr; 429359
lectura medidor wes; 159942</t>
  </si>
  <si>
    <t>lectura medidor sacyr; 429359
lectura medidor wes; 236964</t>
  </si>
  <si>
    <t>lectura medidor sacyr; 420392
lectura medidor wes; 234703</t>
  </si>
  <si>
    <t>lectura medidor sacyr; 420392
lectura medidor wes; 153101</t>
  </si>
  <si>
    <t>mantencion preventiva de membrana y solenoide en valvulas de control.</t>
  </si>
  <si>
    <t>cambio de horario por falla electronica, se restablese horario quedando de la siguiente manera;
media presion 06:00&gt;19:00 baja presion 19:00&gt;06:00</t>
  </si>
  <si>
    <t>reinicio de comunicacion para tomar valores de app wes</t>
  </si>
  <si>
    <t>se instala equipo de conectividad, equipo 100%operativo</t>
  </si>
  <si>
    <t>control remoto queda desabilitado por problemas en sala de bombas; flotadores de nivel defectuoso.</t>
  </si>
  <si>
    <t xml:space="preserve">
cambio de placa wea, placa sulfatada por condensacion producida en sala de bombas, queda pendiete la coneccion app wes, se requiere cambiar placa de comunicacion (placa roja)
</t>
  </si>
  <si>
    <t>se deja caudal al 100% devido a falla interna de la unidad, flotadores de corte en llenado de estanque estan fallando.</t>
  </si>
  <si>
    <t>regulacion nocturna 100 LxM 
regulacion alta 400 LxM</t>
  </si>
  <si>
    <t>regulacion nocturna 150 LxM 
regulacion alta 1200 LxM</t>
  </si>
  <si>
    <t>medidor detenido, requiere revision, se coordina visita tecnica con la unidad.</t>
  </si>
  <si>
    <t>visita de emergenia, nueva regulacion cpa.</t>
  </si>
  <si>
    <t>horarios; 06:00&gt;18:00 100% caudal
18:00&gt;06:00 20% caudal</t>
  </si>
  <si>
    <t>cambio de medidor por equipo defectuoso</t>
  </si>
  <si>
    <t>inicio auditoria,medidor impulsion 000017
medidor sanitario 199838</t>
  </si>
  <si>
    <t>lectura medidor; 739384
lectura medidor sanitaria 207746</t>
  </si>
  <si>
    <t>se remplasa rejos en placa, se programan horario normalizando sistema.</t>
  </si>
  <si>
    <t>regulacion activada</t>
  </si>
  <si>
    <t>lectura medidor; 176921
lectura medidor sanitaria; 213345</t>
  </si>
  <si>
    <t>lectura medidor; 005347
lectura medidor sanitaria; 213345</t>
  </si>
  <si>
    <t>reparacion de filtracion en brida de empalme a medidor .</t>
  </si>
  <si>
    <t>regulacion temporada verano.</t>
  </si>
  <si>
    <t>horarios de verano; 06:00&gt;23:59 alta presion 900LxM
00:01&gt;06:00 baja presion 200LxM</t>
  </si>
  <si>
    <t>se realiza mantencion preventiva a cpa, limpieza y cambio de solenoides.</t>
  </si>
  <si>
    <t>se detecta horarios desconfigurados, se vuelve a configurar.</t>
  </si>
  <si>
    <t>se realiza mantencio a cpa, se cambia solenoides, verificavion de voltajes</t>
  </si>
  <si>
    <t>se detecta mal funcionamiento de membrana valvula baja, de deja en funcionamiento valvula de alta.</t>
  </si>
  <si>
    <t>se ajustan horarios; 07:00&gt;10:00 am
12:00&gt;19:00 pm</t>
  </si>
  <si>
    <t>se detecta membrana de valvula baja que no esta cerrando, se debe cambiar.</t>
  </si>
  <si>
    <t>nuevo horario alta; 07:00&gt;12:00</t>
  </si>
  <si>
    <t>ajuste de horario y litros por minutos.</t>
  </si>
  <si>
    <t>baja presion 06:00&gt;19:30 200LxM
presion alta 19</t>
  </si>
  <si>
    <t>problemas de suministro de agua provocada por llave de paso correspondiente al resito penal.</t>
  </si>
  <si>
    <t>ajuste de regulacion; 02:00&gt;03:00 - 07:00&gt;17:30 alta presion 300LxM
17:30&gt;02:00 - 03:00&gt;07:00 baja presion 100 LxM</t>
  </si>
  <si>
    <t>ajuste de regulacion; 02:00&gt;03:00 - 07:00&gt;17:30 alta presion 300LxM</t>
  </si>
  <si>
    <t>membrana de valvulas alta y baja con membranas defectuosas, requiere cambio programado para el dia 06-10-2021</t>
  </si>
  <si>
    <t>se regula caudal en una de las valvulas dejando 800LxM para mitigar consumo de agua las 24hrs.</t>
  </si>
  <si>
    <t>se realiza cambio de membrana en valvula de baja presion y alta presion dejando 100% operativo</t>
  </si>
  <si>
    <t>regulacion 07:00&gt;17:30 alta presion 700LxM
17:30&gt;19:30 presion 300LxM
19:00&gt;07:00 presion nocturna 100LxM</t>
  </si>
  <si>
    <t>se realiza cambio de membrana en valvula de baja presion, dejando 100% apertura cpa</t>
  </si>
  <si>
    <t>regulacion 07:00&gt;17:30 alta presion 500LxM
17:30&gt;19:30 - 02:00&gt;04:00media presion 300LxM
19:00&gt;02:00 - 04:00&gt;07:00 presion nocturna 100LxM</t>
  </si>
  <si>
    <t>llave de paso tipo espejo no abre, por agripamiento impidiendo el normal caudal de la matriz, se nesesita reparar llave.</t>
  </si>
  <si>
    <t>se deja las llaves de cpa con apertura completa para la reparacion</t>
  </si>
  <si>
    <t>llave matriz principal reparada, cpa regulado.</t>
  </si>
  <si>
    <t>llave de emergencia activada al 100%
se modifica horarios de presion y caudal.</t>
  </si>
  <si>
    <t>horarios 06:00&gt;18:00 100%
18:00&gt;23:59 - 00:01&gt;06:00 20%</t>
  </si>
  <si>
    <t>se sierra valvula de baja y se configura valvula de alta con nuevos horarios</t>
  </si>
  <si>
    <t>revision de app wes indica herror en valvula de baja presion producto de esto se realiza visita de emergencia.
se detecta solenoide defectuoso, se remplaza ambas solenoides de valvulas decando mantencion completa.</t>
  </si>
  <si>
    <t>lectura medidor sanitaria 026923
lectura medidor sala de bomba 012513
inicio auditoria con wes</t>
  </si>
  <si>
    <t>lectura medidor cpa sur 077916</t>
  </si>
  <si>
    <t>lectura medidor santario 024523
medidor sala de bomba 011649</t>
  </si>
  <si>
    <t>cambio solenoide a valvulas de control
regulacion alta ; 600LxM 07:00&gt;12:00-19:00&gt;22:00
regulacion baja ; 100LxM 12:00&gt;19:00- 22:00&gt;07:00</t>
  </si>
  <si>
    <t>cambio solenoide a valvulas de control
regulacion alta ; 600LxM 06:00&gt;17:00
regulacion baja ; 150LxM 17:00&gt;06:00</t>
  </si>
  <si>
    <t>visita por baja presion en casino; prueba N°1 se entrega 100% de caudal y no hay diferencia en presion de agua en casino; prueba N°2 se activan 3 bombas, sin tener mejora en presion de agua en casino, se detecta que red de distribusion esta con posibles problemas.</t>
  </si>
  <si>
    <t>cambio de solenoide por falla detectada en app wes.</t>
  </si>
  <si>
    <t>cambio de posicion llave alta presion, prueba de funcionamiento ambas valvulas operativas.</t>
  </si>
  <si>
    <t>instalacion de golillas de precion en brida de empalme</t>
  </si>
  <si>
    <t>regulacion cpa 
07:00&gt;10:00-12:00&gt;16:00 alta presion 1000LxM
10:00&gt;12:00-16:00&gt;07:00 baja presion 200LxM</t>
  </si>
  <si>
    <t>primera regulacion cpa wes.</t>
  </si>
  <si>
    <t>regulacion de caudal ; nocturna presion 20:00&gt;07:00 430LxM
media presion 10:00&gt;12:00 - 16:00&gt;22:00 710LxM
alta prsion 07:00&gt;10:00 - 12:00&gt;16:00 1025</t>
  </si>
  <si>
    <t>filtracion en llave salida cpa reparada, inicio auditoria sin control
lectura medidor 934,44</t>
  </si>
  <si>
    <t>regulacion de caudales- nocturna presion 200LxM
alta presion 1000LxM
baja presion 600LxM</t>
  </si>
  <si>
    <t>fin auditoria de control y monitoreo. lectura medidor&gt; 56557-433434</t>
  </si>
  <si>
    <t>segunda lectura auditoria- lectura medidor 55538-441478,8</t>
  </si>
  <si>
    <t>regulacion de caudales;
alta presion &gt;600LxM
baja presion&gt;350LxM
nocturna &gt;170LxM</t>
  </si>
  <si>
    <t>revicion de funcionamiento cpa y cir
comienzo auditoria.</t>
  </si>
  <si>
    <t>lectura medidor 54036-439229,4</t>
  </si>
  <si>
    <t>cuarto ajuste de rendimiento, se mantiene presiones alta y baja.
se regula caudal nocturno de 300LxM a 200LxM</t>
  </si>
  <si>
    <t>se programa horario baja presion hasta las 19:00hrs, chequeo de placa, funcionamiento de valvulas y conectividad, sistema ok.</t>
  </si>
  <si>
    <t>regulacio de presion Nocturno &gt;300LxM 22:00-07:00
presion alta 650LxM 07:00-12:00; 17:00-22:00
presion baja 400 LxM 12:00-17:00</t>
  </si>
  <si>
    <t>ajuste y regulacion de sistema cpa, entrenamiento de protocolo de emergencia y entrega de llave para acceso a cpa.</t>
  </si>
  <si>
    <t>lecturas medidor 11-01-2021&gt; 2636
11-01-2021&gt;5121</t>
  </si>
  <si>
    <t>regulacion de caudal en cpa dejando abastesimiento en un 30% de su maximo caudal.</t>
  </si>
  <si>
    <t>cambio de solenoides en ambas valvulas de control.</t>
  </si>
  <si>
    <t>cambio de 2 valvulas de tipo "NO"</t>
  </si>
  <si>
    <t>cambio de fuente switching + instalacion de fuente switching 24v, para alimentacion independiente de router amplimax.
cambio de memoria y solenoides en ambas valvulas de control.</t>
  </si>
  <si>
    <t>mal funcionamiento de solenoide , afecta directamente a placa wes, producto de alimentacion desde fuente switching 24v.
se instala fuente switching extra para independisar alimentacion 24v de amplimax corriente continua.
se instala fuente switching 12v para alimentacion de placa wes, sensor de pulso, placa roja y solenoides.</t>
  </si>
  <si>
    <t>cambio de solenoides en valvulas, cambio de placa wes por falla, sistema operativo.</t>
  </si>
  <si>
    <t>se cambia 2 solenoides de tipo "NO"</t>
  </si>
  <si>
    <t>ajuste de horarios, ajuste y revicion de valvulas, corte nocturno.</t>
  </si>
  <si>
    <t>regulacion sistema cpa wes- cambio de solenoide</t>
  </si>
  <si>
    <t>regulacion nocturno 50LTxM</t>
  </si>
  <si>
    <t>fin auditoria con control, lectura medidor 490329</t>
  </si>
  <si>
    <t>cambio de placa wes</t>
  </si>
  <si>
    <t>inicio auditoria sin control, lectura 488037</t>
  </si>
  <si>
    <t>se realiza extraccion de medidor para chequeo , se encuentran restos de material, se deja en 
funcionamiento y queda pendiente el cambio de medidor.</t>
  </si>
  <si>
    <t>se esta realizando mantencion en torres con corte hidrica general, disminuyendo consumo.</t>
  </si>
  <si>
    <t>revicion sistema wes, funcionamiento placa, solenoides en buen estado, chequeo de sistema electronicos,
gabinete en buen estado, comunicacion de sistema ok.</t>
  </si>
  <si>
    <t>revicion sistema wes, funcionamiento placa, solenoides en buen estado, chequeo de sistema electronicos, gabinete en buen estado, comunicacion de sistema ok.</t>
  </si>
  <si>
    <t>se solicita por parte de jorge tilleria realizar prueba de funcionamiento de las calderas con el 100% de el sistema wes, esta prueba se solicito para el dia 06/07/2020
a las 09:00</t>
  </si>
  <si>
    <t>se solicita habilitar 20% de presion nocturna, con esta condicion lo mas probable es que se produsca un vaciado de estanque.</t>
  </si>
  <si>
    <t>mantencion de valvulas</t>
  </si>
  <si>
    <t>se realizan pruebas en caldera detectando que el problema esta en la presurizacion interna del circuito primario de la cardera.
se solisita por el encargado de mantencion mantener la programacion horaria de presion.</t>
  </si>
  <si>
    <t>lectura medidor 27874</t>
  </si>
  <si>
    <t>lectura medidor 17017</t>
  </si>
  <si>
    <t>lectura medidor 106280</t>
  </si>
  <si>
    <t>regulacion sistema sala de bombas , se deja un 50% de caudal durante
los horarios que las internas no estan en las torres.</t>
  </si>
  <si>
    <t>instalasion sistema electronico guardia principal, inicio de auditoria.</t>
  </si>
  <si>
    <t>Segunda regulacion del CPA 
Alta presion 430 LXM 06:00 a 10:00 / 12:00 a 14:00 / 16:00 a 23:59
Media Presion 200 LXM 10:00 a 12:00 / 14:00 a 16:00 
Baja presion 50 LXM 00:01 a 06:00</t>
  </si>
  <si>
    <t>Se detecta solenoide con resorte mala, se cambia quedado operativa</t>
  </si>
  <si>
    <t>Segunda regulacion del CPA 
Alta presion 90% 400 LXM 06:00 a 23:59
Baja presion 30% 80 LXM 00:01 a 06:00</t>
  </si>
  <si>
    <t>Segunda regulacion del CPA 
Alta presion 90% 400 LXM 06:00 a 08:00 / 16:00 a 23:59
Baja presion 50% 210 LXM 00:01 a 06:00 / 08:00 a 16:00</t>
  </si>
  <si>
    <t>Se entrega soporte para activar rpotocolo de emergencia dejando el 100% del caudal para la unidad. 20-10-21 a 10:45 se asiste y se detecta falla en membrana de alta se realiza cambio dejando el CPA 100% operativo</t>
  </si>
  <si>
    <t>media presion regulada en los horarios 10:00 a 12:00 y 14:00 a 16:00</t>
  </si>
  <si>
    <t>Regulacion nocturna de 200 LXM entrega de candado CPA</t>
  </si>
  <si>
    <t>Se instala antena amplimax en sector modulo y se estabiliza conectividad lectura del medidor 034430</t>
  </si>
  <si>
    <t>Se realiza cambio de placa WES y se asegura la conectividad con la app wes sin problemas lecturua de medidor tomada 016548</t>
  </si>
  <si>
    <t>se ajusta la regulacion 100% de presion durante el dia de 06:00 a 19:00 y un 50% de presion 19:00 a 23:59 y 00:01 a 06:00</t>
  </si>
  <si>
    <t>Visita con claudio Quilodran se revisa detectando la falta una llave de paso para obtener el final de linea al momento de encender la sala de bombas.</t>
  </si>
  <si>
    <t>Revison y cambio de solenoides alta presion ovalo. Regulaciones y mantenimiento</t>
  </si>
  <si>
    <t>Regulacion nocturna 100 LXM 00:01 a 06:00 Diurna 550 LXM 06:00 a 23:59</t>
  </si>
  <si>
    <t>Trabajos de prueba modulos se entrega el 100% del agua si poder llegar al piso superior. El sistema WES queda regulado para evitar vaciado de los estanques.</t>
  </si>
  <si>
    <t>Vista para revisar funcionameinto de las bombas pasando por el control CPA Wes.</t>
  </si>
  <si>
    <t>Se cordina visita para el lunes 22-11-21 pruebas de llenado estanque</t>
  </si>
  <si>
    <t>Up Grade puerto de conectividad</t>
  </si>
  <si>
    <t>Up Grade Pick</t>
  </si>
  <si>
    <t>Regulacion nocturna a 100 LXM</t>
  </si>
  <si>
    <t>Up Grade conectividad con amplimax</t>
  </si>
  <si>
    <t>Up Grade de sofware</t>
  </si>
  <si>
    <t>Sisitema se encuentra apagado por corte Cto. el cual es reparado. En segunda instacia se detecta modificacion las tuberias de ingreso y salida del CPA WES de esta forma el equipo CPA queda fuera de operacion total</t>
  </si>
  <si>
    <t>Mtto. completo CIR y CPAde forma preventiva . Equipo queda conectado en App WES</t>
  </si>
  <si>
    <t>Verificacion de manifull en sala de bombas modulo se acredita que falta llave de corte para dejar en funcionamiento el sistema de control WES . Claudio Quilodran compromete instalacion de esta. Se verifica la necsidad de nuevo equipo CPA para la matriz principal para aumentar el % de control y ahorrro.</t>
  </si>
  <si>
    <t>Cambio de Router, placa por falla de conexion 220 v Borner cortado. Revision General</t>
  </si>
  <si>
    <t>Cambio de Solenoide mtto preventivo por cambio planificado cada 6 meses</t>
  </si>
  <si>
    <t>Conexion de 5 volt suelta impide alimentar la plaxa Rs232 a Lan por lo que la conectivada se cae</t>
  </si>
  <si>
    <t>Revison de sistema pero con datos con informacion Ambivalente. Se realiza cambio de placa y un UpGrade de sistema ,calibracion y pruebas de funcionamiento y finalmente revison confirmacion de conectivida app realizada</t>
  </si>
  <si>
    <t>En la misma Visita se reviza Matriz Principal Ovalo</t>
  </si>
  <si>
    <t>Solenoides no realizan el corte hidrico junto con esto la memoria tiene problemas en el guardado de la calibracion y en los horarios. ademas de un cheque general al equipo Cir. Dejando el equipo totalmente operativo.</t>
  </si>
  <si>
    <t>Equipo CIR sin energia desde el emplame principal de 220 volt. Se presume un corte Cto. En gabinete pricipal. Se activa el equipo nuevamente dejandolo operativo junto con esto se cambian el equipo de comunicacion de un router TP link D220 junto con un moden usb entel; por un roter Dlink MR921.</t>
  </si>
  <si>
    <t>Membrana deformada impiden control del equipo CPA. Se requiere el cambio el cual se coordinara con el equipo de mantenimiento</t>
  </si>
  <si>
    <t>Cambio de membrana por desgaste. Se realiza el cambio en ambas membranas dejando el equipo CPA 100% operativo.</t>
  </si>
  <si>
    <t>Horario programado de 06:00 a 23:59 100% (550 LXM)de presion 00:01 a 06:00 20% (110 LXM)</t>
  </si>
  <si>
    <t>registro de consumo para rendimiento</t>
  </si>
  <si>
    <t>registro lectura medidor 342210</t>
  </si>
  <si>
    <t>se realiza auditoria en unidad</t>
  </si>
  <si>
    <t>28/10/2019&gt;lectura medidor-331082 ; 29/10/2019&gt;331925 ; 08/11/2019&gt;339340;- se realiza regulacion de caudal en sistema.</t>
  </si>
  <si>
    <t>se realiza cambio de solenoide dañadas.</t>
  </si>
  <si>
    <t>unidad se encuentra sin agua por solenoide defectuosa, se realiza cambio de esta dejando sistema operativo.</t>
  </si>
  <si>
    <t>se modifica mantenimiento de solenoides de 6 meses a cada 3 meses ya que solenoide se ve afectada por dureza de agua.</t>
  </si>
  <si>
    <t>mantencion coneccion 36 y comunicacion</t>
  </si>
  <si>
    <t>mantension semestral solenoide.</t>
  </si>
  <si>
    <t>revision, reparacion horaria y coneccion app wes.</t>
  </si>
  <si>
    <t>se detecta sobre consumo prolongado en app wes, por lo tanto se prosede a revisar regulacion detectando alteracion en llaves de valvulas.</t>
  </si>
  <si>
    <t>se regula configuracion de presion alta 05:30&gt;01:00 media 01:00&gt;05:30 ; se asegura abastesimiento de agua a enfermeria de la unidad.</t>
  </si>
  <si>
    <t>presion alta 940LxM- media 700LxM- baja 240LxM</t>
  </si>
  <si>
    <t>se activa llave de emergencia dejando caudal al 100%, por problema de caudal u presion en torre 3.</t>
  </si>
  <si>
    <t>se recomienda revisar shaff de alimentacion a las 3 torres y solisitar a aguas andinas limpieza de filtros.</t>
  </si>
  <si>
    <t>por motivo de solenoide defectuosa, valvula permanece cerrada.</t>
  </si>
  <si>
    <t>se remplaza solenoide, dejando sistema operativo.</t>
  </si>
  <si>
    <t>ajuste programacion horarios; presion alta&gt;06:00-14:00- baja&gt;14:00-22:00</t>
  </si>
  <si>
    <t>presion alta; 900LxM media -500LxM baja 400LxM</t>
  </si>
  <si>
    <t>programacion horarios</t>
  </si>
  <si>
    <t>presion alta; 06:00&gt;15:00&gt;900LxM media 15:00&gt;23:59-500LxM baja; 00:01&gt;06:00 300LxM - instalaion bateria de respaldo.</t>
  </si>
  <si>
    <t>ajuste programacion horarios</t>
  </si>
  <si>
    <t>presion alta; 06:00&gt;22:00-1150LxM media 22:00&gt;23:50-500LxM baja; 23:59&gt;06:00 300LxM</t>
  </si>
  <si>
    <t>alimentacion a placa wes sin energia</t>
  </si>
  <si>
    <t>se normaliza alimentacion 24v a placa dejando equipo operativo.</t>
  </si>
  <si>
    <t>apertura llave de emergencia.</t>
  </si>
  <si>
    <t>se regula caudal nocturno.</t>
  </si>
  <si>
    <t>mantencion, cambio de solenoides, chequeo de horarios, regulacion caudal nocturno.</t>
  </si>
  <si>
    <t>regulaciones; nocturna 230LxM-alta dia 1030 LxM.</t>
  </si>
  <si>
    <t>equipo de control CIR sin energia producto de diferencial caido en tablero principal empalmado, se normalisa situacion sin mayor modificacion.</t>
  </si>
  <si>
    <t>se realiza mantencion semestral a solenoides.</t>
  </si>
  <si>
    <t>se remplaza fuente afectada y se mejora sellado en canalisacion para evitar ingreso de aguas lluvias a gavinete wes.</t>
  </si>
  <si>
    <t>fuenete afectada por aguas lluvias.</t>
  </si>
  <si>
    <t>se activa bypass en valvulas para eventual cambio de fuente switching.</t>
  </si>
  <si>
    <t>fin auditoria con control</t>
  </si>
  <si>
    <t>inicio auditoria sin control</t>
  </si>
  <si>
    <t>lectura medidor 788728</t>
  </si>
  <si>
    <t>regulacion nocturna 65 LxM</t>
  </si>
  <si>
    <t>instalacion router comunicacion+ placa comunicacion, comunicacion y red de datos.</t>
  </si>
  <si>
    <t>regulacion nocturna 180 LxM</t>
  </si>
  <si>
    <t>se regulan valvulas de control presion alta-media-corte</t>
  </si>
  <si>
    <t>se realiza mantenimiento a solenoide y se regula llave nocturna a 150LxM</t>
  </si>
  <si>
    <t>reparacion fuga en solenoide</t>
  </si>
  <si>
    <t>prueba de corte y apertura, ok.</t>
  </si>
  <si>
    <t>cambio de 2 solenoides (NO)</t>
  </si>
  <si>
    <t>cambio de solenoide por mantencion</t>
  </si>
  <si>
    <t>Mauricio Orellana</t>
  </si>
  <si>
    <t>24 volt genenra daño en las bobinas de la solenide probocando corte circuto en la placa envindo un tren de pulsos que dañan la fuente y los integrados ( max232 reloj pick y memoria). por esta razon se instala fuente switching de 12 volt 5 amper para placa y control y una fuente switching de 24 volt 3 amper para el funcionamiento del amplimax</t>
  </si>
  <si>
    <t>fusible de proteccion de placa esta operado</t>
  </si>
  <si>
    <t>REGULACION LLAVE EMERGENCIA, CAMBIO DE VALVULA, EXTENCION HORARIO CORTE.</t>
  </si>
  <si>
    <t>SE DETERMINA QUE VALVULA EN FUNCIONAMIENTO NO CIERRA EN HORARIO CORTE, POR LO QUE SE CAMBIA SOLENOIDE (NO) A VALBULA EN FUNCIONAMIENTO.</t>
  </si>
  <si>
    <t>Max 232 dañada, se cambia integrado dejando equipo operativo</t>
  </si>
  <si>
    <t>Se mantien regulacion y horario de control</t>
  </si>
  <si>
    <t>SE REINSTALA SENSOR DE PULSO FIJANDOLO CON AMARRAS PARA SU PERMANENCIA EN MEDIDOR.</t>
  </si>
  <si>
    <t>Programacion valculas solenoides segun horario.
Pruebas conectividad y funcionalidad.
Chequeo de sistema general.
Se realizaron visitas dentro de los proximos dias para lectura y medicion</t>
  </si>
  <si>
    <t>Regulacion N°1
07:00 a 23:00 100%
23:00 a 07:00 60%</t>
  </si>
  <si>
    <t>Via app se detecta violacion de sistemas con llaves de control abiertas 100%.
Se realiza ajuste de presiones y caudal.
ALta presion: 800LXM 90%
Baja preison: 600LXM 60%
Nocturna: 300 LXM 30%</t>
  </si>
  <si>
    <t>Regulacion alta presion 100% entre 14:00ma 22:00</t>
  </si>
  <si>
    <t>Normalizacion de ajustes de caudal 12:00 a 22:30 100%
Reviosn del caudal de llenado para estanque de poblacion penal operativa.
Presion en liceo adecuada para funcionameinto el problema esta localizado en una llave de paso defectuosa</t>
  </si>
  <si>
    <t>Reviosn completa del CIR y CPA
Regulacion:</t>
  </si>
  <si>
    <t>Se realiza regulacion de 600 lxm a 300 lxm</t>
  </si>
  <si>
    <t>Regulacion nocturna 200 LXM
Cambio de solenoide de NO a NC</t>
  </si>
  <si>
    <t>Cambio de solenoide por mtto preventvio.
Avanzada de guardia con baja presion solicita apertura de llaver emergencia</t>
  </si>
  <si>
    <t>Se realizan 2 pruebas entregando 200 LXM se verifica la presion en la avanzada y luego entregar el 100% en la avanada verificando la presion en ambas pruebas la presion fue igual por lo tanto el problema esta en la linea que alimenta la avzanda o en la llave de paso que tiene dicha linea.</t>
  </si>
  <si>
    <t>Implementacion de regulacion 50% nocturno</t>
  </si>
  <si>
    <t>Fin Auditoria sin ciontrol
Wes: 352980
Sacyr: 283359</t>
  </si>
  <si>
    <t>Inicio Auditoria sin ciontrol
Wes: 343857
Sacyr: 273870</t>
  </si>
  <si>
    <t>Regulacion noncturna 20%
Regulacion día 100%Cambio de solenoides
sistema de comunicacion funcionando ok</t>
  </si>
  <si>
    <t>Lectura de medidores
WES: 603452
Sacyr: 565483</t>
  </si>
  <si>
    <t>Cambio de membran por no cierre de valvula
Se normaliza sistema de control</t>
  </si>
  <si>
    <t xml:space="preserve">Lectura de mediores 
WES: 611328
Sacyr: 574441
</t>
  </si>
  <si>
    <t xml:space="preserve">Lectura de mediores 
WES: 618072
Sacyr: 582233
</t>
  </si>
  <si>
    <t>Memoria de sistema electronico defectuoso provoca que falle el control del CPA en el horario nocturno
Cambio de memoria y de Solenoide</t>
  </si>
  <si>
    <t>Nueva regulacion y horario de baja presion .
sistema de comunicacion ok.
Prueba de apertura y cierre de valvulas existoso.</t>
  </si>
  <si>
    <t>Problema de configuracion en placa RS232 a LAn tiene mal configurado puerto, logrando llegar al servidor por no permiete conectarce desde el listener por el 2080.
Regulacion de alta presion entre 05:00 a 23:00 y baja presion desde las 23:00 a 05:00</t>
  </si>
  <si>
    <t>Se cambia valvula se alta por valvula de baja para el control nocturno con una solenoide NO</t>
  </si>
  <si>
    <t>Regulacion:</t>
  </si>
  <si>
    <t>Regulacion:
06:00 a 07:00 ALta 60%
10:00 a 15:00 ALta 60%
19:00 a 20:30 ALta 60%
07:00 a 10:00 Baja 30%
15:00 a 19:00 Baja 30%
20:30 a 23:59 Baja 30%
23:59 a 06:00 nocturna corte</t>
  </si>
  <si>
    <t>Regulacion:
06:00 a 07:00 ALta 60%
10:00 a 15:00 ALta 60%
19:00 a 20:30 ALta 60%
07:00 a 10:00 Baja 30%
15:00 a 19:00 Baja 30%
20:30 a 23:59 Baja 30%
23:59 a 06:00 nocturna 10%</t>
  </si>
  <si>
    <t>Regulacion:
06:00 a 07:00 ALta 80%
10:00 a 15:00 ALta 80%
19:00 a 20:30 ALta 80%
07:00 a 10:00 Baja 50%
15:00 a 19:00 Baja 50%
20:30 a 23:59 Baja 50%
23:59 a 06:00 nocturna 10%</t>
  </si>
  <si>
    <t>Regulacion:
06:00 a 07:00 ALta 80%
10:00 a 15:00 ALta 80%
19:00 a 20:30 ALta 80%
07:00 a 10:00 ALta 50%
15:00 a 19:00 ALta 50%
20:30 a 23:59 ALta 50%
Corte noctuno</t>
  </si>
  <si>
    <t>Se realiza visita por sistema desconectado.
Motivo de la desconexion es el automatico del tablero genral bajado</t>
  </si>
  <si>
    <t>Regulacion:
05:30 a 23:59 80%
23:59 a 5:30 30 %</t>
  </si>
  <si>
    <t>Aumento de presion en el equipo de adminitracion ñpor fuga en el edificio academico</t>
  </si>
  <si>
    <t>Regulacion horario nueva</t>
  </si>
  <si>
    <t>Regulacion: Especial para mejorar los rendimientos en el equipo</t>
  </si>
  <si>
    <t>Cambio de solenoides</t>
  </si>
  <si>
    <t>Cambio de solenoides
Revison de conectividad</t>
  </si>
  <si>
    <t>Nirmalizacion de sistema administracion 
Cambio de bateria</t>
  </si>
  <si>
    <t>Bateria Solar con 6.1 volt
No permite la pertura y cierre de valvulas
se pasa sistema a manual para no tenr problemas de falta de agua
Se realiza cambio de bateria para normalizar el funcionamiento</t>
  </si>
  <si>
    <t>Cambio de memoria</t>
  </si>
  <si>
    <t>Normalizacion de cto. 
Pendiente goteo en solenoide</t>
  </si>
  <si>
    <t>Lectura AA: 742604
Lectura WES: 59990</t>
  </si>
  <si>
    <t>Lectura AA: 175249
Lectura WES: 20066</t>
  </si>
  <si>
    <t>Regulacion nocturna segun horarios emitidos por personal de genchi
90 LXM noche
Horario Baja 22:00 a 05:00
Pruebas de corte y bajo caudal.
Sisitema en linea</t>
  </si>
  <si>
    <t>Mantenimeito CPA Cambio de Solenoides 
Conectividad 3g cambiando Chip</t>
  </si>
  <si>
    <t>Sistema sin cerrar 
Se debe cambiar solenoides y hacer mtto a las vlavulas</t>
  </si>
  <si>
    <t>Sistema regulado a 40 LXM niche placa queda ok
Se debe hacer cambio de solenoide y mtto a valvulas</t>
  </si>
  <si>
    <t>Cambio Borner de alimentacion tablero sin energia
Cambio de moden 3G y chip de comunicacion</t>
  </si>
  <si>
    <t>Inicio Auditoria sin Wes
Lecutura WES: 85391
Lectura AA: 768382</t>
  </si>
  <si>
    <t>Inicio Auditoria sin Wes
Lecutura WES:</t>
  </si>
  <si>
    <t>FIn Auditoria Sin WES
Inicio Auditoria Con Wes
Lecutura WES: 29290</t>
  </si>
  <si>
    <t>FIn Auditoria Sin WES
Inicio Auditoria Con Wes
Lecutura WES: 83414</t>
  </si>
  <si>
    <t>Lectura AA: 767157
Lecutura WES: 84185</t>
  </si>
  <si>
    <t>Lectura AA: 184111
Lecutura WES: 29712</t>
  </si>
  <si>
    <t>Lectura AA: 185277
Lecutura WES: 30885</t>
  </si>
  <si>
    <t>Lectura AA: 86799
Lecutura WES: 769805</t>
  </si>
  <si>
    <t>lectura 83849</t>
  </si>
  <si>
    <t>lectura 029539</t>
  </si>
  <si>
    <t>lectura 183353</t>
  </si>
  <si>
    <t>Reluacion nocturna 18 LXM</t>
  </si>
  <si>
    <t>Placa pegada en propgramacion / ultima conexion a 7 días
13:50; 26-10-22
Segir monitoreando falla
Cheque general</t>
  </si>
  <si>
    <t>Se realiza mtto de solenoide.</t>
  </si>
  <si>
    <t>Cable desconectado impide encendido de router ocacionando la no conectividad.
Se encuentran llave de emergencia abierta sin notificaciones preventiva. Al revisar el CPA se detecta que la solenoide de alta presion no abre la valvula probocando baja presion.
Se realiza mtto de solenoide.</t>
  </si>
  <si>
    <t>Americana de manometro con filtracion se encuentran oring dañnado.
Se realiza cambio quedando sin filtracion.
Se realiza mmto Solenoides y se normaliza el funcionamiento de CPA</t>
  </si>
  <si>
    <t>Inicio de auditoria sin wes
Lectura Admin: 105087</t>
  </si>
  <si>
    <t>Inicio de auditoria sin wes
Lectura Academia: 43609</t>
  </si>
  <si>
    <t>Inicio de auditoria sin wes
Lectura Admin: 105841</t>
  </si>
  <si>
    <t>Inicio de auditoria sin wes
Lectura Admin: 106669</t>
  </si>
  <si>
    <t>Inicio de auditoria sin wes
Lectura Academia: 44448</t>
  </si>
  <si>
    <t>Fin de auditoria
Academia: 15%
Lectura Academia: 44999</t>
  </si>
  <si>
    <t>Fin de auditoria
Administracion: 8%
Lectura Admin: 107568</t>
  </si>
  <si>
    <t xml:space="preserve">Cambio de Solenoide CPA 100% operativo
</t>
  </si>
  <si>
    <t>Cambio de Solenoide CPA 100% operativo
Cambio de memoria y fusible del sistema CPA</t>
  </si>
  <si>
    <t>Filtracion terminal de PVC hidraulico en llave de sistema WESReparacion con cambio de terminal</t>
  </si>
  <si>
    <t>Instalacion final de equipo ECOagua WES
Recepcion Conforme</t>
  </si>
  <si>
    <t>Problema de conectividad Chip operador defectuoso, se solicita cambio para posterior instalacion</t>
  </si>
  <si>
    <t>Sistema comunicado
Calibracion de puklso
Cambio de Fuente switching</t>
  </si>
  <si>
    <t>Cambio de solenoide para valvula de alta y baja</t>
  </si>
  <si>
    <t>Conectividad del sistema con equipo amplimax opera sin novedad 
Artemio: 19969
Carmen 189153</t>
  </si>
  <si>
    <t>Habilitacion de ssitema Carmen Alta presion 04:45 a 23:00
Entrenamiento protocolo WES para emergencias.
Guillermo Zapata recibe entrenamiento.
Llave y protocolo en guardia general.
Lectura: 194951</t>
  </si>
  <si>
    <t>Incio Auitoria sin WES
Lectura: 194951</t>
  </si>
  <si>
    <t>Auditoria sin wes finalizada
Incio Auitoria con WES
Lectura: 195307</t>
  </si>
  <si>
    <t>Llave de emergencia abierta 
Se hacer regulacion nocturna 10 LXM
Ver integracion de control remoto
Corte ok</t>
  </si>
  <si>
    <t>Inicio auditoria Sin WES
Lectura 203586</t>
  </si>
  <si>
    <t>Normalizacion de comunicacion App
Inicio auditoria Sin WES
Lectura 204603</t>
  </si>
  <si>
    <t>Inicio auditoria con wes 
Lectura 205182</t>
  </si>
  <si>
    <t>Inicio auditoria Son wes 
Lectura 205270</t>
  </si>
  <si>
    <t>Fin auditoria con wes 
Rendimiento del 24%
344.17 M3 = 399.233 CLP
Lectura 205513</t>
  </si>
  <si>
    <t>renovacion de silicona en tranductores mejorando señal</t>
  </si>
  <si>
    <t>Año</t>
  </si>
  <si>
    <t>Mes</t>
  </si>
  <si>
    <t>Etiquetas de fila</t>
  </si>
  <si>
    <t>Total general</t>
  </si>
  <si>
    <t>Etiquetas de columna</t>
  </si>
  <si>
    <t>actualizacion de cir</t>
  </si>
  <si>
    <t>Cuenta de Tipo de Falla</t>
  </si>
  <si>
    <t>(Varios elementos)</t>
  </si>
  <si>
    <t>Retiro poste Solar</t>
  </si>
  <si>
    <t>cambio de poste solar Etapa 1 insalacion de cir + tranductor ultrasoido.</t>
  </si>
  <si>
    <t>intervencion hidrica, instalacion de valvulas se control + llave mariposa</t>
  </si>
  <si>
    <t>Instalación Valvula On/Off</t>
  </si>
  <si>
    <t>Tareas Miscelaneas</t>
  </si>
  <si>
    <t>Fatiga de material</t>
  </si>
  <si>
    <t>visita por desconexion cristal de microcontrolador de reloj 
sulfatado por humedad, cambio de placa sistema 100% operativo.</t>
  </si>
  <si>
    <t>instalación</t>
  </si>
  <si>
    <t>instalacion sensorde pulso remplazo de ultrasonido</t>
  </si>
  <si>
    <t>Fin Auditoria Normalizacion cpa wes, lectura a.a 441798, lectura wes 280773</t>
  </si>
  <si>
    <t>Fin auditoria wes, 100% 300 LxM</t>
  </si>
  <si>
    <t>Incio Auditoria visita revicion de medidor, se encuentra sensor de pulso fuera de posicion, comienzo de auditoria sin wes lec 448944</t>
  </si>
  <si>
    <t>finalización instalación sistema wes lec ultrasoico 7074x0,01</t>
  </si>
  <si>
    <t>finalización instalación sistema wes lec MAP 1652,2</t>
  </si>
  <si>
    <t>finalización actualización cir
lec map 137800</t>
  </si>
  <si>
    <t>finalización up grade wes lec validacion 272307</t>
  </si>
  <si>
    <t>finalización up grade wes lec validacion 70835</t>
  </si>
  <si>
    <t>finalización up grade wes</t>
  </si>
  <si>
    <t>ID Erróneo</t>
  </si>
  <si>
    <t>Medidor defectuoso</t>
  </si>
  <si>
    <t>Construccion</t>
  </si>
  <si>
    <t>Reparación Camara</t>
  </si>
  <si>
    <t>visita por no visualisacion de pulso, esto se debe a la vibracion hidrica en tuberias 
sensor de pulso se pone en posicion y se coloca tornillo de fijacion.</t>
  </si>
  <si>
    <t>Instalacion 3 equipos CIR, casino: 022485. san nicolas: 131636 MTTO: +55x0,01 m3 / 14m3 100 LT.</t>
  </si>
  <si>
    <t>actualización sistema de monitoreo + control cpa, chequeo de solenoides
lectura validacion 2412</t>
  </si>
  <si>
    <t>actualización de codigo en pick it</t>
  </si>
  <si>
    <t>actualización de programa control de todos los equipos.</t>
  </si>
  <si>
    <t>actualización de programa en placa wes.</t>
  </si>
  <si>
    <t>so</t>
  </si>
  <si>
    <t>Regulación del capa, nocturno 10% = 06:30-18:00 90%, 18:00-23:59 50% (lunes a jueves). NOCTURNO 10% = 06:30 - 16:30 90%, 16:00 - 23:59 50%. (viernes).</t>
  </si>
  <si>
    <t>Regulación del cpa, nocturno 10% = 06:30-18:00 90%, 18:00-23:59 50% (lunes a jueves). NOCTURNO 10% = 06:30 - 16:30 90%, 16:00 - 23:59 50%. (viernes). se realizo un cambio de solenoide (1).</t>
  </si>
  <si>
    <t>Activación de llave de emergencia en válvula de alta presión. cambio de solenoide en válvula. solenoide en mal estado.</t>
  </si>
  <si>
    <t>Visita por apertura de llaves bypass en válvula de control, esta es normalizada y queda el sistema con control. equipo totalmente operativo.</t>
  </si>
  <si>
    <t>Cambio de ambas solenoides (2) en válvulas de control. Equipo queda totalmente operativo. alta presión 06:00-17:00 - 06:00-16:00 (alta) - Baja presión 17:00 - 19:30 baja 16:00 - 19:30.</t>
  </si>
  <si>
    <t>Apertura de llave bypass, chequeo de placa electrónica, se realizo un cambio de memoria, actualización de código pick it. chequeo de voltajes y solenoide. sistema habilitado 24 hrs por elecciones domingo 27 activado desde día miércoles 23-10-24. equipo dejado totalmente operativo.</t>
  </si>
  <si>
    <t>CPA con ambas válvulas malas, requieren un cambio. Planificación previa CORMO.</t>
  </si>
  <si>
    <t>CPA con válvula de baja presión mala, es realizado el cambio de la válvula, dejando el equipo operativo.</t>
  </si>
  <si>
    <t>Instalación de equipo monitoreo wes, canalización, empalme eléctrico; falta sensor de pulso.</t>
  </si>
  <si>
    <t>Reprogramación; 12-10-24 servel.</t>
  </si>
  <si>
    <t>Regularización de CPA post elecciones, sistema queda operativo.</t>
  </si>
  <si>
    <t>Visita para regularización no es llevada a cabo a causa de una inundación en el CPA, debido a una filtración proveniente de medidor de agua potable, cormup debe gestionar la reparación con Aguas Andinas.</t>
  </si>
  <si>
    <t>Normalización de sistema CPA post elecciones. sistema operativo.</t>
  </si>
  <si>
    <t>Regulación de sistema cpa post elecciones. Equipo operativo</t>
  </si>
  <si>
    <t>normalización horarios jornada de clases.</t>
  </si>
  <si>
    <t>visita por emergencia, desconfiguración en distribución de horarios provoca corte en válvula
programada, cortando agua en el establecimiento, se reprograma distribución de eventos normalizando funcionamiento de 
sistema cpa. sistema operativo 100%.</t>
  </si>
  <si>
    <t>visita por emergencia, solenoide sin voltaje producto de programación de horarios de seguridad 
deshabilitado, este provoca corte de voltaje en solenoide cortando caudal de válvula programada,
se normaliza quedando sistema operativo 100%.</t>
  </si>
  <si>
    <t>cambio de chip actualización a wom, distribución de evento erróneo provoca corte en válvula, esta 
al inspeccionarse se encuentra con bypass activado. se normaliza días de funcionamiento y se activa válvula en modo 
automático, quedando sistema 100% operativo.</t>
  </si>
  <si>
    <t>visita por extensión de horario, válvula de baja se iguala a válvula de alta alternando 
en su funcionamiento en cantidad de horas iguales de trabajo, fuga en válvula sab se debe a 
solenoide suelta, se reaprieta quedando sin fuga.</t>
  </si>
  <si>
    <t>visita por emergencia, sistema sab sin energía en baños enseñanza media, se detecta fusible quemado por intervenciones de terceros,
generando corte de cable en fusilera, se instala fusilera nueva y queda 100 % operativo.
en baños de básica se detecta corte de energía en sector bodega 40, sistema sab empalmado en línea de alimentación bodega también queda 
sin energía, se detecta caleco derivado a segundo piso, desenchufado en oficina de profesor de arte, este se enchufa y vuelve a energizar 
todo el sector incluyendo sistema sab, quedando 100% operativo.</t>
  </si>
  <si>
    <t>cambio de 4 válvulas de control sistema sab, cambio de 5 solenoides en válvulas.
mejora en conexiones de alimentación 24v.</t>
  </si>
  <si>
    <t>chequeo cir, voltajes y horarios ok, chequeo cpa, tapa de cámara en buen estado
sistema hídrico sin fugas.</t>
  </si>
  <si>
    <t>se instalan transformador 220v/24v; 220/12v queda sistema sab operativo, falta fusilera y fusible
de protección , en cir chequeo de voltaje y horarios ok cpa, sistema hídrico sin fuga.</t>
  </si>
  <si>
    <t>chequeo sistema cir, voltaje y horario ok. chequeo sistema cpa, falta soldar aldaba para candado.</t>
  </si>
  <si>
    <t>chequeo sistema cir, voltaje y horario ok. chequeo sistema cpa, en tapa de cámara faltan ambas aldabas 
de candados, sistema hídrico sin fugas.</t>
  </si>
  <si>
    <t>chequeo sistema cir, voltaje y horario ok. chequeo sistema cpa, marco y tapa fuera de posición, 
se solicita anclar a cámara cpa.</t>
  </si>
  <si>
    <t>chequeo sistema cir, voltaje y horario ok. chequeo sistema cpa, sistema hídrico sin fuga
se solicita pintar tapa de cámara con pintura antioxidante.</t>
  </si>
  <si>
    <t>modificación horaria: alta presión 07:00&gt;16:30 media presión 16:30&gt;23:00
baja presión 23:00&gt;07:00, actualización según funcionamiento del establecimiento.</t>
  </si>
  <si>
    <t>visita por emergencia, se revisa sistema sab encontrando fusible, y transformadores de 
12, 24 volt quemados, por motivo de cortocircuito en tablero electro de establecimiento.</t>
  </si>
  <si>
    <t>sistema con memoria fallando, válvula de baja cerrada.
cambio de memoria y reprogramación de horarios y regulación en válvula de alta.</t>
  </si>
  <si>
    <t>sistema habilitado 100% operativo, modificación horaria, alta presión de 06:00&gt;15:00</t>
  </si>
  <si>
    <t>sistema habilitado 100% operativo, modificación de horario,
media presión desde las 19:00&gt;23:59- -00:01&gt;07:00</t>
  </si>
  <si>
    <t>habilitación sistema cpa 100 % operativo</t>
  </si>
  <si>
    <t>apertura llave de emergencia dejando 100% de caudal por elecciones de día 7 de mayo 2023</t>
  </si>
  <si>
    <t>comienzo auditoria sin des, lectura medidor 112396</t>
  </si>
  <si>
    <t>reparación de manómetro quebrado por violación de sistema cpa en periodo de uso por 
los scout del día sábado 22-04-23</t>
  </si>
  <si>
    <t>regulación alta 90:30&gt;15:30- - baja presión 07:00&gt;09:30- -15:30&gt;19:00
auditoria con sistema des en funcionamiento. lectura medidor; 149310</t>
  </si>
  <si>
    <t>auditoria con control des, lectura medidor 112133</t>
  </si>
  <si>
    <t>regulación alta 07:00&gt;19:00
fin auditoria, rendimiento de un 35%.</t>
  </si>
  <si>
    <t>regulación nocturna por fuga de caudal en aumento de 2,7m3 x hora, se regula para tener 
un consumo nocturno de 0.4m3 nocturno, generando 2m3 de ahorro por hora, 48m3 día, 
si se considera gasto mes, 1440m3, por lo tanto un consumo monetario de $1.461.600</t>
  </si>
  <si>
    <t>modificación horario alta presión, 07:00&gt;18:00
baja presión 18:00&gt;23:30</t>
  </si>
  <si>
    <t>fin auditoria con control, sistema ahorrando, 
pendiente; mejor ubicación de panel solar, poda de arboles ( de ser necesario)</t>
  </si>
  <si>
    <t>fin auditoria con control, lectura medidor; 68643</t>
  </si>
  <si>
    <t>fin auditoria sin control, inicio auditoria con control hasta día viernes.</t>
  </si>
  <si>
    <t>inicio auditoria 100% lectura medidor; 111895</t>
  </si>
  <si>
    <t>fin auditoria con control, equipo ahorrando, sistema funcionando ok.</t>
  </si>
  <si>
    <t>fin auditoria sin control, equipo queda controlando flujo hídrico y corte nocturno
lectura medidor; 141232</t>
  </si>
  <si>
    <t>inicio auditoria, lectura medidor 140688
cambio de placa wes.</t>
  </si>
  <si>
    <t>programación flujo hídrico, horario programado 
07:00&gt;19:00 lunes a viernes.</t>
  </si>
  <si>
    <t>programación horario de verano sistema control flujo hídrico, placa ok.</t>
  </si>
  <si>
    <t>fin auditoria wes lectura medidor; 161890</t>
  </si>
  <si>
    <t>programación horario verano control de flujo hídrico ok</t>
  </si>
  <si>
    <t>reparación de cable sensor de pulso</t>
  </si>
  <si>
    <t>renovación marco y tapa de cpa sistema wes.</t>
  </si>
  <si>
    <t>punto desconectado, se reinicia sistema, chequeo de voltajes, cambio de Max 232, chequeo hora y fecha quedando punto comunicando a app wes.</t>
  </si>
  <si>
    <t>cambio de chip actualización a wom.</t>
  </si>
  <si>
    <t>visita normalización comandos y comunicación placas eléctronicas ,
chequeo general, revisión y mantención</t>
  </si>
  <si>
    <t>normalización de conectividad, mantencion general</t>
  </si>
  <si>
    <t>revisión a sistema se detecta transformador solar en mal estado, se pide remplazar fusilera 
y fusible quemado.</t>
  </si>
  <si>
    <t>memoria mala</t>
  </si>
  <si>
    <t>Sim</t>
  </si>
  <si>
    <t>solenoide</t>
  </si>
  <si>
    <t>Cargador Solar</t>
  </si>
  <si>
    <t>sim</t>
  </si>
  <si>
    <t>cambio de codigo pick, revicion de puntos de medicion, cambio de horarios invierno.</t>
  </si>
  <si>
    <t>Actualizacion de Código</t>
  </si>
  <si>
    <t>Up Grade</t>
  </si>
  <si>
    <t>reparación</t>
  </si>
  <si>
    <t>Pick Dañado</t>
  </si>
  <si>
    <t>Placa Conversor RS232 mala</t>
  </si>
  <si>
    <t>Ruido</t>
  </si>
  <si>
    <t>amplimax</t>
  </si>
  <si>
    <t>max 232</t>
  </si>
  <si>
    <t>Cambio de sim para coenctividad
Sitema queda conectado con App WES
Lectura artemio: 187981
Lectura Carmen: 019801</t>
  </si>
  <si>
    <t xml:space="preserve">max 232 </t>
  </si>
  <si>
    <t>Revisión tecnica</t>
  </si>
  <si>
    <t>up grade</t>
  </si>
  <si>
    <t>conector db9</t>
  </si>
  <si>
    <t>d</t>
  </si>
  <si>
    <t>bateria descargada</t>
  </si>
  <si>
    <t>SIM</t>
  </si>
  <si>
    <t>Cable de Red Dañado</t>
  </si>
  <si>
    <t xml:space="preserve">Llave de paso </t>
  </si>
  <si>
    <t>valvula</t>
  </si>
  <si>
    <t>Equipo desconectado, problema de interfaz de conexión. actualización de código, equipo queda operativo.</t>
  </si>
  <si>
    <t>Equipo des energizado.. se normaliza.</t>
  </si>
  <si>
    <t>Q. 90 / UP 86,2 / DN 6,1 / Caudalímetro en falla por falta de silicona ultrasónica. Lec 4723x0,01m3.</t>
  </si>
  <si>
    <t>Instalación sistema de monitoreo wes.</t>
  </si>
  <si>
    <t>Visita por desconexión; placa de comunicación no funciona esta es programada; quedando equipo operativo, activación de código en procesador.</t>
  </si>
  <si>
    <t>Artemio: Desconexión por ruido eléctrico, esta es configurada y puesta en línea. Carmen; corte de luz corta suministro de agua llave de emergencia es archivado; esta es regulada y normalizada.</t>
  </si>
  <si>
    <t>Comienzo de auditoria con wes Matriz principal Lec; 694008, Impulsión Lec; 629587.</t>
  </si>
  <si>
    <t>Visita revisión medidor, se encuentra sensor de pulso fuera de posición. comienzo de auditoria sin wes lec; 448944.</t>
  </si>
  <si>
    <t>sistema detecta "0" consumo en red, llave de paso se encuentra cerrada, sin consumo hídrico a causa de corte de luz nocturno posible manipulación de llave de corte principal, este es regularizada abasteciendo con agua.</t>
  </si>
  <si>
    <t>Normalización CPA wes, Lectura A.A 441798, Lectura wes 280773.</t>
  </si>
  <si>
    <t>visita por validación de sistema, lectura de medidor; 14044.</t>
  </si>
  <si>
    <t>Modulo - patio sensor de pulso sensus, recuperación de data. Ovalo Calle 14 - Fusible quemado y placa apagada este es remplazado dejando el equipo operativo.</t>
  </si>
  <si>
    <t>termino de auditoria con wes, Lec matriz principal; 694648, Lec sala de impulsión; 629484.</t>
  </si>
  <si>
    <t>Consumo am supera umbral de regulación, se pasa de baja a media presión para subsanar la condición.</t>
  </si>
  <si>
    <t>Nueva regulación de horario, lectura de medidor; 124055x0,01.</t>
  </si>
  <si>
    <t>Regulación de cpa con máxima capacidad en caudal alta presión 90% baja presión 70% chequeo de arranque en club house.</t>
  </si>
  <si>
    <t>Maquina wes con llave de emergencia activada desde 23-06-23, se encuentra solenoide de baja presión sin funcionamiento coincide horario de problema hídrico en baños, se cambia dejando el equipo totalmente operativo.</t>
  </si>
  <si>
    <t>modificación de sensor y receptáculo ultrasónico, equipo queda totalmente operativo.</t>
  </si>
  <si>
    <t>regulación de cpa- -21:00&gt;06:00 baja presión al 50%</t>
  </si>
  <si>
    <t>regulación sistema cpa, 07:00&gt;14:00 90% 46 LxM
14:00&gt;21:00 60% 30 LxM
21:00&gt;07:00 25% 13 LxM</t>
  </si>
  <si>
    <t>actualización programa de control en todo los puntos.</t>
  </si>
  <si>
    <t>actualización pick it</t>
  </si>
  <si>
    <t>Equipo Dañado</t>
  </si>
  <si>
    <t>Habilitacion CPA</t>
  </si>
  <si>
    <t>instalacion</t>
  </si>
  <si>
    <t>Sensor de movimiento</t>
  </si>
  <si>
    <t>Canalización</t>
  </si>
  <si>
    <t>Up grade</t>
  </si>
  <si>
    <t>(en blanco)</t>
  </si>
  <si>
    <t>Cuenta de Falla Expecifica</t>
  </si>
  <si>
    <t>(Todas)</t>
  </si>
  <si>
    <t>Total Mtto Correctivo</t>
  </si>
  <si>
    <t>cambio de placa por herror de lectura, llave de emergencia abierta, esta es normalizada.
valvulas de control requieren cambio.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</si>
</sst>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sz val="11"/>
      <color theme="1"/>
      <name val="Calibri"/>
      <family val="2"/>
    </font>
    <font>
      <b/>
      <sz val="11"/>
      <color theme="1"/>
      <name val="Calibri"/>
      <family val="2"/>
    </font>
    <font>
      <sz val="10"/>
      <color theme="1"/>
      <name val="Arial"/>
      <family val="2"/>
    </font>
    <font>
      <sz val="11"/>
      <color theme="1"/>
      <name val="Arial"/>
      <family val="2"/>
    </font>
    <font>
      <sz val="11"/>
      <color rgb="FF3D3D3D"/>
      <name val="Calibri"/>
      <family val="2"/>
    </font>
    <font>
      <sz val="12"/>
      <color theme="1"/>
      <name val="Calibri"/>
      <family val="2"/>
    </font>
  </fonts>
  <fills count="3">
    <fill>
      <patternFill patternType="none"/>
    </fill>
    <fill>
      <patternFill patternType="gray125"/>
    </fill>
    <fill>
      <patternFill patternType="solid">
        <fgColor rgb="FFFFFF00"/>
        <bgColor indexed="64"/>
      </patternFill>
    </fill>
  </fills>
  <borders count="3">
    <border>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s>
  <cellStyleXfs count="1">
    <xf numFmtId="0" fontId="0" fillId="0" borderId="0"/>
  </cellStyleXfs>
  <cellXfs count="42">
    <xf numFmtId="0" fontId="0" fillId="0" borderId="0" xfId="0"/>
    <xf numFmtId="0" fontId="0" fillId="0" borderId="0" xfId="0" applyAlignment="1"/>
    <xf numFmtId="0" fontId="1" fillId="0" borderId="0" xfId="0" applyFont="1" applyFill="1" applyBorder="1" applyAlignment="1">
      <alignment horizontal="center" vertical="center"/>
    </xf>
    <xf numFmtId="0" fontId="2" fillId="0" borderId="0" xfId="0" applyFont="1" applyFill="1" applyBorder="1" applyAlignment="1">
      <alignment horizontal="center" vertical="center"/>
    </xf>
    <xf numFmtId="0" fontId="1" fillId="0" borderId="0" xfId="0" applyFont="1" applyFill="1" applyBorder="1" applyAlignment="1">
      <alignment horizontal="center"/>
    </xf>
    <xf numFmtId="0" fontId="1" fillId="0" borderId="0" xfId="0" applyFont="1" applyFill="1" applyBorder="1" applyAlignment="1"/>
    <xf numFmtId="14" fontId="1" fillId="0" borderId="0" xfId="0" applyNumberFormat="1" applyFont="1" applyFill="1" applyBorder="1" applyAlignment="1"/>
    <xf numFmtId="0" fontId="3" fillId="0" borderId="0" xfId="0" applyFont="1" applyFill="1" applyBorder="1" applyAlignment="1"/>
    <xf numFmtId="0" fontId="3" fillId="0" borderId="0" xfId="0" applyFont="1" applyFill="1" applyBorder="1" applyAlignment="1">
      <alignment horizontal="center"/>
    </xf>
    <xf numFmtId="0" fontId="4" fillId="0" borderId="0" xfId="0" applyFont="1" applyFill="1" applyBorder="1" applyAlignment="1"/>
    <xf numFmtId="0" fontId="5" fillId="0" borderId="0" xfId="0" applyFont="1" applyFill="1" applyBorder="1" applyAlignment="1"/>
    <xf numFmtId="0" fontId="1" fillId="0" borderId="0" xfId="0" applyFont="1" applyFill="1" applyBorder="1" applyAlignment="1">
      <alignment vertical="center"/>
    </xf>
    <xf numFmtId="14" fontId="1" fillId="0" borderId="0" xfId="0" applyNumberFormat="1" applyFont="1" applyFill="1" applyBorder="1" applyAlignment="1">
      <alignment horizontal="center" vertical="center"/>
    </xf>
    <xf numFmtId="14" fontId="1" fillId="0" borderId="0" xfId="0" applyNumberFormat="1" applyFont="1" applyFill="1" applyBorder="1" applyAlignment="1">
      <alignment horizontal="right"/>
    </xf>
    <xf numFmtId="0" fontId="0" fillId="0" borderId="0" xfId="0" pivotButton="1"/>
    <xf numFmtId="0" fontId="3" fillId="0" borderId="0" xfId="0" applyFont="1" applyFill="1" applyAlignment="1"/>
    <xf numFmtId="0" fontId="1" fillId="0" borderId="0" xfId="0" applyFont="1" applyFill="1" applyAlignment="1">
      <alignment horizontal="center" vertical="center"/>
    </xf>
    <xf numFmtId="0" fontId="0" fillId="0" borderId="0" xfId="0" applyAlignment="1">
      <alignment horizontal="left"/>
    </xf>
    <xf numFmtId="0" fontId="0" fillId="0" borderId="0" xfId="0" applyNumberFormat="1"/>
    <xf numFmtId="0" fontId="3" fillId="0" borderId="0" xfId="0" applyFont="1" applyFill="1" applyBorder="1" applyAlignment="1">
      <alignment horizontal="center" vertical="center"/>
    </xf>
    <xf numFmtId="0" fontId="1" fillId="0" borderId="0" xfId="0" applyFont="1" applyAlignment="1">
      <alignment horizontal="center"/>
    </xf>
    <xf numFmtId="0" fontId="1" fillId="0" borderId="0" xfId="0" applyFont="1" applyBorder="1" applyAlignment="1">
      <alignment horizontal="center" wrapText="1"/>
    </xf>
    <xf numFmtId="0" fontId="1" fillId="0" borderId="0" xfId="0" applyFont="1" applyFill="1" applyAlignment="1"/>
    <xf numFmtId="0" fontId="1" fillId="0" borderId="0" xfId="0" applyFont="1" applyFill="1" applyBorder="1" applyAlignment="1">
      <alignment wrapText="1"/>
    </xf>
    <xf numFmtId="14" fontId="1" fillId="2" borderId="0" xfId="0" applyNumberFormat="1" applyFont="1" applyFill="1" applyBorder="1" applyAlignment="1"/>
    <xf numFmtId="0" fontId="1" fillId="0" borderId="0" xfId="0" applyFont="1" applyFill="1" applyAlignment="1">
      <alignment horizontal="center"/>
    </xf>
    <xf numFmtId="0" fontId="1" fillId="0" borderId="0" xfId="0" applyFont="1" applyFill="1" applyBorder="1" applyAlignment="1">
      <alignment horizontal="left" vertical="center"/>
    </xf>
    <xf numFmtId="0" fontId="6" fillId="0" borderId="0" xfId="0" applyFont="1" applyFill="1" applyBorder="1" applyAlignment="1">
      <alignment horizontal="center"/>
    </xf>
    <xf numFmtId="0" fontId="4" fillId="0" borderId="0" xfId="0" applyFont="1" applyFill="1" applyBorder="1" applyAlignment="1">
      <alignment horizontal="center"/>
    </xf>
    <xf numFmtId="0" fontId="3" fillId="0" borderId="0" xfId="0" applyFont="1"/>
    <xf numFmtId="0" fontId="1" fillId="0" borderId="0" xfId="0" applyFont="1" applyFill="1" applyBorder="1" applyAlignment="1">
      <alignment vertical="center" wrapText="1"/>
    </xf>
    <xf numFmtId="0" fontId="3" fillId="0" borderId="0" xfId="0" applyFont="1" applyBorder="1" applyAlignment="1">
      <alignment horizontal="center" wrapText="1"/>
    </xf>
    <xf numFmtId="0" fontId="1" fillId="0" borderId="0" xfId="0" applyFont="1" applyBorder="1" applyAlignment="1">
      <alignment horizontal="center" vertical="center" wrapText="1"/>
    </xf>
    <xf numFmtId="0" fontId="1" fillId="0" borderId="0" xfId="0" applyFont="1" applyBorder="1" applyAlignment="1">
      <alignment horizontal="center" vertical="center"/>
    </xf>
    <xf numFmtId="0" fontId="1" fillId="0" borderId="0" xfId="0" applyFont="1" applyBorder="1" applyAlignment="1">
      <alignment vertical="center" wrapText="1"/>
    </xf>
    <xf numFmtId="0" fontId="1" fillId="0" borderId="0" xfId="0" applyFont="1" applyAlignment="1">
      <alignment vertical="center"/>
    </xf>
    <xf numFmtId="0" fontId="1" fillId="0" borderId="0" xfId="0" applyFont="1" applyFill="1" applyBorder="1" applyAlignment="1">
      <alignment horizontal="left"/>
    </xf>
    <xf numFmtId="0" fontId="3" fillId="0" borderId="0" xfId="0" applyFont="1" applyAlignment="1">
      <alignment horizontal="center"/>
    </xf>
    <xf numFmtId="14" fontId="1" fillId="0" borderId="0" xfId="0" applyNumberFormat="1" applyFont="1" applyFill="1" applyBorder="1" applyAlignment="1">
      <alignment horizontal="center"/>
    </xf>
    <xf numFmtId="14" fontId="0" fillId="0" borderId="0" xfId="0" applyNumberFormat="1" applyAlignment="1">
      <alignment horizontal="left"/>
    </xf>
    <xf numFmtId="0" fontId="1" fillId="0" borderId="1" xfId="0" applyFont="1" applyFill="1" applyBorder="1" applyAlignment="1">
      <alignment horizontal="center"/>
    </xf>
    <xf numFmtId="0" fontId="1" fillId="0" borderId="2" xfId="0" applyFont="1" applyFill="1" applyBorder="1" applyAlignment="1">
      <alignment horizontal="center"/>
    </xf>
  </cellXfs>
  <cellStyles count="1">
    <cellStyle name="Normal" xfId="0" builtinId="0"/>
  </cellStyles>
  <dxfs count="13">
    <dxf>
      <font>
        <b val="0"/>
        <i val="0"/>
        <strike val="0"/>
        <condense val="0"/>
        <extend val="0"/>
        <outline val="0"/>
        <shadow val="0"/>
        <u val="none"/>
        <vertAlign val="baseline"/>
        <sz val="10"/>
        <color theme="1"/>
        <name val="Arial"/>
        <family val="2"/>
        <scheme val="none"/>
      </font>
      <numFmt numFmtId="0" formatCode="General"/>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0" formatCode="General"/>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9" formatCode="dd/mm/yyyy"/>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fill>
        <patternFill patternType="none">
          <fgColor indexed="64"/>
          <bgColor auto="1"/>
        </patternFill>
      </fill>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[analisis de falla.xlsx]Pareto anual!TablaDinámica1</c:name>
    <c:fmtId val="10"/>
  </c:pivotSource>
  <c:chart>
    <c:title>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s-CL"/>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w="9525" cap="flat" cmpd="sng" algn="ctr">
              <a:solidFill>
                <a:schemeClr val="accent1">
                  <a:shade val="95000"/>
                </a:schemeClr>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w="1270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w="1270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4547106436870214E-2"/>
          <c:y val="9.8004736703289103E-2"/>
          <c:w val="0.86249597122038069"/>
          <c:h val="0.66427122509276237"/>
        </c:manualLayout>
      </c:layout>
      <c:barChart>
        <c:barDir val="col"/>
        <c:grouping val="clustered"/>
        <c:varyColors val="0"/>
        <c:ser>
          <c:idx val="0"/>
          <c:order val="0"/>
          <c:tx>
            <c:strRef>
              <c:f>'Pareto anual'!$C$4</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cat>
            <c:strRef>
              <c:f>'Pareto anual'!$B$5:$B$20</c:f>
              <c:strCache>
                <c:ptCount val="15"/>
                <c:pt idx="0">
                  <c:v>CORMUP</c:v>
                </c:pt>
                <c:pt idx="1">
                  <c:v>COR. PUENTE</c:v>
                </c:pt>
                <c:pt idx="2">
                  <c:v>PROVIDENCIA</c:v>
                </c:pt>
                <c:pt idx="3">
                  <c:v>LAS CONDES</c:v>
                </c:pt>
                <c:pt idx="4">
                  <c:v>PAE</c:v>
                </c:pt>
                <c:pt idx="5">
                  <c:v>COPEC</c:v>
                </c:pt>
                <c:pt idx="6">
                  <c:v>DERCO</c:v>
                </c:pt>
                <c:pt idx="7">
                  <c:v>AGUNSA</c:v>
                </c:pt>
                <c:pt idx="8">
                  <c:v>NIDO</c:v>
                </c:pt>
                <c:pt idx="9">
                  <c:v>LA REINA</c:v>
                </c:pt>
                <c:pt idx="10">
                  <c:v>UDD</c:v>
                </c:pt>
                <c:pt idx="11">
                  <c:v>CDUC</c:v>
                </c:pt>
                <c:pt idx="12">
                  <c:v>FUNDO ZAPALLAR</c:v>
                </c:pt>
                <c:pt idx="13">
                  <c:v>LO VALLEDOR</c:v>
                </c:pt>
                <c:pt idx="14">
                  <c:v>LA FLORIDA</c:v>
                </c:pt>
              </c:strCache>
            </c:strRef>
          </c:cat>
          <c:val>
            <c:numRef>
              <c:f>'Pareto anual'!$C$5:$C$20</c:f>
              <c:numCache>
                <c:formatCode>General</c:formatCode>
                <c:ptCount val="15"/>
                <c:pt idx="0">
                  <c:v>39</c:v>
                </c:pt>
                <c:pt idx="1">
                  <c:v>23</c:v>
                </c:pt>
                <c:pt idx="2">
                  <c:v>8</c:v>
                </c:pt>
                <c:pt idx="3">
                  <c:v>7</c:v>
                </c:pt>
                <c:pt idx="4">
                  <c:v>7</c:v>
                </c:pt>
                <c:pt idx="5">
                  <c:v>5</c:v>
                </c:pt>
                <c:pt idx="6">
                  <c:v>5</c:v>
                </c:pt>
                <c:pt idx="7">
                  <c:v>4</c:v>
                </c:pt>
                <c:pt idx="8">
                  <c:v>4</c:v>
                </c:pt>
                <c:pt idx="9">
                  <c:v>4</c:v>
                </c:pt>
                <c:pt idx="10">
                  <c:v>3</c:v>
                </c:pt>
                <c:pt idx="11">
                  <c:v>2</c:v>
                </c:pt>
                <c:pt idx="12">
                  <c:v>2</c:v>
                </c:pt>
                <c:pt idx="13">
                  <c:v>1</c:v>
                </c:pt>
                <c:pt idx="14">
                  <c:v>1</c:v>
                </c:pt>
              </c:numCache>
            </c:numRef>
          </c:val>
          <c:extLst>
            <c:ext xmlns:c16="http://schemas.microsoft.com/office/drawing/2014/chart" uri="{C3380CC4-5D6E-409C-BE32-E72D297353CC}">
              <c16:uniqueId val="{00000000-71B3-49CC-8E46-48EAE7762E6A}"/>
            </c:ext>
          </c:extLst>
        </c:ser>
        <c:dLbls>
          <c:showLegendKey val="0"/>
          <c:showVal val="0"/>
          <c:showCatName val="0"/>
          <c:showSerName val="0"/>
          <c:showPercent val="0"/>
          <c:showBubbleSize val="0"/>
        </c:dLbls>
        <c:gapWidth val="240"/>
        <c:overlap val="-8"/>
        <c:axId val="2056798864"/>
        <c:axId val="2113215088"/>
      </c:barChart>
      <c:catAx>
        <c:axId val="2056798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2113215088"/>
        <c:crossesAt val="0"/>
        <c:auto val="1"/>
        <c:lblAlgn val="ctr"/>
        <c:lblOffset val="100"/>
        <c:noMultiLvlLbl val="0"/>
      </c:catAx>
      <c:valAx>
        <c:axId val="2113215088"/>
        <c:scaling>
          <c:orientation val="minMax"/>
          <c:max val="110"/>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General" sourceLinked="1"/>
        <c:majorTickMark val="none"/>
        <c:minorTickMark val="none"/>
        <c:tickLblPos val="nextTo"/>
        <c:spPr>
          <a:noFill/>
          <a:ln>
            <a:solidFill>
              <a:schemeClr val="accent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2056798864"/>
        <c:crosses val="autoZero"/>
        <c:crossBetween val="between"/>
        <c:majorUnit val="15"/>
      </c:valAx>
      <c:spPr>
        <a:noFill/>
        <a:ln>
          <a:noFill/>
        </a:ln>
        <a:effectLst/>
      </c:spPr>
    </c:plotArea>
    <c:legend>
      <c:legendPos val="r"/>
      <c:layout>
        <c:manualLayout>
          <c:xMode val="edge"/>
          <c:yMode val="edge"/>
          <c:x val="0.94619527510032053"/>
          <c:y val="0.34361666666666668"/>
          <c:w val="5.0162853028107982E-2"/>
          <c:h val="0.1125085832719117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L"/>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[analisis de falla.xlsx]Pareto por cliente!TablaDinámica1</c:name>
    <c:fmtId val="11"/>
  </c:pivotSource>
  <c:chart>
    <c:title>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s-CL"/>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w="9525" cap="flat" cmpd="sng" algn="ctr">
              <a:solidFill>
                <a:schemeClr val="accent1">
                  <a:shade val="95000"/>
                </a:schemeClr>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w="1270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w="1270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4547106436870214E-2"/>
          <c:y val="9.8004736703289103E-2"/>
          <c:w val="0.86249597122038069"/>
          <c:h val="0.66427122509276237"/>
        </c:manualLayout>
      </c:layout>
      <c:barChart>
        <c:barDir val="col"/>
        <c:grouping val="clustered"/>
        <c:varyColors val="0"/>
        <c:ser>
          <c:idx val="0"/>
          <c:order val="0"/>
          <c:tx>
            <c:strRef>
              <c:f>'Pareto por cliente'!$C$5</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cat>
            <c:strRef>
              <c:f>'Pareto por cliente'!$B$6:$B$10</c:f>
              <c:strCache>
                <c:ptCount val="4"/>
                <c:pt idx="0">
                  <c:v>COSTANERA</c:v>
                </c:pt>
                <c:pt idx="1">
                  <c:v>PRONTO BAÑO</c:v>
                </c:pt>
                <c:pt idx="2">
                  <c:v>RIEGO</c:v>
                </c:pt>
                <c:pt idx="3">
                  <c:v>LAVADO AUTOMATICO NORTE</c:v>
                </c:pt>
              </c:strCache>
            </c:strRef>
          </c:cat>
          <c:val>
            <c:numRef>
              <c:f>'Pareto por cliente'!$C$6:$C$10</c:f>
              <c:numCache>
                <c:formatCode>General</c:formatCode>
                <c:ptCount val="4"/>
                <c:pt idx="0">
                  <c:v>2</c:v>
                </c:pt>
                <c:pt idx="1">
                  <c:v>1</c:v>
                </c:pt>
                <c:pt idx="2">
                  <c:v>1</c:v>
                </c:pt>
                <c:pt idx="3">
                  <c:v>1</c:v>
                </c:pt>
              </c:numCache>
            </c:numRef>
          </c:val>
          <c:extLst>
            <c:ext xmlns:c16="http://schemas.microsoft.com/office/drawing/2014/chart" uri="{C3380CC4-5D6E-409C-BE32-E72D297353CC}">
              <c16:uniqueId val="{00000001-3A2F-49BC-884A-F398934B0A5E}"/>
            </c:ext>
          </c:extLst>
        </c:ser>
        <c:dLbls>
          <c:showLegendKey val="0"/>
          <c:showVal val="0"/>
          <c:showCatName val="0"/>
          <c:showSerName val="0"/>
          <c:showPercent val="0"/>
          <c:showBubbleSize val="0"/>
        </c:dLbls>
        <c:gapWidth val="240"/>
        <c:overlap val="-8"/>
        <c:axId val="2056798864"/>
        <c:axId val="2113215088"/>
      </c:barChart>
      <c:catAx>
        <c:axId val="2056798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2113215088"/>
        <c:crossesAt val="0"/>
        <c:auto val="1"/>
        <c:lblAlgn val="ctr"/>
        <c:lblOffset val="100"/>
        <c:noMultiLvlLbl val="0"/>
      </c:catAx>
      <c:valAx>
        <c:axId val="2113215088"/>
        <c:scaling>
          <c:orientation val="minMax"/>
          <c:max val="110"/>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General" sourceLinked="1"/>
        <c:majorTickMark val="none"/>
        <c:minorTickMark val="none"/>
        <c:tickLblPos val="nextTo"/>
        <c:spPr>
          <a:noFill/>
          <a:ln>
            <a:solidFill>
              <a:schemeClr val="accent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2056798864"/>
        <c:crosses val="autoZero"/>
        <c:crossBetween val="between"/>
        <c:majorUnit val="15"/>
      </c:valAx>
      <c:spPr>
        <a:noFill/>
        <a:ln>
          <a:noFill/>
        </a:ln>
        <a:effectLst/>
      </c:spPr>
    </c:plotArea>
    <c:legend>
      <c:legendPos val="r"/>
      <c:layout>
        <c:manualLayout>
          <c:xMode val="edge"/>
          <c:yMode val="edge"/>
          <c:x val="0.94619527510032053"/>
          <c:y val="0.34361666666666668"/>
          <c:w val="4.6249514185775359E-2"/>
          <c:h val="5.400322183895794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L"/>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w="9525" cap="flat" cmpd="sng" algn="ctr">
              <a:solidFill>
                <a:schemeClr val="accent1">
                  <a:shade val="95000"/>
                </a:schemeClr>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w="1270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w="1270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w="1270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4547106436870214E-2"/>
          <c:y val="9.8004736703289103E-2"/>
          <c:w val="0.86249597122038069"/>
          <c:h val="0.66427122509276237"/>
        </c:manualLayout>
      </c:layout>
      <c:barChart>
        <c:barDir val="col"/>
        <c:grouping val="clustered"/>
        <c:varyColors val="0"/>
        <c:ser>
          <c:idx val="0"/>
          <c:order val="0"/>
          <c:tx>
            <c:v>2025</c:v>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w="12700">
              <a:solidFill>
                <a:schemeClr val="accent1"/>
              </a:solidFill>
            </a:ln>
            <a:effectLst/>
          </c:spPr>
          <c:invertIfNegative val="0"/>
          <c:cat>
            <c:strLit>
              <c:ptCount val="14"/>
              <c:pt idx="0">
                <c:v>ERASMO ESCALA</c:v>
              </c:pt>
              <c:pt idx="1">
                <c:v>TOBALABA</c:v>
              </c:pt>
              <c:pt idx="2">
                <c:v>ANTONIO HERMIDA FABRES</c:v>
              </c:pt>
              <c:pt idx="3">
                <c:v>CENTRO EDUCACIONAL VALLE HERMOSO</c:v>
              </c:pt>
              <c:pt idx="4">
                <c:v>ESCUELA LUIS ARRIETA CAÑAS</c:v>
              </c:pt>
              <c:pt idx="5">
                <c:v>CARLOS FERNANDEZ PEÑA</c:v>
              </c:pt>
              <c:pt idx="6">
                <c:v>LIKANKURA</c:v>
              </c:pt>
              <c:pt idx="7">
                <c:v>MATILDE HUICI NAVAS</c:v>
              </c:pt>
              <c:pt idx="8">
                <c:v>ALICURA</c:v>
              </c:pt>
              <c:pt idx="9">
                <c:v>JUAN BAUTISTA PASTENE</c:v>
              </c:pt>
              <c:pt idx="10">
                <c:v>SANTA MARIA</c:v>
              </c:pt>
              <c:pt idx="11">
                <c:v>ESCUELA ESPECIAL PONTÍFICE JUAN PABLO II</c:v>
              </c:pt>
              <c:pt idx="12">
                <c:v>CENTRO EDUCACIONAL EDUARDO DE LA BARRA</c:v>
              </c:pt>
              <c:pt idx="13">
                <c:v>ESCUELA UNIÓN NACIONAL ÁRABE</c:v>
              </c:pt>
            </c:strLit>
          </c:cat>
          <c:val>
            <c:numLit>
              <c:formatCode>General</c:formatCode>
              <c:ptCount val="14"/>
              <c:pt idx="0">
                <c:v>4</c:v>
              </c:pt>
              <c:pt idx="1">
                <c:v>8</c:v>
              </c:pt>
              <c:pt idx="2">
                <c:v>9</c:v>
              </c:pt>
              <c:pt idx="3">
                <c:v>6</c:v>
              </c:pt>
              <c:pt idx="4">
                <c:v>7</c:v>
              </c:pt>
              <c:pt idx="5">
                <c:v>4</c:v>
              </c:pt>
              <c:pt idx="6">
                <c:v>5</c:v>
              </c:pt>
              <c:pt idx="7">
                <c:v>4</c:v>
              </c:pt>
              <c:pt idx="8">
                <c:v>4</c:v>
              </c:pt>
              <c:pt idx="9">
                <c:v>2</c:v>
              </c:pt>
              <c:pt idx="10">
                <c:v>1</c:v>
              </c:pt>
              <c:pt idx="11">
                <c:v>1</c:v>
              </c:pt>
              <c:pt idx="12">
                <c:v>1</c:v>
              </c:pt>
              <c:pt idx="13">
                <c:v>2</c:v>
              </c:pt>
            </c:numLit>
          </c:val>
          <c:extLst>
            <c:ext xmlns:c16="http://schemas.microsoft.com/office/drawing/2014/chart" uri="{C3380CC4-5D6E-409C-BE32-E72D297353CC}">
              <c16:uniqueId val="{00000000-8CF3-4B43-8A8F-6EEEAD2EBA4D}"/>
            </c:ext>
          </c:extLst>
        </c:ser>
        <c:ser>
          <c:idx val="1"/>
          <c:order val="1"/>
          <c:tx>
            <c:v>2026</c:v>
          </c:tx>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c:spPr>
          <c:invertIfNegative val="0"/>
          <c:cat>
            <c:strLit>
              <c:ptCount val="14"/>
              <c:pt idx="0">
                <c:v>ERASMO ESCALA</c:v>
              </c:pt>
              <c:pt idx="1">
                <c:v>TOBALABA</c:v>
              </c:pt>
              <c:pt idx="2">
                <c:v>ANTONIO HERMIDA FABRES</c:v>
              </c:pt>
              <c:pt idx="3">
                <c:v>CENTRO EDUCACIONAL VALLE HERMOSO</c:v>
              </c:pt>
              <c:pt idx="4">
                <c:v>ESCUELA LUIS ARRIETA CAÑAS</c:v>
              </c:pt>
              <c:pt idx="5">
                <c:v>CARLOS FERNANDEZ PEÑA</c:v>
              </c:pt>
              <c:pt idx="6">
                <c:v>LIKANKURA</c:v>
              </c:pt>
              <c:pt idx="7">
                <c:v>MATILDE HUICI NAVAS</c:v>
              </c:pt>
              <c:pt idx="8">
                <c:v>ALICURA</c:v>
              </c:pt>
              <c:pt idx="9">
                <c:v>JUAN BAUTISTA PASTENE</c:v>
              </c:pt>
              <c:pt idx="10">
                <c:v>SANTA MARIA</c:v>
              </c:pt>
              <c:pt idx="11">
                <c:v>ESCUELA ESPECIAL PONTÍFICE JUAN PABLO II</c:v>
              </c:pt>
              <c:pt idx="12">
                <c:v>CENTRO EDUCACIONAL EDUARDO DE LA BARRA</c:v>
              </c:pt>
              <c:pt idx="13">
                <c:v>ESCUELA UNIÓN NACIONAL ÁRABE</c:v>
              </c:pt>
            </c:strLit>
          </c:cat>
          <c:val>
            <c:numLit>
              <c:formatCode>General</c:formatCode>
              <c:ptCount val="14"/>
              <c:pt idx="0">
                <c:v>9</c:v>
              </c:pt>
              <c:pt idx="1">
                <c:v>3</c:v>
              </c:pt>
              <c:pt idx="2">
                <c:v>2</c:v>
              </c:pt>
              <c:pt idx="3">
                <c:v>4</c:v>
              </c:pt>
              <c:pt idx="4">
                <c:v>1</c:v>
              </c:pt>
              <c:pt idx="5">
                <c:v>4</c:v>
              </c:pt>
              <c:pt idx="6">
                <c:v>1</c:v>
              </c:pt>
              <c:pt idx="7">
                <c:v>2</c:v>
              </c:pt>
              <c:pt idx="8">
                <c:v>2</c:v>
              </c:pt>
              <c:pt idx="9">
                <c:v>3</c:v>
              </c:pt>
              <c:pt idx="10">
                <c:v>3</c:v>
              </c:pt>
              <c:pt idx="11">
                <c:v>2</c:v>
              </c:pt>
              <c:pt idx="12">
                <c:v>1</c:v>
              </c:pt>
              <c:pt idx="13">
                <c:v>0</c:v>
              </c:pt>
            </c:numLit>
          </c:val>
          <c:extLst>
            <c:ext xmlns:c16="http://schemas.microsoft.com/office/drawing/2014/chart" uri="{C3380CC4-5D6E-409C-BE32-E72D297353CC}">
              <c16:uniqueId val="{00000001-8CF3-4B43-8A8F-6EEEAD2EBA4D}"/>
            </c:ext>
          </c:extLst>
        </c:ser>
        <c:dLbls>
          <c:showLegendKey val="0"/>
          <c:showVal val="0"/>
          <c:showCatName val="0"/>
          <c:showSerName val="0"/>
          <c:showPercent val="0"/>
          <c:showBubbleSize val="0"/>
        </c:dLbls>
        <c:gapWidth val="240"/>
        <c:overlap val="-8"/>
        <c:axId val="2056798864"/>
        <c:axId val="2113215088"/>
      </c:barChart>
      <c:catAx>
        <c:axId val="2056798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2113215088"/>
        <c:crossesAt val="0"/>
        <c:auto val="1"/>
        <c:lblAlgn val="ctr"/>
        <c:lblOffset val="100"/>
        <c:noMultiLvlLbl val="0"/>
      </c:catAx>
      <c:valAx>
        <c:axId val="2113215088"/>
        <c:scaling>
          <c:orientation val="minMax"/>
          <c:max val="10"/>
          <c:min val="0"/>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General" sourceLinked="1"/>
        <c:majorTickMark val="none"/>
        <c:minorTickMark val="none"/>
        <c:tickLblPos val="nextTo"/>
        <c:spPr>
          <a:noFill/>
          <a:ln>
            <a:solidFill>
              <a:schemeClr val="accent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2056798864"/>
        <c:crosses val="autoZero"/>
        <c:crossBetween val="between"/>
        <c:majorUnit val="1"/>
      </c:valAx>
      <c:spPr>
        <a:noFill/>
        <a:ln>
          <a:noFill/>
        </a:ln>
        <a:effectLst/>
      </c:spPr>
    </c:plotArea>
    <c:legend>
      <c:legendPos val="r"/>
      <c:layout>
        <c:manualLayout>
          <c:xMode val="edge"/>
          <c:yMode val="edge"/>
          <c:x val="0.94619527510032053"/>
          <c:y val="0.34361666666666668"/>
          <c:w val="5.2518909955759523E-2"/>
          <c:h val="0.1162591308041346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L"/>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[analisis de falla.xlsx]Tipo de fallas!TablaDinámica3</c:name>
    <c:fmtId val="2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a:outerShdw blurRad="63500" sx="102000" sy="102000" algn="ctr" rotWithShape="0">
              <a:prstClr val="black">
                <a:alpha val="20000"/>
              </a:prstClr>
            </a:outerShdw>
          </a:effectLst>
        </c:spPr>
        <c:marker>
          <c:spPr>
            <a:solidFill>
              <a:schemeClr val="accent1"/>
            </a:solidFill>
            <a:ln w="9525">
              <a:solidFill>
                <a:schemeClr val="l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pivotFmt>
      <c:pivotFmt>
        <c:idx val="31"/>
      </c:pivotFmt>
      <c:pivotFmt>
        <c:idx val="32"/>
      </c:pivotFmt>
      <c:pivotFmt>
        <c:idx val="33"/>
      </c:pivotFmt>
      <c:pivotFmt>
        <c:idx val="34"/>
      </c:pivotFmt>
      <c:pivotFmt>
        <c:idx val="35"/>
      </c:pivotFmt>
      <c:pivotFmt>
        <c:idx val="36"/>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4547106436870214E-2"/>
          <c:y val="9.8004736703289103E-2"/>
          <c:w val="0.7678414895295409"/>
          <c:h val="0.66427122509276237"/>
        </c:manualLayout>
      </c:layout>
      <c:barChart>
        <c:barDir val="col"/>
        <c:grouping val="clustered"/>
        <c:varyColors val="0"/>
        <c:ser>
          <c:idx val="0"/>
          <c:order val="0"/>
          <c:tx>
            <c:strRef>
              <c:f>'Tipo de fallas'!$C$9</c:f>
              <c:strCache>
                <c:ptCount val="1"/>
                <c:pt idx="0">
                  <c:v>Total</c:v>
                </c:pt>
              </c:strCache>
            </c:strRef>
          </c:tx>
          <c:spPr>
            <a:solidFill>
              <a:schemeClr val="accent1"/>
            </a:solidFill>
            <a:ln>
              <a:noFill/>
            </a:ln>
            <a:effectLst>
              <a:outerShdw blurRad="63500" sx="102000" sy="102000" algn="ctr"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'Tipo de fallas'!$B$10:$B$15</c:f>
              <c:strCache>
                <c:ptCount val="5"/>
                <c:pt idx="0">
                  <c:v>Revison tecnica</c:v>
                </c:pt>
                <c:pt idx="1">
                  <c:v>Componente dañado</c:v>
                </c:pt>
                <c:pt idx="2">
                  <c:v>Desprogramacion</c:v>
                </c:pt>
                <c:pt idx="3">
                  <c:v>Intervencion de terceros</c:v>
                </c:pt>
                <c:pt idx="4">
                  <c:v>(en blanco)</c:v>
                </c:pt>
              </c:strCache>
            </c:strRef>
          </c:cat>
          <c:val>
            <c:numRef>
              <c:f>'Tipo de fallas'!$C$10:$C$15</c:f>
              <c:numCache>
                <c:formatCode>General</c:formatCode>
                <c:ptCount val="5"/>
                <c:pt idx="0">
                  <c:v>1</c:v>
                </c:pt>
                <c:pt idx="1">
                  <c:v>1</c:v>
                </c:pt>
                <c:pt idx="2">
                  <c:v>1</c:v>
                </c:pt>
                <c:pt idx="3">
                  <c:v>1</c:v>
                </c:pt>
              </c:numCache>
            </c:numRef>
          </c:val>
          <c:extLst>
            <c:ext xmlns:c16="http://schemas.microsoft.com/office/drawing/2014/chart" uri="{C3380CC4-5D6E-409C-BE32-E72D297353CC}">
              <c16:uniqueId val="{00000007-FCC1-4890-B2D9-C9058FA8CCDC}"/>
            </c:ext>
          </c:extLst>
        </c:ser>
        <c:dLbls>
          <c:dLblPos val="outEnd"/>
          <c:showLegendKey val="0"/>
          <c:showVal val="1"/>
          <c:showCatName val="0"/>
          <c:showSerName val="0"/>
          <c:showPercent val="0"/>
          <c:showBubbleSize val="0"/>
        </c:dLbls>
        <c:gapWidth val="240"/>
        <c:axId val="2056798864"/>
        <c:axId val="2113215088"/>
      </c:barChart>
      <c:catAx>
        <c:axId val="205679886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2113215088"/>
        <c:crossesAt val="0"/>
        <c:auto val="1"/>
        <c:lblAlgn val="ctr"/>
        <c:lblOffset val="100"/>
        <c:noMultiLvlLbl val="0"/>
      </c:catAx>
      <c:valAx>
        <c:axId val="21132150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solidFill>
              <a:schemeClr val="accent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2056798864"/>
        <c:crosses val="autoZero"/>
        <c:crossBetween val="between"/>
        <c:majorUnit val="2"/>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L"/>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[analisis de falla.xlsx]Mtto C-P!TablaDinámica1</c:name>
    <c:fmtId val="10"/>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w="9525" cap="flat" cmpd="sng" algn="ctr">
              <a:solidFill>
                <a:schemeClr val="accent1">
                  <a:shade val="95000"/>
                </a:schemeClr>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w="1270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w="1270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4547106436870214E-2"/>
          <c:y val="9.8004736703289103E-2"/>
          <c:w val="0.77791471350112606"/>
          <c:h val="0.66427122509276237"/>
        </c:manualLayout>
      </c:layout>
      <c:barChart>
        <c:barDir val="col"/>
        <c:grouping val="clustered"/>
        <c:varyColors val="0"/>
        <c:ser>
          <c:idx val="0"/>
          <c:order val="0"/>
          <c:tx>
            <c:strRef>
              <c:f>'Mtto C-P'!$C$4:$C$5</c:f>
              <c:strCache>
                <c:ptCount val="1"/>
                <c:pt idx="0">
                  <c:v>Mtto Correctivo</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cat>
            <c:strRef>
              <c:f>'Mtto C-P'!$B$6:$B$21</c:f>
              <c:strCache>
                <c:ptCount val="15"/>
                <c:pt idx="0">
                  <c:v>CORMUP</c:v>
                </c:pt>
                <c:pt idx="1">
                  <c:v>COR. PUENTE</c:v>
                </c:pt>
                <c:pt idx="2">
                  <c:v>PAE</c:v>
                </c:pt>
                <c:pt idx="3">
                  <c:v>PROVIDENCIA</c:v>
                </c:pt>
                <c:pt idx="4">
                  <c:v>LAS CONDES</c:v>
                </c:pt>
                <c:pt idx="5">
                  <c:v>COPEC</c:v>
                </c:pt>
                <c:pt idx="6">
                  <c:v>DERCO</c:v>
                </c:pt>
                <c:pt idx="7">
                  <c:v>LA REINA</c:v>
                </c:pt>
                <c:pt idx="8">
                  <c:v>NIDO</c:v>
                </c:pt>
                <c:pt idx="9">
                  <c:v>UDD</c:v>
                </c:pt>
                <c:pt idx="10">
                  <c:v>AGUNSA</c:v>
                </c:pt>
                <c:pt idx="11">
                  <c:v>CDUC</c:v>
                </c:pt>
                <c:pt idx="12">
                  <c:v>LO VALLEDOR</c:v>
                </c:pt>
                <c:pt idx="13">
                  <c:v>LA FLORIDA</c:v>
                </c:pt>
                <c:pt idx="14">
                  <c:v>FUNDO ZAPALLAR</c:v>
                </c:pt>
              </c:strCache>
            </c:strRef>
          </c:cat>
          <c:val>
            <c:numRef>
              <c:f>'Mtto C-P'!$C$6:$C$21</c:f>
              <c:numCache>
                <c:formatCode>General</c:formatCode>
                <c:ptCount val="15"/>
                <c:pt idx="0">
                  <c:v>31</c:v>
                </c:pt>
                <c:pt idx="1">
                  <c:v>10</c:v>
                </c:pt>
                <c:pt idx="2">
                  <c:v>6</c:v>
                </c:pt>
                <c:pt idx="3">
                  <c:v>5</c:v>
                </c:pt>
                <c:pt idx="4">
                  <c:v>5</c:v>
                </c:pt>
                <c:pt idx="5">
                  <c:v>5</c:v>
                </c:pt>
                <c:pt idx="6">
                  <c:v>5</c:v>
                </c:pt>
                <c:pt idx="7">
                  <c:v>4</c:v>
                </c:pt>
                <c:pt idx="8">
                  <c:v>4</c:v>
                </c:pt>
                <c:pt idx="9">
                  <c:v>3</c:v>
                </c:pt>
                <c:pt idx="10">
                  <c:v>3</c:v>
                </c:pt>
                <c:pt idx="11">
                  <c:v>2</c:v>
                </c:pt>
                <c:pt idx="12">
                  <c:v>1</c:v>
                </c:pt>
                <c:pt idx="13">
                  <c:v>1</c:v>
                </c:pt>
              </c:numCache>
            </c:numRef>
          </c:val>
          <c:extLst>
            <c:ext xmlns:c16="http://schemas.microsoft.com/office/drawing/2014/chart" uri="{C3380CC4-5D6E-409C-BE32-E72D297353CC}">
              <c16:uniqueId val="{00000000-CC78-45A3-8B92-AFFB281FB99A}"/>
            </c:ext>
          </c:extLst>
        </c:ser>
        <c:ser>
          <c:idx val="1"/>
          <c:order val="1"/>
          <c:tx>
            <c:strRef>
              <c:f>'Mtto C-P'!$D$4:$D$5</c:f>
              <c:strCache>
                <c:ptCount val="1"/>
                <c:pt idx="0">
                  <c:v>Mtto Preventivo</c:v>
                </c:pt>
              </c:strCache>
            </c:strRef>
          </c:tx>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c:spPr>
          <c:invertIfNegative val="0"/>
          <c:cat>
            <c:strRef>
              <c:f>'Mtto C-P'!$B$6:$B$21</c:f>
              <c:strCache>
                <c:ptCount val="15"/>
                <c:pt idx="0">
                  <c:v>CORMUP</c:v>
                </c:pt>
                <c:pt idx="1">
                  <c:v>COR. PUENTE</c:v>
                </c:pt>
                <c:pt idx="2">
                  <c:v>PAE</c:v>
                </c:pt>
                <c:pt idx="3">
                  <c:v>PROVIDENCIA</c:v>
                </c:pt>
                <c:pt idx="4">
                  <c:v>LAS CONDES</c:v>
                </c:pt>
                <c:pt idx="5">
                  <c:v>COPEC</c:v>
                </c:pt>
                <c:pt idx="6">
                  <c:v>DERCO</c:v>
                </c:pt>
                <c:pt idx="7">
                  <c:v>LA REINA</c:v>
                </c:pt>
                <c:pt idx="8">
                  <c:v>NIDO</c:v>
                </c:pt>
                <c:pt idx="9">
                  <c:v>UDD</c:v>
                </c:pt>
                <c:pt idx="10">
                  <c:v>AGUNSA</c:v>
                </c:pt>
                <c:pt idx="11">
                  <c:v>CDUC</c:v>
                </c:pt>
                <c:pt idx="12">
                  <c:v>LO VALLEDOR</c:v>
                </c:pt>
                <c:pt idx="13">
                  <c:v>LA FLORIDA</c:v>
                </c:pt>
                <c:pt idx="14">
                  <c:v>FUNDO ZAPALLAR</c:v>
                </c:pt>
              </c:strCache>
            </c:strRef>
          </c:cat>
          <c:val>
            <c:numRef>
              <c:f>'Mtto C-P'!$D$6:$D$21</c:f>
              <c:numCache>
                <c:formatCode>General</c:formatCode>
                <c:ptCount val="15"/>
                <c:pt idx="0">
                  <c:v>7</c:v>
                </c:pt>
                <c:pt idx="1">
                  <c:v>13</c:v>
                </c:pt>
                <c:pt idx="2">
                  <c:v>1</c:v>
                </c:pt>
                <c:pt idx="3">
                  <c:v>3</c:v>
                </c:pt>
                <c:pt idx="4">
                  <c:v>2</c:v>
                </c:pt>
                <c:pt idx="10">
                  <c:v>1</c:v>
                </c:pt>
                <c:pt idx="14">
                  <c:v>2</c:v>
                </c:pt>
              </c:numCache>
            </c:numRef>
          </c:val>
          <c:extLst>
            <c:ext xmlns:c16="http://schemas.microsoft.com/office/drawing/2014/chart" uri="{C3380CC4-5D6E-409C-BE32-E72D297353CC}">
              <c16:uniqueId val="{00000001-CC78-45A3-8B92-AFFB281FB99A}"/>
            </c:ext>
          </c:extLst>
        </c:ser>
        <c:dLbls>
          <c:showLegendKey val="0"/>
          <c:showVal val="0"/>
          <c:showCatName val="0"/>
          <c:showSerName val="0"/>
          <c:showPercent val="0"/>
          <c:showBubbleSize val="0"/>
        </c:dLbls>
        <c:gapWidth val="240"/>
        <c:overlap val="-8"/>
        <c:axId val="2056798864"/>
        <c:axId val="2113215088"/>
      </c:barChart>
      <c:catAx>
        <c:axId val="2056798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2113215088"/>
        <c:crossesAt val="0"/>
        <c:auto val="1"/>
        <c:lblAlgn val="ctr"/>
        <c:lblOffset val="100"/>
        <c:noMultiLvlLbl val="0"/>
      </c:catAx>
      <c:valAx>
        <c:axId val="2113215088"/>
        <c:scaling>
          <c:orientation val="minMax"/>
          <c:max val="280"/>
          <c:min val="0"/>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General" sourceLinked="1"/>
        <c:majorTickMark val="none"/>
        <c:minorTickMark val="none"/>
        <c:tickLblPos val="nextTo"/>
        <c:spPr>
          <a:noFill/>
          <a:ln>
            <a:solidFill>
              <a:schemeClr val="accent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2056798864"/>
        <c:crosses val="autoZero"/>
        <c:crossBetween val="between"/>
        <c:majorUnit val="20"/>
      </c:valAx>
      <c:spPr>
        <a:noFill/>
        <a:ln>
          <a:noFill/>
        </a:ln>
        <a:effectLst/>
      </c:spPr>
    </c:plotArea>
    <c:legend>
      <c:legendPos val="r"/>
      <c:layout>
        <c:manualLayout>
          <c:xMode val="edge"/>
          <c:yMode val="edge"/>
          <c:x val="0.87454277482028742"/>
          <c:y val="0.29361325824151596"/>
          <c:w val="7.4257161091980856E-2"/>
          <c:h val="0.3691930359478977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L"/>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[analisis de falla.xlsx]Pareto Especifico!TablaDinámica1</c:name>
    <c:fmtId val="3"/>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w="1270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4547106436870214E-2"/>
          <c:y val="9.8004736703289103E-2"/>
          <c:w val="0.86249597122038069"/>
          <c:h val="0.66427122509276237"/>
        </c:manualLayout>
      </c:layout>
      <c:barChart>
        <c:barDir val="col"/>
        <c:grouping val="clustered"/>
        <c:varyColors val="0"/>
        <c:ser>
          <c:idx val="0"/>
          <c:order val="0"/>
          <c:tx>
            <c:strRef>
              <c:f>'Pareto Especifico'!$C$4:$C$5</c:f>
              <c:strCache>
                <c:ptCount val="1"/>
                <c:pt idx="0">
                  <c:v>2024</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cat>
            <c:strRef>
              <c:f>'Pareto Especifico'!$B$6:$B$25</c:f>
              <c:strCache>
                <c:ptCount val="19"/>
                <c:pt idx="0">
                  <c:v>CORMUP</c:v>
                </c:pt>
                <c:pt idx="1">
                  <c:v>COR. PUENTE</c:v>
                </c:pt>
                <c:pt idx="2">
                  <c:v>DERCO</c:v>
                </c:pt>
                <c:pt idx="3">
                  <c:v>COPEC</c:v>
                </c:pt>
                <c:pt idx="4">
                  <c:v>LAS CONDES</c:v>
                </c:pt>
                <c:pt idx="5">
                  <c:v>AGUNSA</c:v>
                </c:pt>
                <c:pt idx="6">
                  <c:v>CDUC</c:v>
                </c:pt>
                <c:pt idx="7">
                  <c:v>PROVIDENCIA</c:v>
                </c:pt>
                <c:pt idx="8">
                  <c:v>PAE</c:v>
                </c:pt>
                <c:pt idx="9">
                  <c:v>RENCA</c:v>
                </c:pt>
                <c:pt idx="10">
                  <c:v>NIDO</c:v>
                </c:pt>
                <c:pt idx="11">
                  <c:v>LA REINA</c:v>
                </c:pt>
                <c:pt idx="12">
                  <c:v>UDD</c:v>
                </c:pt>
                <c:pt idx="13">
                  <c:v>MADECCO</c:v>
                </c:pt>
                <c:pt idx="14">
                  <c:v>LO VALLEDOR</c:v>
                </c:pt>
                <c:pt idx="15">
                  <c:v>FUNDO ZAPALLAR</c:v>
                </c:pt>
                <c:pt idx="16">
                  <c:v>LA FLORIDA</c:v>
                </c:pt>
                <c:pt idx="17">
                  <c:v>ESTADIO ISRAELITA</c:v>
                </c:pt>
                <c:pt idx="18">
                  <c:v>MOLYMET</c:v>
                </c:pt>
              </c:strCache>
            </c:strRef>
          </c:cat>
          <c:val>
            <c:numRef>
              <c:f>'Pareto Especifico'!$C$6:$C$25</c:f>
              <c:numCache>
                <c:formatCode>General</c:formatCode>
                <c:ptCount val="19"/>
                <c:pt idx="0">
                  <c:v>117</c:v>
                </c:pt>
                <c:pt idx="1">
                  <c:v>75</c:v>
                </c:pt>
                <c:pt idx="2">
                  <c:v>32</c:v>
                </c:pt>
                <c:pt idx="3">
                  <c:v>21</c:v>
                </c:pt>
                <c:pt idx="4">
                  <c:v>10</c:v>
                </c:pt>
                <c:pt idx="5">
                  <c:v>8</c:v>
                </c:pt>
                <c:pt idx="6">
                  <c:v>11</c:v>
                </c:pt>
                <c:pt idx="7">
                  <c:v>3</c:v>
                </c:pt>
                <c:pt idx="9">
                  <c:v>3</c:v>
                </c:pt>
                <c:pt idx="10">
                  <c:v>3</c:v>
                </c:pt>
                <c:pt idx="11">
                  <c:v>1</c:v>
                </c:pt>
                <c:pt idx="13">
                  <c:v>3</c:v>
                </c:pt>
                <c:pt idx="14">
                  <c:v>2</c:v>
                </c:pt>
                <c:pt idx="18">
                  <c:v>1</c:v>
                </c:pt>
              </c:numCache>
            </c:numRef>
          </c:val>
          <c:extLst>
            <c:ext xmlns:c16="http://schemas.microsoft.com/office/drawing/2014/chart" uri="{C3380CC4-5D6E-409C-BE32-E72D297353CC}">
              <c16:uniqueId val="{00000000-69FB-4D6E-A313-E78C319E15E6}"/>
            </c:ext>
          </c:extLst>
        </c:ser>
        <c:ser>
          <c:idx val="1"/>
          <c:order val="1"/>
          <c:tx>
            <c:strRef>
              <c:f>'Pareto Especifico'!$D$4:$D$5</c:f>
              <c:strCache>
                <c:ptCount val="1"/>
                <c:pt idx="0">
                  <c:v>2025</c:v>
                </c:pt>
              </c:strCache>
            </c:strRef>
          </c:tx>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w="12700">
              <a:solidFill>
                <a:schemeClr val="accent1"/>
              </a:solidFill>
            </a:ln>
            <a:effectLst/>
          </c:spPr>
          <c:invertIfNegative val="0"/>
          <c:cat>
            <c:strRef>
              <c:f>'Pareto Especifico'!$B$6:$B$25</c:f>
              <c:strCache>
                <c:ptCount val="19"/>
                <c:pt idx="0">
                  <c:v>CORMUP</c:v>
                </c:pt>
                <c:pt idx="1">
                  <c:v>COR. PUENTE</c:v>
                </c:pt>
                <c:pt idx="2">
                  <c:v>DERCO</c:v>
                </c:pt>
                <c:pt idx="3">
                  <c:v>COPEC</c:v>
                </c:pt>
                <c:pt idx="4">
                  <c:v>LAS CONDES</c:v>
                </c:pt>
                <c:pt idx="5">
                  <c:v>AGUNSA</c:v>
                </c:pt>
                <c:pt idx="6">
                  <c:v>CDUC</c:v>
                </c:pt>
                <c:pt idx="7">
                  <c:v>PROVIDENCIA</c:v>
                </c:pt>
                <c:pt idx="8">
                  <c:v>PAE</c:v>
                </c:pt>
                <c:pt idx="9">
                  <c:v>RENCA</c:v>
                </c:pt>
                <c:pt idx="10">
                  <c:v>NIDO</c:v>
                </c:pt>
                <c:pt idx="11">
                  <c:v>LA REINA</c:v>
                </c:pt>
                <c:pt idx="12">
                  <c:v>UDD</c:v>
                </c:pt>
                <c:pt idx="13">
                  <c:v>MADECCO</c:v>
                </c:pt>
                <c:pt idx="14">
                  <c:v>LO VALLEDOR</c:v>
                </c:pt>
                <c:pt idx="15">
                  <c:v>FUNDO ZAPALLAR</c:v>
                </c:pt>
                <c:pt idx="16">
                  <c:v>LA FLORIDA</c:v>
                </c:pt>
                <c:pt idx="17">
                  <c:v>ESTADIO ISRAELITA</c:v>
                </c:pt>
                <c:pt idx="18">
                  <c:v>MOLYMET</c:v>
                </c:pt>
              </c:strCache>
            </c:strRef>
          </c:cat>
          <c:val>
            <c:numRef>
              <c:f>'Pareto Especifico'!$D$6:$D$25</c:f>
              <c:numCache>
                <c:formatCode>General</c:formatCode>
                <c:ptCount val="19"/>
                <c:pt idx="0">
                  <c:v>58</c:v>
                </c:pt>
                <c:pt idx="1">
                  <c:v>73</c:v>
                </c:pt>
                <c:pt idx="2">
                  <c:v>13</c:v>
                </c:pt>
                <c:pt idx="3">
                  <c:v>3</c:v>
                </c:pt>
                <c:pt idx="4">
                  <c:v>5</c:v>
                </c:pt>
                <c:pt idx="5">
                  <c:v>10</c:v>
                </c:pt>
                <c:pt idx="6">
                  <c:v>4</c:v>
                </c:pt>
                <c:pt idx="7">
                  <c:v>5</c:v>
                </c:pt>
                <c:pt idx="8">
                  <c:v>8</c:v>
                </c:pt>
                <c:pt idx="9">
                  <c:v>11</c:v>
                </c:pt>
                <c:pt idx="10">
                  <c:v>4</c:v>
                </c:pt>
                <c:pt idx="11">
                  <c:v>6</c:v>
                </c:pt>
                <c:pt idx="12">
                  <c:v>4</c:v>
                </c:pt>
                <c:pt idx="13">
                  <c:v>4</c:v>
                </c:pt>
                <c:pt idx="14">
                  <c:v>1</c:v>
                </c:pt>
                <c:pt idx="15">
                  <c:v>1</c:v>
                </c:pt>
                <c:pt idx="16">
                  <c:v>1</c:v>
                </c:pt>
                <c:pt idx="17">
                  <c:v>2</c:v>
                </c:pt>
              </c:numCache>
            </c:numRef>
          </c:val>
          <c:extLst>
            <c:ext xmlns:c16="http://schemas.microsoft.com/office/drawing/2014/chart" uri="{C3380CC4-5D6E-409C-BE32-E72D297353CC}">
              <c16:uniqueId val="{00000001-69FB-4D6E-A313-E78C319E15E6}"/>
            </c:ext>
          </c:extLst>
        </c:ser>
        <c:ser>
          <c:idx val="2"/>
          <c:order val="2"/>
          <c:tx>
            <c:strRef>
              <c:f>'Pareto Especifico'!$E$4:$E$5</c:f>
              <c:strCache>
                <c:ptCount val="1"/>
                <c:pt idx="0">
                  <c:v>2026</c:v>
                </c:pt>
              </c:strCache>
            </c:strRef>
          </c:tx>
          <c:spPr>
            <a:gradFill flip="none" rotWithShape="1">
              <a:gsLst>
                <a:gs pos="0">
                  <a:schemeClr val="accent3"/>
                </a:gs>
                <a:gs pos="75000">
                  <a:schemeClr val="accent3">
                    <a:lumMod val="60000"/>
                    <a:lumOff val="40000"/>
                  </a:schemeClr>
                </a:gs>
                <a:gs pos="51000">
                  <a:schemeClr val="accent3">
                    <a:alpha val="75000"/>
                  </a:schemeClr>
                </a:gs>
                <a:gs pos="100000">
                  <a:schemeClr val="accent3">
                    <a:lumMod val="20000"/>
                    <a:lumOff val="80000"/>
                    <a:alpha val="15000"/>
                  </a:schemeClr>
                </a:gs>
              </a:gsLst>
              <a:lin ang="5400000" scaled="0"/>
            </a:gradFill>
            <a:ln>
              <a:noFill/>
            </a:ln>
            <a:effectLst/>
          </c:spPr>
          <c:invertIfNegative val="0"/>
          <c:cat>
            <c:strRef>
              <c:f>'Pareto Especifico'!$B$6:$B$25</c:f>
              <c:strCache>
                <c:ptCount val="19"/>
                <c:pt idx="0">
                  <c:v>CORMUP</c:v>
                </c:pt>
                <c:pt idx="1">
                  <c:v>COR. PUENTE</c:v>
                </c:pt>
                <c:pt idx="2">
                  <c:v>DERCO</c:v>
                </c:pt>
                <c:pt idx="3">
                  <c:v>COPEC</c:v>
                </c:pt>
                <c:pt idx="4">
                  <c:v>LAS CONDES</c:v>
                </c:pt>
                <c:pt idx="5">
                  <c:v>AGUNSA</c:v>
                </c:pt>
                <c:pt idx="6">
                  <c:v>CDUC</c:v>
                </c:pt>
                <c:pt idx="7">
                  <c:v>PROVIDENCIA</c:v>
                </c:pt>
                <c:pt idx="8">
                  <c:v>PAE</c:v>
                </c:pt>
                <c:pt idx="9">
                  <c:v>RENCA</c:v>
                </c:pt>
                <c:pt idx="10">
                  <c:v>NIDO</c:v>
                </c:pt>
                <c:pt idx="11">
                  <c:v>LA REINA</c:v>
                </c:pt>
                <c:pt idx="12">
                  <c:v>UDD</c:v>
                </c:pt>
                <c:pt idx="13">
                  <c:v>MADECCO</c:v>
                </c:pt>
                <c:pt idx="14">
                  <c:v>LO VALLEDOR</c:v>
                </c:pt>
                <c:pt idx="15">
                  <c:v>FUNDO ZAPALLAR</c:v>
                </c:pt>
                <c:pt idx="16">
                  <c:v>LA FLORIDA</c:v>
                </c:pt>
                <c:pt idx="17">
                  <c:v>ESTADIO ISRAELITA</c:v>
                </c:pt>
                <c:pt idx="18">
                  <c:v>MOLYMET</c:v>
                </c:pt>
              </c:strCache>
            </c:strRef>
          </c:cat>
          <c:val>
            <c:numRef>
              <c:f>'Pareto Especifico'!$E$6:$E$25</c:f>
              <c:numCache>
                <c:formatCode>General</c:formatCode>
                <c:ptCount val="19"/>
                <c:pt idx="0">
                  <c:v>39</c:v>
                </c:pt>
                <c:pt idx="1">
                  <c:v>23</c:v>
                </c:pt>
                <c:pt idx="2">
                  <c:v>5</c:v>
                </c:pt>
                <c:pt idx="3">
                  <c:v>5</c:v>
                </c:pt>
                <c:pt idx="4">
                  <c:v>7</c:v>
                </c:pt>
                <c:pt idx="5">
                  <c:v>4</c:v>
                </c:pt>
                <c:pt idx="6">
                  <c:v>2</c:v>
                </c:pt>
                <c:pt idx="7">
                  <c:v>8</c:v>
                </c:pt>
                <c:pt idx="8">
                  <c:v>7</c:v>
                </c:pt>
                <c:pt idx="10">
                  <c:v>4</c:v>
                </c:pt>
                <c:pt idx="11">
                  <c:v>4</c:v>
                </c:pt>
                <c:pt idx="12">
                  <c:v>3</c:v>
                </c:pt>
                <c:pt idx="14">
                  <c:v>1</c:v>
                </c:pt>
                <c:pt idx="15">
                  <c:v>2</c:v>
                </c:pt>
                <c:pt idx="16">
                  <c:v>1</c:v>
                </c:pt>
              </c:numCache>
            </c:numRef>
          </c:val>
          <c:extLst>
            <c:ext xmlns:c16="http://schemas.microsoft.com/office/drawing/2014/chart" uri="{C3380CC4-5D6E-409C-BE32-E72D297353CC}">
              <c16:uniqueId val="{00000000-B0D0-4E42-AC49-B401F165B12A}"/>
            </c:ext>
          </c:extLst>
        </c:ser>
        <c:dLbls>
          <c:showLegendKey val="0"/>
          <c:showVal val="0"/>
          <c:showCatName val="0"/>
          <c:showSerName val="0"/>
          <c:showPercent val="0"/>
          <c:showBubbleSize val="0"/>
        </c:dLbls>
        <c:gapWidth val="240"/>
        <c:overlap val="-8"/>
        <c:axId val="2056798864"/>
        <c:axId val="2113215088"/>
      </c:barChart>
      <c:catAx>
        <c:axId val="2056798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2113215088"/>
        <c:crossesAt val="0"/>
        <c:auto val="1"/>
        <c:lblAlgn val="ctr"/>
        <c:lblOffset val="100"/>
        <c:noMultiLvlLbl val="0"/>
      </c:catAx>
      <c:valAx>
        <c:axId val="2113215088"/>
        <c:scaling>
          <c:orientation val="minMax"/>
          <c:max val="75"/>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General" sourceLinked="1"/>
        <c:majorTickMark val="none"/>
        <c:minorTickMark val="none"/>
        <c:tickLblPos val="nextTo"/>
        <c:spPr>
          <a:noFill/>
          <a:ln>
            <a:solidFill>
              <a:schemeClr val="accent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2056798864"/>
        <c:crosses val="autoZero"/>
        <c:crossBetween val="between"/>
        <c:majorUnit val="15"/>
      </c:valAx>
      <c:spPr>
        <a:noFill/>
        <a:ln>
          <a:noFill/>
        </a:ln>
        <a:effectLst/>
      </c:spPr>
    </c:plotArea>
    <c:legend>
      <c:legendPos val="r"/>
      <c:layout>
        <c:manualLayout>
          <c:xMode val="edge"/>
          <c:yMode val="edge"/>
          <c:x val="0.94619527510032053"/>
          <c:y val="0.34361666666666668"/>
          <c:w val="5.0162847222222216E-2"/>
          <c:h val="0.1687628749078676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L"/>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[analisis de falla.xlsx]Detalle!TablaDinámica1</c:name>
    <c:fmtId val="10"/>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w="9525" cap="flat" cmpd="sng" algn="ctr">
              <a:solidFill>
                <a:schemeClr val="accent1">
                  <a:shade val="95000"/>
                </a:schemeClr>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w="1270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w="1270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4547106436870214E-2"/>
          <c:y val="9.8004736703289103E-2"/>
          <c:w val="0.86249597122038069"/>
          <c:h val="0.66427122509276237"/>
        </c:manualLayout>
      </c:layout>
      <c:barChart>
        <c:barDir val="col"/>
        <c:grouping val="clustered"/>
        <c:varyColors val="0"/>
        <c:ser>
          <c:idx val="0"/>
          <c:order val="0"/>
          <c:tx>
            <c:strRef>
              <c:f>Detalle!$C$4:$C$5</c:f>
              <c:strCache>
                <c:ptCount val="1"/>
                <c:pt idx="0">
                  <c:v>2024</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cat>
            <c:strRef>
              <c:f>Detalle!$B$6:$B$20</c:f>
              <c:strCache>
                <c:ptCount val="14"/>
                <c:pt idx="0">
                  <c:v>TOBALABA</c:v>
                </c:pt>
                <c:pt idx="1">
                  <c:v>ANTONIO HERMIDA FABRES</c:v>
                </c:pt>
                <c:pt idx="2">
                  <c:v>ERASMO ESCALA</c:v>
                </c:pt>
                <c:pt idx="3">
                  <c:v>CENTRO EDUCACIONAL VALLE HERMOSO</c:v>
                </c:pt>
                <c:pt idx="4">
                  <c:v>CARLOS FERNANDEZ PEÑA</c:v>
                </c:pt>
                <c:pt idx="5">
                  <c:v>SANTA MARIA</c:v>
                </c:pt>
                <c:pt idx="6">
                  <c:v>ESCUELA ESPECIAL PONTÍFICE JUAN PABLO II</c:v>
                </c:pt>
                <c:pt idx="7">
                  <c:v>JUAN BAUTISTA PASTENE</c:v>
                </c:pt>
                <c:pt idx="8">
                  <c:v>ESCUELA LUIS ARRIETA CAÑAS</c:v>
                </c:pt>
                <c:pt idx="9">
                  <c:v>MATILDE HUICI NAVAS</c:v>
                </c:pt>
                <c:pt idx="10">
                  <c:v>LIKANKURA</c:v>
                </c:pt>
                <c:pt idx="11">
                  <c:v>ESCUELA UNIÓN NACIONAL ÁRABE</c:v>
                </c:pt>
                <c:pt idx="12">
                  <c:v>ALICURA</c:v>
                </c:pt>
                <c:pt idx="13">
                  <c:v>CENTRO EDUCACIONAL EDUARDO DE LA BARRA</c:v>
                </c:pt>
              </c:strCache>
            </c:strRef>
          </c:cat>
          <c:val>
            <c:numRef>
              <c:f>Detalle!$C$6:$C$20</c:f>
              <c:numCache>
                <c:formatCode>General</c:formatCode>
                <c:ptCount val="14"/>
                <c:pt idx="0">
                  <c:v>14</c:v>
                </c:pt>
                <c:pt idx="1">
                  <c:v>12</c:v>
                </c:pt>
                <c:pt idx="2">
                  <c:v>9</c:v>
                </c:pt>
                <c:pt idx="3">
                  <c:v>9</c:v>
                </c:pt>
                <c:pt idx="4">
                  <c:v>9</c:v>
                </c:pt>
                <c:pt idx="5">
                  <c:v>11</c:v>
                </c:pt>
                <c:pt idx="6">
                  <c:v>11</c:v>
                </c:pt>
                <c:pt idx="7">
                  <c:v>8</c:v>
                </c:pt>
                <c:pt idx="8">
                  <c:v>5</c:v>
                </c:pt>
                <c:pt idx="9">
                  <c:v>7</c:v>
                </c:pt>
                <c:pt idx="10">
                  <c:v>5</c:v>
                </c:pt>
                <c:pt idx="11">
                  <c:v>8</c:v>
                </c:pt>
                <c:pt idx="12">
                  <c:v>4</c:v>
                </c:pt>
                <c:pt idx="13">
                  <c:v>5</c:v>
                </c:pt>
              </c:numCache>
            </c:numRef>
          </c:val>
          <c:extLst>
            <c:ext xmlns:c16="http://schemas.microsoft.com/office/drawing/2014/chart" uri="{C3380CC4-5D6E-409C-BE32-E72D297353CC}">
              <c16:uniqueId val="{00000000-B0A0-4EE4-8ABE-42F1C36647BC}"/>
            </c:ext>
          </c:extLst>
        </c:ser>
        <c:ser>
          <c:idx val="1"/>
          <c:order val="1"/>
          <c:tx>
            <c:strRef>
              <c:f>Detalle!$D$4:$D$5</c:f>
              <c:strCache>
                <c:ptCount val="1"/>
                <c:pt idx="0">
                  <c:v>2025</c:v>
                </c:pt>
              </c:strCache>
            </c:strRef>
          </c:tx>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w="12700">
              <a:solidFill>
                <a:schemeClr val="accent1"/>
              </a:solidFill>
            </a:ln>
            <a:effectLst/>
          </c:spPr>
          <c:invertIfNegative val="0"/>
          <c:cat>
            <c:strRef>
              <c:f>Detalle!$B$6:$B$20</c:f>
              <c:strCache>
                <c:ptCount val="14"/>
                <c:pt idx="0">
                  <c:v>TOBALABA</c:v>
                </c:pt>
                <c:pt idx="1">
                  <c:v>ANTONIO HERMIDA FABRES</c:v>
                </c:pt>
                <c:pt idx="2">
                  <c:v>ERASMO ESCALA</c:v>
                </c:pt>
                <c:pt idx="3">
                  <c:v>CENTRO EDUCACIONAL VALLE HERMOSO</c:v>
                </c:pt>
                <c:pt idx="4">
                  <c:v>CARLOS FERNANDEZ PEÑA</c:v>
                </c:pt>
                <c:pt idx="5">
                  <c:v>SANTA MARIA</c:v>
                </c:pt>
                <c:pt idx="6">
                  <c:v>ESCUELA ESPECIAL PONTÍFICE JUAN PABLO II</c:v>
                </c:pt>
                <c:pt idx="7">
                  <c:v>JUAN BAUTISTA PASTENE</c:v>
                </c:pt>
                <c:pt idx="8">
                  <c:v>ESCUELA LUIS ARRIETA CAÑAS</c:v>
                </c:pt>
                <c:pt idx="9">
                  <c:v>MATILDE HUICI NAVAS</c:v>
                </c:pt>
                <c:pt idx="10">
                  <c:v>LIKANKURA</c:v>
                </c:pt>
                <c:pt idx="11">
                  <c:v>ESCUELA UNIÓN NACIONAL ÁRABE</c:v>
                </c:pt>
                <c:pt idx="12">
                  <c:v>ALICURA</c:v>
                </c:pt>
                <c:pt idx="13">
                  <c:v>CENTRO EDUCACIONAL EDUARDO DE LA BARRA</c:v>
                </c:pt>
              </c:strCache>
            </c:strRef>
          </c:cat>
          <c:val>
            <c:numRef>
              <c:f>Detalle!$D$6:$D$20</c:f>
              <c:numCache>
                <c:formatCode>General</c:formatCode>
                <c:ptCount val="14"/>
                <c:pt idx="0">
                  <c:v>8</c:v>
                </c:pt>
                <c:pt idx="1">
                  <c:v>9</c:v>
                </c:pt>
                <c:pt idx="2">
                  <c:v>4</c:v>
                </c:pt>
                <c:pt idx="3">
                  <c:v>6</c:v>
                </c:pt>
                <c:pt idx="4">
                  <c:v>4</c:v>
                </c:pt>
                <c:pt idx="5">
                  <c:v>1</c:v>
                </c:pt>
                <c:pt idx="6">
                  <c:v>1</c:v>
                </c:pt>
                <c:pt idx="7">
                  <c:v>2</c:v>
                </c:pt>
                <c:pt idx="8">
                  <c:v>7</c:v>
                </c:pt>
                <c:pt idx="9">
                  <c:v>4</c:v>
                </c:pt>
                <c:pt idx="10">
                  <c:v>5</c:v>
                </c:pt>
                <c:pt idx="11">
                  <c:v>2</c:v>
                </c:pt>
                <c:pt idx="12">
                  <c:v>4</c:v>
                </c:pt>
                <c:pt idx="13">
                  <c:v>1</c:v>
                </c:pt>
              </c:numCache>
            </c:numRef>
          </c:val>
          <c:extLst>
            <c:ext xmlns:c16="http://schemas.microsoft.com/office/drawing/2014/chart" uri="{C3380CC4-5D6E-409C-BE32-E72D297353CC}">
              <c16:uniqueId val="{00000001-B0A0-4EE4-8ABE-42F1C36647BC}"/>
            </c:ext>
          </c:extLst>
        </c:ser>
        <c:ser>
          <c:idx val="2"/>
          <c:order val="2"/>
          <c:tx>
            <c:strRef>
              <c:f>Detalle!$E$4:$E$5</c:f>
              <c:strCache>
                <c:ptCount val="1"/>
                <c:pt idx="0">
                  <c:v>2026</c:v>
                </c:pt>
              </c:strCache>
            </c:strRef>
          </c:tx>
          <c:spPr>
            <a:gradFill flip="none" rotWithShape="1">
              <a:gsLst>
                <a:gs pos="0">
                  <a:schemeClr val="accent3"/>
                </a:gs>
                <a:gs pos="75000">
                  <a:schemeClr val="accent3">
                    <a:lumMod val="60000"/>
                    <a:lumOff val="40000"/>
                  </a:schemeClr>
                </a:gs>
                <a:gs pos="51000">
                  <a:schemeClr val="accent3">
                    <a:alpha val="75000"/>
                  </a:schemeClr>
                </a:gs>
                <a:gs pos="100000">
                  <a:schemeClr val="accent3">
                    <a:lumMod val="20000"/>
                    <a:lumOff val="80000"/>
                    <a:alpha val="15000"/>
                  </a:schemeClr>
                </a:gs>
              </a:gsLst>
              <a:lin ang="5400000" scaled="0"/>
            </a:gradFill>
            <a:ln>
              <a:noFill/>
            </a:ln>
            <a:effectLst/>
          </c:spPr>
          <c:invertIfNegative val="0"/>
          <c:cat>
            <c:strRef>
              <c:f>Detalle!$B$6:$B$20</c:f>
              <c:strCache>
                <c:ptCount val="14"/>
                <c:pt idx="0">
                  <c:v>TOBALABA</c:v>
                </c:pt>
                <c:pt idx="1">
                  <c:v>ANTONIO HERMIDA FABRES</c:v>
                </c:pt>
                <c:pt idx="2">
                  <c:v>ERASMO ESCALA</c:v>
                </c:pt>
                <c:pt idx="3">
                  <c:v>CENTRO EDUCACIONAL VALLE HERMOSO</c:v>
                </c:pt>
                <c:pt idx="4">
                  <c:v>CARLOS FERNANDEZ PEÑA</c:v>
                </c:pt>
                <c:pt idx="5">
                  <c:v>SANTA MARIA</c:v>
                </c:pt>
                <c:pt idx="6">
                  <c:v>ESCUELA ESPECIAL PONTÍFICE JUAN PABLO II</c:v>
                </c:pt>
                <c:pt idx="7">
                  <c:v>JUAN BAUTISTA PASTENE</c:v>
                </c:pt>
                <c:pt idx="8">
                  <c:v>ESCUELA LUIS ARRIETA CAÑAS</c:v>
                </c:pt>
                <c:pt idx="9">
                  <c:v>MATILDE HUICI NAVAS</c:v>
                </c:pt>
                <c:pt idx="10">
                  <c:v>LIKANKURA</c:v>
                </c:pt>
                <c:pt idx="11">
                  <c:v>ESCUELA UNIÓN NACIONAL ÁRABE</c:v>
                </c:pt>
                <c:pt idx="12">
                  <c:v>ALICURA</c:v>
                </c:pt>
                <c:pt idx="13">
                  <c:v>CENTRO EDUCACIONAL EDUARDO DE LA BARRA</c:v>
                </c:pt>
              </c:strCache>
            </c:strRef>
          </c:cat>
          <c:val>
            <c:numRef>
              <c:f>Detalle!$E$6:$E$20</c:f>
              <c:numCache>
                <c:formatCode>General</c:formatCode>
                <c:ptCount val="14"/>
                <c:pt idx="0">
                  <c:v>3</c:v>
                </c:pt>
                <c:pt idx="1">
                  <c:v>2</c:v>
                </c:pt>
                <c:pt idx="2">
                  <c:v>9</c:v>
                </c:pt>
                <c:pt idx="3">
                  <c:v>4</c:v>
                </c:pt>
                <c:pt idx="4">
                  <c:v>4</c:v>
                </c:pt>
                <c:pt idx="5">
                  <c:v>3</c:v>
                </c:pt>
                <c:pt idx="6">
                  <c:v>3</c:v>
                </c:pt>
                <c:pt idx="7">
                  <c:v>4</c:v>
                </c:pt>
                <c:pt idx="8">
                  <c:v>1</c:v>
                </c:pt>
                <c:pt idx="9">
                  <c:v>2</c:v>
                </c:pt>
                <c:pt idx="10">
                  <c:v>1</c:v>
                </c:pt>
                <c:pt idx="12">
                  <c:v>2</c:v>
                </c:pt>
                <c:pt idx="13">
                  <c:v>1</c:v>
                </c:pt>
              </c:numCache>
            </c:numRef>
          </c:val>
          <c:extLst>
            <c:ext xmlns:c16="http://schemas.microsoft.com/office/drawing/2014/chart" uri="{C3380CC4-5D6E-409C-BE32-E72D297353CC}">
              <c16:uniqueId val="{00000000-C73A-425F-899D-6C6E68DB9344}"/>
            </c:ext>
          </c:extLst>
        </c:ser>
        <c:dLbls>
          <c:showLegendKey val="0"/>
          <c:showVal val="0"/>
          <c:showCatName val="0"/>
          <c:showSerName val="0"/>
          <c:showPercent val="0"/>
          <c:showBubbleSize val="0"/>
        </c:dLbls>
        <c:gapWidth val="240"/>
        <c:overlap val="-8"/>
        <c:axId val="2056798864"/>
        <c:axId val="2113215088"/>
      </c:barChart>
      <c:catAx>
        <c:axId val="2056798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2113215088"/>
        <c:crossesAt val="0"/>
        <c:auto val="1"/>
        <c:lblAlgn val="ctr"/>
        <c:lblOffset val="100"/>
        <c:noMultiLvlLbl val="0"/>
      </c:catAx>
      <c:valAx>
        <c:axId val="2113215088"/>
        <c:scaling>
          <c:orientation val="minMax"/>
          <c:max val="15"/>
          <c:min val="0"/>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General" sourceLinked="1"/>
        <c:majorTickMark val="none"/>
        <c:minorTickMark val="none"/>
        <c:tickLblPos val="nextTo"/>
        <c:spPr>
          <a:noFill/>
          <a:ln>
            <a:solidFill>
              <a:schemeClr val="accent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2056798864"/>
        <c:crosses val="autoZero"/>
        <c:crossBetween val="between"/>
        <c:majorUnit val="2"/>
      </c:valAx>
      <c:spPr>
        <a:noFill/>
        <a:ln>
          <a:noFill/>
        </a:ln>
        <a:effectLst/>
      </c:spPr>
    </c:plotArea>
    <c:legend>
      <c:legendPos val="r"/>
      <c:layout>
        <c:manualLayout>
          <c:xMode val="edge"/>
          <c:yMode val="edge"/>
          <c:x val="0.94619527510032053"/>
          <c:y val="0.34361666666666668"/>
          <c:w val="4.9474899884579447E-2"/>
          <c:h val="0.174388696206201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L"/>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[analisis de falla.xlsx]Detalle!TablaDinámica3</c:name>
    <c:fmtId val="20"/>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w="9525" cap="flat" cmpd="sng" algn="ctr">
              <a:solidFill>
                <a:schemeClr val="accent1">
                  <a:shade val="95000"/>
                </a:schemeClr>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w="1270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w="1270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w="1270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extLst>
        </c:dLbl>
      </c:pivotFmt>
      <c:pivotFmt>
        <c:idx val="18"/>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4547106436870214E-2"/>
          <c:y val="9.8004736703289103E-2"/>
          <c:w val="0.7678414895295409"/>
          <c:h val="0.66427122509276237"/>
        </c:manualLayout>
      </c:layout>
      <c:barChart>
        <c:barDir val="col"/>
        <c:grouping val="clustered"/>
        <c:varyColors val="0"/>
        <c:ser>
          <c:idx val="0"/>
          <c:order val="0"/>
          <c:tx>
            <c:strRef>
              <c:f>Detalle!$C$29:$C$30</c:f>
              <c:strCache>
                <c:ptCount val="1"/>
                <c:pt idx="0">
                  <c:v>Mtto Correctivo</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cat>
            <c:strRef>
              <c:f>Detalle!$B$31:$B$44</c:f>
              <c:strCache>
                <c:ptCount val="13"/>
                <c:pt idx="0">
                  <c:v>ERASMO ESCALA</c:v>
                </c:pt>
                <c:pt idx="1">
                  <c:v>JUAN BAUTISTA PASTENE</c:v>
                </c:pt>
                <c:pt idx="2">
                  <c:v>CARLOS FERNANDEZ PEÑA</c:v>
                </c:pt>
                <c:pt idx="3">
                  <c:v>CENTRO EDUCACIONAL VALLE HERMOSO</c:v>
                </c:pt>
                <c:pt idx="4">
                  <c:v>SANTA MARIA</c:v>
                </c:pt>
                <c:pt idx="5">
                  <c:v>TOBALABA</c:v>
                </c:pt>
                <c:pt idx="6">
                  <c:v>ESCUELA ESPECIAL PONTÍFICE JUAN PABLO II</c:v>
                </c:pt>
                <c:pt idx="7">
                  <c:v>ALICURA</c:v>
                </c:pt>
                <c:pt idx="8">
                  <c:v>ANTONIO HERMIDA FABRES</c:v>
                </c:pt>
                <c:pt idx="9">
                  <c:v>MATILDE HUICI NAVAS</c:v>
                </c:pt>
                <c:pt idx="10">
                  <c:v>CENTRO EDUCACIONAL EDUARDO DE LA BARRA</c:v>
                </c:pt>
                <c:pt idx="11">
                  <c:v>ESCUELA LUIS ARRIETA CAÑAS</c:v>
                </c:pt>
                <c:pt idx="12">
                  <c:v>LIKANKURA</c:v>
                </c:pt>
              </c:strCache>
            </c:strRef>
          </c:cat>
          <c:val>
            <c:numRef>
              <c:f>Detalle!$C$31:$C$44</c:f>
              <c:numCache>
                <c:formatCode>General</c:formatCode>
                <c:ptCount val="13"/>
                <c:pt idx="0">
                  <c:v>6</c:v>
                </c:pt>
                <c:pt idx="1">
                  <c:v>3</c:v>
                </c:pt>
                <c:pt idx="2">
                  <c:v>4</c:v>
                </c:pt>
                <c:pt idx="3">
                  <c:v>4</c:v>
                </c:pt>
                <c:pt idx="4">
                  <c:v>3</c:v>
                </c:pt>
                <c:pt idx="5">
                  <c:v>2</c:v>
                </c:pt>
                <c:pt idx="6">
                  <c:v>2</c:v>
                </c:pt>
                <c:pt idx="7">
                  <c:v>2</c:v>
                </c:pt>
                <c:pt idx="8">
                  <c:v>1</c:v>
                </c:pt>
                <c:pt idx="9">
                  <c:v>1</c:v>
                </c:pt>
                <c:pt idx="10">
                  <c:v>1</c:v>
                </c:pt>
                <c:pt idx="11">
                  <c:v>1</c:v>
                </c:pt>
                <c:pt idx="12">
                  <c:v>1</c:v>
                </c:pt>
              </c:numCache>
            </c:numRef>
          </c:val>
          <c:extLst>
            <c:ext xmlns:c16="http://schemas.microsoft.com/office/drawing/2014/chart" uri="{C3380CC4-5D6E-409C-BE32-E72D297353CC}">
              <c16:uniqueId val="{00000000-F8AB-465B-80D6-761AE3958A1E}"/>
            </c:ext>
          </c:extLst>
        </c:ser>
        <c:ser>
          <c:idx val="1"/>
          <c:order val="1"/>
          <c:tx>
            <c:strRef>
              <c:f>Detalle!$D$29:$D$30</c:f>
              <c:strCache>
                <c:ptCount val="1"/>
                <c:pt idx="0">
                  <c:v>Mtto Preventivo</c:v>
                </c:pt>
              </c:strCache>
            </c:strRef>
          </c:tx>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c:spPr>
          <c:invertIfNegative val="0"/>
          <c:cat>
            <c:strRef>
              <c:f>Detalle!$B$31:$B$44</c:f>
              <c:strCache>
                <c:ptCount val="13"/>
                <c:pt idx="0">
                  <c:v>ERASMO ESCALA</c:v>
                </c:pt>
                <c:pt idx="1">
                  <c:v>JUAN BAUTISTA PASTENE</c:v>
                </c:pt>
                <c:pt idx="2">
                  <c:v>CARLOS FERNANDEZ PEÑA</c:v>
                </c:pt>
                <c:pt idx="3">
                  <c:v>CENTRO EDUCACIONAL VALLE HERMOSO</c:v>
                </c:pt>
                <c:pt idx="4">
                  <c:v>SANTA MARIA</c:v>
                </c:pt>
                <c:pt idx="5">
                  <c:v>TOBALABA</c:v>
                </c:pt>
                <c:pt idx="6">
                  <c:v>ESCUELA ESPECIAL PONTÍFICE JUAN PABLO II</c:v>
                </c:pt>
                <c:pt idx="7">
                  <c:v>ALICURA</c:v>
                </c:pt>
                <c:pt idx="8">
                  <c:v>ANTONIO HERMIDA FABRES</c:v>
                </c:pt>
                <c:pt idx="9">
                  <c:v>MATILDE HUICI NAVAS</c:v>
                </c:pt>
                <c:pt idx="10">
                  <c:v>CENTRO EDUCACIONAL EDUARDO DE LA BARRA</c:v>
                </c:pt>
                <c:pt idx="11">
                  <c:v>ESCUELA LUIS ARRIETA CAÑAS</c:v>
                </c:pt>
                <c:pt idx="12">
                  <c:v>LIKANKURA</c:v>
                </c:pt>
              </c:strCache>
            </c:strRef>
          </c:cat>
          <c:val>
            <c:numRef>
              <c:f>Detalle!$D$31:$D$44</c:f>
              <c:numCache>
                <c:formatCode>General</c:formatCode>
                <c:ptCount val="13"/>
                <c:pt idx="0">
                  <c:v>3</c:v>
                </c:pt>
                <c:pt idx="1">
                  <c:v>1</c:v>
                </c:pt>
                <c:pt idx="5">
                  <c:v>1</c:v>
                </c:pt>
                <c:pt idx="6">
                  <c:v>1</c:v>
                </c:pt>
                <c:pt idx="8">
                  <c:v>1</c:v>
                </c:pt>
              </c:numCache>
            </c:numRef>
          </c:val>
          <c:extLst>
            <c:ext xmlns:c16="http://schemas.microsoft.com/office/drawing/2014/chart" uri="{C3380CC4-5D6E-409C-BE32-E72D297353CC}">
              <c16:uniqueId val="{00000001-C6FD-4E76-AD6B-4F3DB83A516B}"/>
            </c:ext>
          </c:extLst>
        </c:ser>
        <c:dLbls>
          <c:showLegendKey val="0"/>
          <c:showVal val="0"/>
          <c:showCatName val="0"/>
          <c:showSerName val="0"/>
          <c:showPercent val="0"/>
          <c:showBubbleSize val="0"/>
        </c:dLbls>
        <c:gapWidth val="240"/>
        <c:overlap val="-8"/>
        <c:axId val="2056798864"/>
        <c:axId val="2113215088"/>
      </c:barChart>
      <c:catAx>
        <c:axId val="2056798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2113215088"/>
        <c:crossesAt val="0"/>
        <c:auto val="1"/>
        <c:lblAlgn val="ctr"/>
        <c:lblOffset val="100"/>
        <c:noMultiLvlLbl val="0"/>
      </c:catAx>
      <c:valAx>
        <c:axId val="2113215088"/>
        <c:scaling>
          <c:orientation val="minMax"/>
          <c:max val="15"/>
          <c:min val="0"/>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General" sourceLinked="1"/>
        <c:majorTickMark val="none"/>
        <c:minorTickMark val="none"/>
        <c:tickLblPos val="nextTo"/>
        <c:spPr>
          <a:noFill/>
          <a:ln>
            <a:solidFill>
              <a:schemeClr val="accent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2056798864"/>
        <c:crosses val="autoZero"/>
        <c:crossBetween val="between"/>
        <c:majorUnit val="2"/>
      </c:valAx>
      <c:spPr>
        <a:noFill/>
        <a:ln>
          <a:noFill/>
        </a:ln>
        <a:effectLst/>
      </c:spPr>
    </c:plotArea>
    <c:legend>
      <c:legendPos val="r"/>
      <c:layout>
        <c:manualLayout>
          <c:xMode val="edge"/>
          <c:yMode val="edge"/>
          <c:x val="0.83383000041916788"/>
          <c:y val="0.21505238744777805"/>
          <c:w val="3.454503951608031E-2"/>
          <c:h val="0.1090465587703730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L"/>
    </a:p>
  </c:txPr>
  <c:printSettings>
    <c:headerFooter/>
    <c:pageMargins b="0.75" l="0.7" r="0.7" t="0.75" header="0.3" footer="0.3"/>
    <c:pageSetup/>
  </c:printSettings>
  <c:extLst>
    <c:ext xmlns:c14="http://schemas.microsoft.com/office/drawing/2007/8/2/chart" uri="{781A3756-C4B2-4CAC-9D66-4F8BD8637D16}">
      <c14:pivotOptions>
        <c14:dropZoneFilter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4</xdr:col>
      <xdr:colOff>87735</xdr:colOff>
      <xdr:row>0</xdr:row>
      <xdr:rowOff>0</xdr:rowOff>
    </xdr:from>
    <xdr:to>
      <xdr:col>16</xdr:col>
      <xdr:colOff>37598</xdr:colOff>
      <xdr:row>21</xdr:row>
      <xdr:rowOff>20679</xdr:rowOff>
    </xdr:to>
    <xdr:graphicFrame macro="">
      <xdr:nvGraphicFramePr>
        <xdr:cNvPr id="2" name="Gráfico 1">
          <a:extLst>
            <a:ext uri="{FF2B5EF4-FFF2-40B4-BE49-F238E27FC236}">
              <a16:creationId xmlns:a16="http://schemas.microsoft.com/office/drawing/2014/main" id="{C28A459A-A3F5-4CD7-8FBE-76C0095AC7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87735</xdr:colOff>
      <xdr:row>0</xdr:row>
      <xdr:rowOff>0</xdr:rowOff>
    </xdr:from>
    <xdr:to>
      <xdr:col>16</xdr:col>
      <xdr:colOff>37598</xdr:colOff>
      <xdr:row>21</xdr:row>
      <xdr:rowOff>20679</xdr:rowOff>
    </xdr:to>
    <xdr:graphicFrame macro="">
      <xdr:nvGraphicFramePr>
        <xdr:cNvPr id="2" name="Gráfico 1">
          <a:extLst>
            <a:ext uri="{FF2B5EF4-FFF2-40B4-BE49-F238E27FC236}">
              <a16:creationId xmlns:a16="http://schemas.microsoft.com/office/drawing/2014/main" id="{84AF4770-8EED-4528-8D11-8D894EC2E5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227160</xdr:colOff>
      <xdr:row>1</xdr:row>
      <xdr:rowOff>0</xdr:rowOff>
    </xdr:from>
    <xdr:to>
      <xdr:col>15</xdr:col>
      <xdr:colOff>137502</xdr:colOff>
      <xdr:row>1</xdr:row>
      <xdr:rowOff>23812</xdr:rowOff>
    </xdr:to>
    <xdr:graphicFrame macro="">
      <xdr:nvGraphicFramePr>
        <xdr:cNvPr id="2" name="Gráfico 1">
          <a:extLst>
            <a:ext uri="{FF2B5EF4-FFF2-40B4-BE49-F238E27FC236}">
              <a16:creationId xmlns:a16="http://schemas.microsoft.com/office/drawing/2014/main" id="{477E1704-E2DC-4C22-BE20-9B6DF6E00C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499079</xdr:colOff>
      <xdr:row>4</xdr:row>
      <xdr:rowOff>76543</xdr:rowOff>
    </xdr:from>
    <xdr:to>
      <xdr:col>11</xdr:col>
      <xdr:colOff>525096</xdr:colOff>
      <xdr:row>23</xdr:row>
      <xdr:rowOff>109904</xdr:rowOff>
    </xdr:to>
    <xdr:graphicFrame macro="">
      <xdr:nvGraphicFramePr>
        <xdr:cNvPr id="3" name="Gráfico 2">
          <a:extLst>
            <a:ext uri="{FF2B5EF4-FFF2-40B4-BE49-F238E27FC236}">
              <a16:creationId xmlns:a16="http://schemas.microsoft.com/office/drawing/2014/main" id="{458D1CB1-56E1-4BE8-8E64-2A783D091C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547694</xdr:colOff>
      <xdr:row>1</xdr:row>
      <xdr:rowOff>131233</xdr:rowOff>
    </xdr:from>
    <xdr:to>
      <xdr:col>17</xdr:col>
      <xdr:colOff>11907</xdr:colOff>
      <xdr:row>21</xdr:row>
      <xdr:rowOff>130969</xdr:rowOff>
    </xdr:to>
    <xdr:graphicFrame macro="">
      <xdr:nvGraphicFramePr>
        <xdr:cNvPr id="2" name="Gráfico 1">
          <a:extLst>
            <a:ext uri="{FF2B5EF4-FFF2-40B4-BE49-F238E27FC236}">
              <a16:creationId xmlns:a16="http://schemas.microsoft.com/office/drawing/2014/main" id="{F3BA7C99-C333-48D3-907F-C2CB6BCB07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381005</xdr:colOff>
      <xdr:row>3</xdr:row>
      <xdr:rowOff>47889</xdr:rowOff>
    </xdr:from>
    <xdr:to>
      <xdr:col>18</xdr:col>
      <xdr:colOff>91318</xdr:colOff>
      <xdr:row>23</xdr:row>
      <xdr:rowOff>47625</xdr:rowOff>
    </xdr:to>
    <xdr:graphicFrame macro="">
      <xdr:nvGraphicFramePr>
        <xdr:cNvPr id="2" name="Gráfico 1">
          <a:extLst>
            <a:ext uri="{FF2B5EF4-FFF2-40B4-BE49-F238E27FC236}">
              <a16:creationId xmlns:a16="http://schemas.microsoft.com/office/drawing/2014/main" id="{15A80D37-AF9D-4C51-A040-A1479B9C0B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6</xdr:col>
      <xdr:colOff>396152</xdr:colOff>
      <xdr:row>1</xdr:row>
      <xdr:rowOff>70165</xdr:rowOff>
    </xdr:from>
    <xdr:to>
      <xdr:col>17</xdr:col>
      <xdr:colOff>614517</xdr:colOff>
      <xdr:row>21</xdr:row>
      <xdr:rowOff>69901</xdr:rowOff>
    </xdr:to>
    <xdr:graphicFrame macro="">
      <xdr:nvGraphicFramePr>
        <xdr:cNvPr id="2" name="Gráfico 1">
          <a:extLst>
            <a:ext uri="{FF2B5EF4-FFF2-40B4-BE49-F238E27FC236}">
              <a16:creationId xmlns:a16="http://schemas.microsoft.com/office/drawing/2014/main" id="{25C44433-2238-4E28-B4DF-9A971C5CD5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829597</xdr:colOff>
      <xdr:row>24</xdr:row>
      <xdr:rowOff>162845</xdr:rowOff>
    </xdr:from>
    <xdr:to>
      <xdr:col>17</xdr:col>
      <xdr:colOff>68702</xdr:colOff>
      <xdr:row>44</xdr:row>
      <xdr:rowOff>162581</xdr:rowOff>
    </xdr:to>
    <xdr:graphicFrame macro="">
      <xdr:nvGraphicFramePr>
        <xdr:cNvPr id="6" name="Gráfico 5">
          <a:extLst>
            <a:ext uri="{FF2B5EF4-FFF2-40B4-BE49-F238E27FC236}">
              <a16:creationId xmlns:a16="http://schemas.microsoft.com/office/drawing/2014/main" id="{9016E2E2-E7BF-4211-8BC3-019A267262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ibal Aranda Alvarado" refreshedDate="46245.551700810189" createdVersion="8" refreshedVersion="8" minRefreshableVersion="3" recordCount="1713" xr:uid="{DE7552BF-F52D-4368-B759-1BAB1195EE10}">
  <cacheSource type="worksheet">
    <worksheetSource name="Tabla1"/>
  </cacheSource>
  <cacheFields count="11">
    <cacheField name="Cliente" numFmtId="0">
      <sharedItems containsBlank="1" count="22">
        <s v="CORMUP"/>
        <s v="PAE"/>
        <s v="FUNDO ZAPALLAR"/>
        <s v="PROVIDENCIA"/>
        <s v="DERCO"/>
        <s v="LA REINA"/>
        <s v="LAS CONDES"/>
        <s v="COR. PUENTE"/>
        <s v="RENCA"/>
        <s v="LA FLORIDA"/>
        <s v="AGUNSA"/>
        <s v="LO VALLEDOR"/>
        <s v="NIDO"/>
        <s v="CDUC"/>
        <s v="UDD"/>
        <s v="COPEC"/>
        <s v="ESTADIO ISRAELITA"/>
        <s v="GENCHI"/>
        <s v="MADECCO"/>
        <s v="MOLYMET"/>
        <s v="HEGC"/>
        <m/>
      </sharedItems>
    </cacheField>
    <cacheField name="Maquina" numFmtId="0">
      <sharedItems containsBlank="1" count="115">
        <s v="LIKANKURA"/>
        <s v="MATILDE HUICI NAVAS"/>
        <s v="ESTANQUE CARGA ESTANQUE SUR"/>
        <s v="MATRIS ESVAL"/>
        <s v="LASTARRIA"/>
        <s v="QUILICURA - MATRIZ PRINCIPAL"/>
        <s v="EUGENIO MARIA DE HOSTOS"/>
        <s v="JUAN PABLO II"/>
        <s v="LICEO CHILOE"/>
        <s v="ESCUELA JUAN MACKENNA"/>
        <s v="ESCULA NONATO COO"/>
        <s v="COMPLEJO EDUCACIONAL CONSOLIDADA"/>
        <s v="ESCUELA ANDES DEL SUR"/>
        <s v="CENTRO EDUCACIONAL VALLE HERMOSO"/>
        <s v="ESCUELA LUIS MATTE LARRAIN"/>
        <s v="ESCUELA UNIÓN NACIONAL ÁRABE"/>
        <s v="ALICURA"/>
        <s v="ESCUELA LUIS ARRIETA CAÑAS"/>
        <s v="CARLOS FERNANDEZ PEÑA"/>
        <s v="ERASMO ESCALA"/>
        <s v="ANTONIO HERMIDA FABRES"/>
        <s v="TOBALABA"/>
        <s v="ESCUELA ESPECIAL PONTÍFICE JUAN PABLO II"/>
        <s v="SANTA MARIA"/>
        <s v="JUAN DE ATALA HIRMAS"/>
        <s v="REBECA MATTE BELLO"/>
        <s v="ESCUELA GABRIELA"/>
        <s v="ESCUELA VILLA INDEPENDENCIA"/>
        <s v="LICEO MAIPO"/>
        <s v="ESCUELA LOS ANDES"/>
        <s v="FLEMING"/>
        <s v="LICEO ALTO CORDILLERA"/>
        <s v="QUILICURA - CAMARINES"/>
        <s v="QUILICURA - PRODERCO"/>
        <s v="QUILICURA - LAVADO DE MAQUINA"/>
        <s v="JUAN BAUTISTA PASTENE"/>
        <s v="PIZZA HUT"/>
        <s v="KFC"/>
        <s v="ESCUELA PADRE HURTADO"/>
        <s v="ETAPA 1,2,3 Y 4"/>
        <s v="ESTANQUE NORTE LOCALES"/>
        <s v="MODULO D"/>
        <s v="BARRIO NORTE"/>
        <s v="POZO PROFUNDO"/>
        <s v="PISCINA"/>
        <s v="CLUB HOUSE"/>
        <s v="MODULO E"/>
        <s v="CARMELA CARVAJAL"/>
        <s v="CENTRO EDUCACIONAL EDUARDO DE LA BARRA"/>
        <s v="SALA DE BOMBAS HONDURAS"/>
        <s v="PRONTO TIENDA"/>
        <s v="ESTANQUE B"/>
        <s v="CALLE DE SERVICO"/>
        <s v="PRONTO BAÑO"/>
        <s v="LAVADO AUTO SERVICIO SUR"/>
        <s v="DEPOSITO"/>
        <s v="LAVADO AUTO SERVICIO NORTE"/>
        <s v="MATRIZ AV LAS CONDES"/>
        <s v="PUERTA 1"/>
        <s v="RAIMUNDO TUPPER"/>
        <s v="MATRIS CHESTERTON"/>
        <s v="CDP PUENTE ALTO"/>
        <s v="COLINA 1"/>
        <s v="MONITOREO MATRIZ PRINCIPAL OVALO"/>
        <s v="MONITOREO MATRIZ PRINCIPAL MODULO"/>
        <s v="CPA OVALO"/>
        <s v="COLINA 2 RED SUR"/>
        <s v="COLINA 2 REDIMPULSION"/>
        <s v="CPF SAN MIGUEL SALA IMPULSION"/>
        <s v="CAPITAN JOSÉ LUIS ARANDE"/>
        <s v="SALA DE BOMBAS EDIFICIO ¨O¨"/>
        <s v="ESFORPEN BOSQUE GENCHI SIMULACION"/>
        <s v="ESFORPEN BOSQUE ADMINISTRACION"/>
        <s v="ESC. OF CARMEN"/>
        <s v="CPF SAN MIGUEL MATRIZ PRINCIPAL"/>
        <s v="URETA COX"/>
        <s v="ESTANQUE CISTERNA"/>
        <s v="CASINO"/>
        <s v="ESTANQUE C"/>
        <s v="RIEGO"/>
        <s v="OFICINA ADMIN"/>
        <s v="LAVADO AUTOMATICO NORTE"/>
        <s v="ESTANQUE DE REUTILIZACION"/>
        <s v="MATRIZ PRINCIPAL"/>
        <s v="ESC. OF ARTEMIO"/>
        <s v="LO BOZA - EDIFICIO PRINCIPAL CASINO"/>
        <s v="LO BOZA - POZO DE LAVADO DE VEHICULO"/>
        <s v="MODULO ABC"/>
        <s v="COSTANERA"/>
        <s v="SAN NICOLAS"/>
        <s v="QUILICURA - DERCOMAQ"/>
        <s v="QUILICURA - EDIFICIO JCB"/>
        <s v="ESC. EL BOSQUE ADMINISTRACION"/>
        <s v="EDIFICIO DEPORTIVO"/>
        <s v="ESC. EL BOSQUE GENCHI ACADEMIA"/>
        <m/>
        <s v="QUILICURA - CASINO"/>
        <s v="ELEMENTARY"/>
        <s v="CASA DE CAMBIO"/>
        <s v="OPEN PLAZA - MATRIZ PRINCIPAL"/>
        <s v="LO BOZA - REUTILIZACION"/>
        <s v="CPA MODULO"/>
        <s v="LO BOZA - SALA DE IMPULSION"/>
        <s v="LO BOZA - LAVADO DE VEHICULOS"/>
        <s v="CONTROL NIDO"/>
        <s v="HIGH SCHOOL"/>
        <s v="POZO 1"/>
        <s v="LAVADO AUTOMATICO SUR"/>
        <s v="SALIDA OSMOSIS"/>
        <s v="RETORNO OSMOSIS"/>
        <s v="INTERCAMBIADOR 2"/>
        <s v="INTERCAMBIADOR 1"/>
        <s v="AGUA BLANDA"/>
        <s v="TEATRO"/>
        <s v="CANCHA"/>
      </sharedItems>
    </cacheField>
    <cacheField name="Tecnico" numFmtId="0">
      <sharedItems containsBlank="1"/>
    </cacheField>
    <cacheField name="Fecha" numFmtId="14">
      <sharedItems containsNonDate="0" containsDate="1" containsString="0" containsBlank="1" minDate="2019-01-12T00:00:00" maxDate="2026-12-23T00:00:00" count="704">
        <d v="2025-08-08T00:00:00"/>
        <d v="2026-06-24T00:00:00"/>
        <d v="2026-06-23T00:00:00"/>
        <d v="2025-08-14T00:00:00"/>
        <d v="2025-09-17T00:00:00"/>
        <d v="2025-09-02T00:00:00"/>
        <d v="2025-09-08T00:00:00"/>
        <d v="2025-07-31T00:00:00"/>
        <d v="2025-07-30T00:00:00"/>
        <d v="2025-10-07T00:00:00"/>
        <d v="2025-09-01T00:00:00"/>
        <d v="2025-10-16T00:00:00"/>
        <d v="2025-08-11T00:00:00"/>
        <d v="2025-10-10T00:00:00"/>
        <d v="2025-10-17T00:00:00"/>
        <d v="2025-09-07T00:00:00"/>
        <d v="2025-11-19T00:00:00"/>
        <d v="2025-11-18T00:00:00"/>
        <d v="2025-12-05T00:00:00"/>
        <d v="2025-12-10T00:00:00"/>
        <d v="2025-12-30T00:00:00"/>
        <d v="2025-12-25T00:00:00"/>
        <d v="2026-01-28T00:00:00"/>
        <d v="2026-01-07T00:00:00"/>
        <d v="2026-01-16T00:00:00"/>
        <d v="2026-01-29T00:00:00"/>
        <d v="2026-01-21T00:00:00"/>
        <d v="2025-01-12T00:00:00"/>
        <d v="2025-01-14T00:00:00"/>
        <d v="2025-01-13T00:00:00"/>
        <d v="2025-11-14T00:00:00"/>
        <d v="2026-01-13T00:00:00"/>
        <d v="2026-01-06T00:00:00"/>
        <d v="2025-12-27T00:00:00"/>
        <d v="2025-12-17T00:00:00"/>
        <d v="2025-12-09T00:00:00"/>
        <d v="2025-12-18T00:00:00"/>
        <d v="2025-12-23T00:00:00"/>
        <d v="2025-10-31T00:00:00"/>
        <d v="2026-12-05T00:00:00"/>
        <d v="2026-06-09T00:00:00"/>
        <d v="2026-12-04T00:00:00"/>
        <d v="2026-02-05T00:00:00"/>
        <d v="2026-02-10T00:00:00"/>
        <d v="2026-02-19T00:00:00"/>
        <d v="2026-02-26T00:00:00"/>
        <d v="2026-02-12T00:00:00"/>
        <d v="2026-02-25T00:00:00"/>
        <d v="2026-02-04T00:00:00"/>
        <d v="2026-01-22T00:00:00"/>
        <d v="2026-01-23T00:00:00"/>
        <d v="2026-01-05T00:00:00"/>
        <d v="2025-11-21T00:00:00"/>
        <d v="2025-11-20T00:00:00"/>
        <d v="2026-02-20T00:00:00"/>
        <d v="2026-02-06T00:00:00"/>
        <d v="2026-02-09T00:00:00"/>
        <d v="2026-02-16T00:00:00"/>
        <d v="2026-02-13T00:00:00"/>
        <d v="2026-02-27T00:00:00"/>
        <d v="2026-03-03T00:00:00"/>
        <d v="2026-05-29T00:00:00"/>
        <d v="2026-06-15T00:00:00"/>
        <d v="2026-02-15T00:00:00"/>
        <d v="2026-03-06T00:00:00"/>
        <d v="2026-03-11T00:00:00"/>
        <d v="2026-03-20T00:00:00"/>
        <d v="2026-03-12T00:00:00"/>
        <d v="2026-03-17T00:00:00"/>
        <d v="2026-04-10T00:00:00"/>
        <d v="2026-04-24T00:00:00"/>
        <d v="2026-03-24T00:00:00"/>
        <d v="2026-04-07T00:00:00"/>
        <d v="2026-04-09T00:00:00"/>
        <d v="2026-04-15T00:00:00"/>
        <d v="2026-04-30T00:00:00"/>
        <d v="2026-03-26T00:00:00"/>
        <d v="2026-04-02T00:00:00"/>
        <d v="2026-04-22T00:00:00"/>
        <d v="2026-05-11T00:00:00"/>
        <d v="2026-05-12T00:00:00"/>
        <d v="2026-05-13T00:00:00"/>
        <d v="2026-05-14T00:00:00"/>
        <d v="2026-05-07T00:00:00"/>
        <d v="2026-05-19T00:00:00"/>
        <d v="2026-05-18T00:00:00"/>
        <d v="2026-05-20T00:00:00"/>
        <d v="2026-05-15T00:00:00"/>
        <d v="2026-03-19T00:00:00"/>
        <d v="2026-03-16T00:00:00"/>
        <d v="2020-12-30T00:00:00"/>
        <d v="2026-03-13T00:00:00"/>
        <d v="2026-03-09T00:00:00"/>
        <d v="2025-10-24T00:00:00"/>
        <d v="2025-10-28T00:00:00"/>
        <d v="2021-02-11T00:00:00"/>
        <d v="2026-03-02T00:00:00"/>
        <d v="2025-09-15T00:00:00"/>
        <d v="2025-10-08T00:00:00"/>
        <d v="2025-09-09T00:00:00"/>
        <d v="2025-07-15T00:00:00"/>
        <d v="2025-07-28T00:00:00"/>
        <d v="2025-07-24T00:00:00"/>
        <d v="2025-07-11T00:00:00"/>
        <d v="2025-06-27T00:00:00"/>
        <d v="2025-07-01T00:00:00"/>
        <d v="2025-06-26T00:00:00"/>
        <d v="2025-06-30T00:00:00"/>
        <d v="2025-07-02T00:00:00"/>
        <d v="2025-06-04T00:00:00"/>
        <d v="2025-06-02T00:00:00"/>
        <d v="2025-07-08T00:00:00"/>
        <d v="2025-07-18T00:00:00"/>
        <d v="2025-06-11T00:00:00"/>
        <d v="2025-07-10T00:00:00"/>
        <d v="2025-06-13T00:00:00"/>
        <d v="2025-07-14T00:00:00"/>
        <d v="2025-05-27T00:00:00"/>
        <d v="2025-05-23T00:00:00"/>
        <d v="2025-05-22T00:00:00"/>
        <d v="2025-05-20T00:00:00"/>
        <d v="2025-05-15T00:00:00"/>
        <d v="2025-05-13T00:00:00"/>
        <d v="2025-05-12T00:00:00"/>
        <d v="2025-05-07T00:00:00"/>
        <d v="2025-05-14T00:00:00"/>
        <d v="2025-03-31T00:00:00"/>
        <d v="2025-05-06T00:00:00"/>
        <d v="2025-04-14T00:00:00"/>
        <d v="2025-02-03T00:00:00"/>
        <d v="2025-02-04T00:00:00"/>
        <d v="2025-02-05T00:00:00"/>
        <d v="2025-01-22T00:00:00"/>
        <d v="2025-01-23T00:00:00"/>
        <d v="2025-03-08T00:00:00"/>
        <d v="2025-02-21T00:00:00"/>
        <d v="2025-02-19T00:00:00"/>
        <d v="2025-02-14T00:00:00"/>
        <d v="2025-02-12T00:00:00"/>
        <d v="2025-02-06T00:00:00"/>
        <d v="2025-02-18T00:00:00"/>
        <d v="2025-03-05T00:00:00"/>
        <d v="2025-01-30T00:00:00"/>
        <d v="2025-01-27T00:00:00"/>
        <d v="2025-02-26T00:00:00"/>
        <d v="2025-03-26T00:00:00"/>
        <d v="2025-03-19T00:00:00"/>
        <d v="2025-03-18T00:00:00"/>
        <d v="2025-04-16T00:00:00"/>
        <d v="2025-04-15T00:00:00"/>
        <d v="2025-04-30T00:00:00"/>
        <d v="2025-05-31T00:00:00"/>
        <d v="2025-03-04T00:00:00"/>
        <d v="2025-03-13T00:00:00"/>
        <d v="2025-03-23T00:00:00"/>
        <d v="2025-04-09T00:00:00"/>
        <d v="2025-04-08T00:00:00"/>
        <d v="2025-01-24T00:00:00"/>
        <d v="2025-04-29T00:00:00"/>
        <d v="2025-04-24T00:00:00"/>
        <d v="2025-04-25T00:00:00"/>
        <d v="2025-04-07T00:00:00"/>
        <d v="2025-04-28T00:00:00"/>
        <d v="2025-04-21T00:00:00"/>
        <d v="2025-03-11T00:00:00"/>
        <d v="2025-03-20T00:00:00"/>
        <d v="2025-03-17T00:00:00"/>
        <d v="2025-03-21T00:00:00"/>
        <d v="2025-01-25T00:00:00"/>
        <d v="2024-01-20T00:00:00"/>
        <d v="2025-01-20T00:00:00"/>
        <d v="2025-01-17T00:00:00"/>
        <d v="2025-01-09T00:00:00"/>
        <d v="2025-01-10T00:00:00"/>
        <d v="2024-08-12T00:00:00"/>
        <d v="2024-12-06T00:00:00"/>
        <d v="2024-10-15T00:00:00"/>
        <d v="2024-08-06T00:00:00"/>
        <d v="2024-09-10T00:00:00"/>
        <d v="2024-11-27T00:00:00"/>
        <d v="2024-10-23T00:00:00"/>
        <d v="2024-08-14T00:00:00"/>
        <d v="2024-06-30T00:00:00"/>
        <d v="2024-12-30T00:00:00"/>
        <d v="2024-08-09T00:00:00"/>
        <d v="2024-10-01T00:00:00"/>
        <d v="2024-09-25T00:00:00"/>
        <d v="2024-09-13T00:00:00"/>
        <d v="2024-09-30T00:00:00"/>
        <d v="2024-08-30T00:00:00"/>
        <d v="2024-09-09T00:00:00"/>
        <d v="2024-12-18T00:00:00"/>
        <d v="2024-09-27T00:00:00"/>
        <d v="2024-09-11T00:00:00"/>
        <d v="2024-12-27T00:00:00"/>
        <d v="2024-12-24T00:00:00"/>
        <d v="2024-10-09T00:00:00"/>
        <d v="2024-12-04T00:00:00"/>
        <d v="2024-12-10T00:00:00"/>
        <d v="2024-12-03T00:00:00"/>
        <d v="2024-11-20T00:00:00"/>
        <d v="2024-08-16T00:00:00"/>
        <d v="2025-01-02T00:00:00"/>
        <d v="2025-01-08T00:00:00"/>
        <d v="2025-01-06T00:00:00"/>
        <d v="2025-01-03T00:00:00"/>
        <d v="2024-12-09T00:00:00"/>
        <d v="2024-12-11T00:00:00"/>
        <d v="2024-12-13T00:00:00"/>
        <d v="2024-11-23T00:00:00"/>
        <d v="2024-09-23T00:00:00"/>
        <d v="2024-11-11T00:00:00"/>
        <d v="2021-02-15T00:00:00"/>
        <d v="2021-03-19T00:00:00"/>
        <d v="2024-10-16T00:00:00"/>
        <d v="2024-08-29T00:00:00"/>
        <d v="2024-08-26T00:00:00"/>
        <d v="2024-08-22T00:00:00"/>
        <d v="2024-10-18T00:00:00"/>
        <d v="2024-11-04T00:00:00"/>
        <d v="2024-11-15T00:00:00"/>
        <d v="2024-11-13T00:00:00"/>
        <d v="2024-12-05T00:00:00"/>
        <d v="2024-11-08T00:00:00"/>
        <d v="2024-11-09T00:00:00"/>
        <d v="2024-11-07T00:00:00"/>
        <d v="2024-12-12T00:00:00"/>
        <d v="2024-10-30T00:00:00"/>
        <d v="2024-11-06T00:00:00"/>
        <d v="2024-10-22T00:00:00"/>
        <d v="2024-11-26T00:00:00"/>
        <d v="2024-10-29T00:00:00"/>
        <d v="2024-11-25T00:00:00"/>
        <d v="2024-04-11T00:00:00"/>
        <d v="2024-11-29T00:00:00"/>
        <d v="2024-11-22T00:00:00"/>
        <d v="2024-11-18T00:00:00"/>
        <d v="2024-11-12T00:00:00"/>
        <d v="2024-11-28T00:00:00"/>
        <d v="2024-12-02T00:00:00"/>
        <d v="2024-07-09T00:00:00"/>
        <d v="2024-07-08T00:00:00"/>
        <d v="2021-03-23T00:00:00"/>
        <d v="2024-08-08T00:00:00"/>
        <d v="2024-07-26T00:00:00"/>
        <d v="2024-07-10T00:00:00"/>
        <d v="2024-07-05T00:00:00"/>
        <d v="2024-06-26T00:00:00"/>
        <d v="2024-08-07T00:00:00"/>
        <d v="2024-07-11T00:00:00"/>
        <d v="2024-07-03T00:00:00"/>
        <d v="2024-07-02T00:00:00"/>
        <d v="2024-05-16T00:00:00"/>
        <d v="2024-07-31T00:00:00"/>
        <d v="2024-08-05T00:00:00"/>
        <d v="2024-08-04T00:00:00"/>
        <d v="2024-07-30T00:00:00"/>
        <d v="2024-07-23T00:00:00"/>
        <d v="2021-04-13T00:00:00"/>
        <d v="2021-06-29T00:00:00"/>
        <d v="2024-06-17T00:00:00"/>
        <d v="2024-06-19T00:00:00"/>
        <d v="2024-05-03T00:00:00"/>
        <d v="2024-05-14T00:00:00"/>
        <d v="2024-04-24T00:00:00"/>
        <d v="2024-04-30T00:00:00"/>
        <d v="2024-06-06T00:00:00"/>
        <d v="2024-06-07T00:00:00"/>
        <d v="2024-03-18T00:00:00"/>
        <d v="2024-03-07T00:00:00"/>
        <d v="2024-03-06T00:00:00"/>
        <d v="2024-04-08T00:00:00"/>
        <d v="2024-02-12T00:00:00"/>
        <d v="2024-02-13T00:00:00"/>
        <d v="2023-01-04T00:00:00"/>
        <d v="2021-07-20T00:00:00"/>
        <d v="2021-07-28T00:00:00"/>
        <d v="2024-02-28T00:00:00"/>
        <d v="2024-02-22T00:00:00"/>
        <d v="2024-02-26T00:00:00"/>
        <d v="2024-02-27T00:00:00"/>
        <d v="2023-12-21T00:00:00"/>
        <d v="2024-02-19T00:00:00"/>
        <d v="2024-02-21T00:00:00"/>
        <d v="2023-12-28T00:00:00"/>
        <d v="2024-01-09T00:00:00"/>
        <d v="2024-03-19T00:00:00"/>
        <d v="2024-03-05T00:00:00"/>
        <d v="2024-01-29T00:00:00"/>
        <d v="2024-01-25T00:00:00"/>
        <d v="2024-04-05T00:00:00"/>
        <d v="2024-04-02T00:00:00"/>
        <d v="2024-04-01T00:00:00"/>
        <d v="2024-03-21T00:00:00"/>
        <d v="2021-07-29T00:00:00"/>
        <d v="2024-01-31T00:00:00"/>
        <d v="2024-01-05T00:00:00"/>
        <d v="2023-12-27T00:00:00"/>
        <d v="2023-12-19T00:00:00"/>
        <d v="2024-02-09T00:00:00"/>
        <d v="2024-03-20T00:00:00"/>
        <d v="2024-02-29T00:00:00"/>
        <d v="2024-03-14T00:00:00"/>
        <d v="2021-12-23T00:00:00"/>
        <d v="2024-02-11T00:00:00"/>
        <d v="2024-03-01T00:00:00"/>
        <d v="2024-03-04T00:00:00"/>
        <d v="2024-01-04T00:00:00"/>
        <d v="2024-01-30T00:00:00"/>
        <d v="2024-01-22T00:00:00"/>
        <d v="2024-02-20T00:00:00"/>
        <d v="2022-01-18T00:00:00"/>
        <d v="2022-02-10T00:00:00"/>
        <d v="2023-12-15T00:00:00"/>
        <d v="2023-12-13T00:00:00"/>
        <d v="2023-12-14T00:00:00"/>
        <d v="2023-12-12T00:00:00"/>
        <d v="2023-12-11T00:00:00"/>
        <d v="2023-11-21T00:00:00"/>
        <d v="2023-11-03T00:00:00"/>
        <d v="2023-11-09T00:00:00"/>
        <d v="2023-11-14T00:00:00"/>
        <d v="2023-11-15T00:00:00"/>
        <d v="2023-11-24T00:00:00"/>
        <d v="2023-11-06T00:00:00"/>
        <d v="2023-11-20T00:00:00"/>
        <d v="2023-11-12T00:00:00"/>
        <d v="2023-11-13T00:00:00"/>
        <d v="2023-11-16T00:00:00"/>
        <d v="2023-10-26T00:00:00"/>
        <d v="2023-11-08T00:00:00"/>
        <d v="2023-11-07T00:00:00"/>
        <d v="2023-10-31T00:00:00"/>
        <d v="2023-10-20T00:00:00"/>
        <d v="2023-10-24T00:00:00"/>
        <d v="2023-11-10T00:00:00"/>
        <d v="2023-11-02T00:00:00"/>
        <d v="2023-10-19T00:00:00"/>
        <d v="2023-10-18T00:00:00"/>
        <d v="2023-10-11T00:00:00"/>
        <d v="2023-10-16T00:00:00"/>
        <d v="2023-10-17T00:00:00"/>
        <d v="2023-10-04T00:00:00"/>
        <d v="2023-10-05T00:00:00"/>
        <d v="2023-10-12T00:00:00"/>
        <d v="2023-10-10T00:00:00"/>
        <d v="2023-10-13T00:00:00"/>
        <d v="2023-10-06T00:00:00"/>
        <d v="2023-10-03T00:00:00"/>
        <d v="2023-10-02T00:00:00"/>
        <d v="2023-03-05T00:00:00"/>
        <d v="2023-09-26T00:00:00"/>
        <d v="2023-09-25T00:00:00"/>
        <d v="2023-09-20T00:00:00"/>
        <d v="2023-09-21T00:00:00"/>
        <d v="2023-09-13T00:00:00"/>
        <d v="2023-09-12T00:00:00"/>
        <d v="2023-09-11T00:00:00"/>
        <d v="2023-09-08T00:00:00"/>
        <d v="2023-09-06T00:00:00"/>
        <d v="2023-08-07T00:00:00"/>
        <d v="2023-08-18T00:00:00"/>
        <d v="2023-09-29T00:00:00"/>
        <d v="2023-09-30T00:00:00"/>
        <d v="2023-09-01T00:00:00"/>
        <d v="2023-08-29T00:00:00"/>
        <d v="2023-08-25T00:00:00"/>
        <d v="2023-08-24T00:00:00"/>
        <d v="2023-08-23T00:00:00"/>
        <d v="2023-08-21T00:00:00"/>
        <d v="2023-07-04T00:00:00"/>
        <d v="2023-08-16T00:00:00"/>
        <d v="2023-08-11T00:00:00"/>
        <d v="2023-07-28T00:00:00"/>
        <d v="2023-08-04T00:00:00"/>
        <d v="2023-06-15T00:00:00"/>
        <d v="2023-08-08T00:00:00"/>
        <d v="2023-07-31T00:00:00"/>
        <d v="2023-07-26T00:00:00"/>
        <d v="2023-08-10T00:00:00"/>
        <d v="2023-08-02T00:00:00"/>
        <d v="2023-08-01T00:00:00"/>
        <d v="2023-06-29T00:00:00"/>
        <d v="2023-07-24T00:00:00"/>
        <d v="2023-06-27T00:00:00"/>
        <d v="2023-07-19T00:00:00"/>
        <d v="2023-07-20T00:00:00"/>
        <d v="2023-07-13T00:00:00"/>
        <d v="2023-05-15T00:00:00"/>
        <d v="2023-05-09T00:00:00"/>
        <d v="2023-05-02T00:00:00"/>
        <d v="2023-04-12T00:00:00"/>
        <d v="2023-04-14T00:00:00"/>
        <d v="2023-04-04T00:00:00"/>
        <d v="2023-03-31T00:00:00"/>
        <d v="2023-03-30T00:00:00"/>
        <d v="2023-03-29T00:00:00"/>
        <d v="2023-03-27T00:00:00"/>
        <d v="2023-03-24T00:00:00"/>
        <d v="2023-03-22T00:00:00"/>
        <d v="2023-03-20T00:00:00"/>
        <d v="2023-03-06T00:00:00"/>
        <d v="2022-12-14T00:00:00"/>
        <d v="2022-10-27T00:00:00"/>
        <d v="2023-07-05T00:00:00"/>
        <d v="2023-07-10T00:00:00"/>
        <d v="2023-07-06T00:00:00"/>
        <d v="2023-07-11T00:00:00"/>
        <d v="2023-07-12T00:00:00"/>
        <d v="2023-07-14T00:00:00"/>
        <d v="2022-04-01T00:00:00"/>
        <d v="2022-03-20T00:00:00"/>
        <d v="2022-03-28T00:00:00"/>
        <d v="2022-03-24T00:00:00"/>
        <d v="2022-04-04T00:00:00"/>
        <d v="2022-04-06T00:00:00"/>
        <d v="2022-03-30T00:00:00"/>
        <d v="2022-03-18T00:00:00"/>
        <d v="2022-03-23T00:00:00"/>
        <d v="2022-04-03T00:00:00"/>
        <d v="2022-04-08T00:00:00"/>
        <d v="2022-08-24T00:00:00"/>
        <d v="2022-03-22T00:00:00"/>
        <d v="2022-05-10T00:00:00"/>
        <d v="2022-05-17T00:00:00"/>
        <d v="2022-05-03T00:00:00"/>
        <d v="2022-04-19T00:00:00"/>
        <d v="2022-03-17T00:00:00"/>
        <d v="2022-03-09T00:00:00"/>
        <d v="2022-03-01T00:00:00"/>
        <d v="2022-03-16T00:00:00"/>
        <d v="2022-03-07T00:00:00"/>
        <d v="2022-03-02T00:00:00"/>
        <d v="2022-03-03T00:00:00"/>
        <d v="2022-03-14T00:00:00"/>
        <d v="2022-03-11T00:00:00"/>
        <d v="2021-11-17T00:00:00"/>
        <d v="2023-02-20T00:00:00"/>
        <d v="2022-07-06T00:00:00"/>
        <d v="2022-04-14T00:00:00"/>
        <d v="2020-02-27T00:00:00"/>
        <d v="2020-02-20T00:00:00"/>
        <d v="2020-01-28T00:00:00"/>
        <d v="2019-03-08T00:00:00"/>
        <d v="2019-03-07T00:00:00"/>
        <d v="2021-11-18T00:00:00"/>
        <d v="2021-12-21T00:00:00"/>
        <d v="2021-12-22T00:00:00"/>
        <d v="2020-03-18T00:00:00"/>
        <d v="2020-03-09T00:00:00"/>
        <d v="2020-03-11T00:00:00"/>
        <d v="2019-12-12T00:00:00"/>
        <d v="2019-12-13T00:00:00"/>
        <d v="2019-11-25T00:00:00"/>
        <d v="2019-10-28T00:00:00"/>
        <d v="2019-03-26T00:00:00"/>
        <d v="2019-03-25T00:00:00"/>
        <d v="2019-03-22T00:00:00"/>
        <d v="2019-03-21T00:00:00"/>
        <d v="2019-03-20T00:00:00"/>
        <d v="2019-03-14T00:00:00"/>
        <d v="2019-03-18T00:00:00"/>
        <d v="2019-03-13T00:00:00"/>
        <d v="2019-03-12T00:00:00"/>
        <d v="2023-06-19T00:00:00"/>
        <d v="2023-06-14T00:00:00"/>
        <d v="2023-06-16T00:00:00"/>
        <d v="2023-07-07T00:00:00"/>
        <d v="2023-08-12T00:00:00"/>
        <d v="2024-06-14T00:00:00"/>
        <d v="2022-07-13T00:00:00"/>
        <d v="2021-10-19T00:00:00"/>
        <d v="2024-10-05T00:00:00"/>
        <d v="2024-10-11T00:00:00"/>
        <d v="2024-10-25T00:00:00"/>
        <d v="2024-11-05T00:00:00"/>
        <d v="2025-08-18T00:00:00"/>
        <d v="2026-05-02T00:00:00"/>
        <d v="2026-12-22T00:00:00"/>
        <d v="2022-12-13T00:00:00"/>
        <d v="2022-12-20T00:00:00"/>
        <d v="2022-12-27T00:00:00"/>
        <d v="2023-05-05T00:00:00"/>
        <d v="2023-05-23T00:00:00"/>
        <d v="2022-08-23T00:00:00"/>
        <d v="2022-10-21T00:00:00"/>
        <d v="2021-05-13T00:00:00"/>
        <d v="2023-06-06T00:00:00"/>
        <d v="2023-05-30T00:00:00"/>
        <d v="2023-03-21T00:00:00"/>
        <d v="2023-03-02T00:00:00"/>
        <d v="2023-01-11T00:00:00"/>
        <d v="2023-01-05T00:00:00"/>
        <d v="2023-06-07T00:00:00"/>
        <d v="2023-06-12T00:00:00"/>
        <d v="2023-05-12T00:00:00"/>
        <d v="2022-08-12T00:00:00"/>
        <d v="2022-12-26T00:00:00"/>
        <d v="2022-02-03T00:00:00"/>
        <d v="2021-12-15T00:00:00"/>
        <d v="2021-11-24T00:00:00"/>
        <d v="2021-06-23T00:00:00"/>
        <d v="2021-06-24T00:00:00"/>
        <d v="2021-10-01T00:00:00"/>
        <d v="2021-10-04T00:00:00"/>
        <d v="2022-05-13T00:00:00"/>
        <d v="2021-10-22T00:00:00"/>
        <d v="2021-04-12T00:00:00"/>
        <d v="2020-11-24T00:00:00"/>
        <d v="2020-10-01T00:00:00"/>
        <d v="2020-09-28T00:00:00"/>
        <d v="2020-09-21T00:00:00"/>
        <d v="2020-09-07T00:00:00"/>
        <d v="2020-08-31T00:00:00"/>
        <d v="2021-03-03T00:00:00"/>
        <d v="2019-11-03T00:00:00"/>
        <d v="2019-12-23T00:00:00"/>
        <d v="2019-10-10T00:00:00"/>
        <d v="2023-06-09T00:00:00"/>
        <d v="2019-05-31T00:00:00"/>
        <d v="2019-05-29T00:00:00"/>
        <d v="2019-05-27T00:00:00"/>
        <d v="2019-04-25T00:00:00"/>
        <d v="2019-04-24T00:00:00"/>
        <d v="2019-04-23T00:00:00"/>
        <d v="2019-04-22T00:00:00"/>
        <d v="2019-03-06T00:00:00"/>
        <d v="2023-04-26T00:00:00"/>
        <d v="2022-11-08T00:00:00"/>
        <d v="2022-09-28T00:00:00"/>
        <d v="2022-02-08T00:00:00"/>
        <d v="2022-01-21T00:00:00"/>
        <d v="2022-01-13T00:00:00"/>
        <d v="2021-09-29T00:00:00"/>
        <d v="2021-05-29T00:00:00"/>
        <d v="2021-06-08T00:00:00"/>
        <d v="2021-06-04T00:00:00"/>
        <d v="2021-06-01T00:00:00"/>
        <d v="2021-05-25T00:00:00"/>
        <d v="2021-05-11T00:00:00"/>
        <d v="2021-04-20T00:00:00"/>
        <d v="2021-03-08T00:00:00"/>
        <d v="2021-03-05T00:00:00"/>
        <d v="2021-02-08T00:00:00"/>
        <d v="2021-01-14T00:00:00"/>
        <d v="2020-10-29T00:00:00"/>
        <d v="2023-05-19T00:00:00"/>
        <d v="2023-04-28T00:00:00"/>
        <d v="2023-04-21T00:00:00"/>
        <d v="2023-04-18T00:00:00"/>
        <d v="2023-04-03T00:00:00"/>
        <d v="2023-06-05T00:00:00"/>
        <d v="2023-03-28T00:00:00"/>
        <d v="2023-01-16T00:00:00"/>
        <d v="2023-01-18T00:00:00"/>
        <d v="2022-12-29T00:00:00"/>
        <d v="2021-02-18T00:00:00"/>
        <d v="2021-01-18T00:00:00"/>
        <d v="2021-03-22T00:00:00"/>
        <d v="2021-01-23T00:00:00"/>
        <d v="2021-02-24T00:00:00"/>
        <d v="2021-02-10T00:00:00"/>
        <d v="2021-02-09T00:00:00"/>
        <d v="2023-05-22T00:00:00"/>
        <d v="2023-04-25T00:00:00"/>
        <d v="2023-04-05T00:00:00"/>
        <d v="2023-03-17T00:00:00"/>
        <d v="2023-03-15T00:00:00"/>
        <d v="2023-01-17T00:00:00"/>
        <d v="2023-01-27T00:00:00"/>
        <d v="2023-02-02T00:00:00"/>
        <d v="2023-01-25T00:00:00"/>
        <d v="2023-03-10T00:00:00"/>
        <d v="2023-03-08T00:00:00"/>
        <d v="2022-12-15T00:00:00"/>
        <d v="2022-11-09T00:00:00"/>
        <d v="2022-10-26T00:00:00"/>
        <d v="2022-08-10T00:00:00"/>
        <d v="2022-09-23T00:00:00"/>
        <d v="2022-08-09T00:00:00"/>
        <d v="2022-08-02T00:00:00"/>
        <d v="2022-04-07T00:00:00"/>
        <d v="2022-06-30T00:00:00"/>
        <d v="2022-05-18T00:00:00"/>
        <d v="2022-05-05T00:00:00"/>
        <d v="2021-11-23T00:00:00"/>
        <d v="2021-11-04T00:00:00"/>
        <d v="2021-12-07T00:00:00"/>
        <d v="2021-12-14T00:00:00"/>
        <d v="2021-12-20T00:00:00"/>
        <d v="2022-01-04T00:00:00"/>
        <d v="2022-01-05T00:00:00"/>
        <d v="2021-09-28T00:00:00"/>
        <d v="2021-09-30T00:00:00"/>
        <d v="2021-10-25T00:00:00"/>
        <d v="2021-10-05T00:00:00"/>
        <d v="2021-10-06T00:00:00"/>
        <d v="2021-10-21T00:00:00"/>
        <d v="2021-11-02T00:00:00"/>
        <d v="2021-05-28T00:00:00"/>
        <d v="2021-05-27T00:00:00"/>
        <d v="2021-05-26T00:00:00"/>
        <d v="2021-05-24T00:00:00"/>
        <d v="2021-06-07T00:00:00"/>
        <d v="2021-06-03T00:00:00"/>
        <d v="2021-06-09T00:00:00"/>
        <d v="2021-06-14T00:00:00"/>
        <d v="2021-05-18T00:00:00"/>
        <d v="2021-05-05T00:00:00"/>
        <d v="2021-05-14T00:00:00"/>
        <d v="2021-04-09T00:00:00"/>
        <d v="2021-04-07T00:00:00"/>
        <d v="2021-04-05T00:00:00"/>
        <d v="2021-02-22T00:00:00"/>
        <d v="2021-01-27T00:00:00"/>
        <d v="2021-01-21T00:00:00"/>
        <d v="2020-01-15T00:00:00"/>
        <d v="2023-05-18T00:00:00"/>
        <d v="2023-05-17T00:00:00"/>
        <d v="2023-01-12T00:00:00"/>
        <d v="2022-09-02T00:00:00"/>
        <d v="2022-09-09T00:00:00"/>
        <d v="2022-07-28T00:00:00"/>
        <d v="2022-08-26T00:00:00"/>
        <d v="2022-01-20T00:00:00"/>
        <d v="2021-05-19T00:00:00"/>
        <d v="2021-01-26T00:00:00"/>
        <d v="2020-07-02T00:00:00"/>
        <d v="2020-07-06T00:00:00"/>
        <d v="2019-12-05T00:00:00"/>
        <d v="2019-11-20T00:00:00"/>
        <d v="2019-11-29T00:00:00"/>
        <d v="2019-10-29T00:00:00"/>
        <d v="2021-10-13T00:00:00"/>
        <d v="2021-10-20T00:00:00"/>
        <d v="2021-10-18T00:00:00"/>
        <d v="2022-01-11T00:00:00"/>
        <d v="2021-12-10T00:00:00"/>
        <d v="2021-11-03T00:00:00"/>
        <d v="2021-11-11T00:00:00"/>
        <d v="2021-11-22T00:00:00"/>
        <d v="2022-02-17T00:00:00"/>
        <d v="2022-03-04T00:00:00"/>
        <d v="2022-04-26T00:00:00"/>
        <d v="2022-10-14T00:00:00"/>
        <d v="2022-11-07T00:00:00"/>
        <d v="2023-02-16T00:00:00"/>
        <d v="2023-01-24T00:00:00"/>
        <d v="2023-04-13T00:00:00"/>
        <d v="2019-01-12T00:00:00"/>
        <d v="2019-11-08T00:00:00"/>
        <d v="2019-12-27T00:00:00"/>
        <d v="2019-01-29T00:00:00"/>
        <d v="2020-12-28T00:00:00"/>
        <d v="2020-07-04T00:00:00"/>
        <d v="2020-10-21T00:00:00"/>
        <d v="2020-09-10T00:00:00"/>
        <d v="2021-08-16T00:00:00"/>
        <d v="2021-06-17T00:00:00"/>
        <d v="2022-01-06T00:00:00"/>
        <d v="2022-02-07T00:00:00"/>
        <d v="2022-04-22T00:00:00"/>
        <d v="2022-07-12T00:00:00"/>
        <d v="2022-07-11T00:00:00"/>
        <d v="2022-10-12T00:00:00"/>
        <d v="2022-11-03T00:00:00"/>
        <d v="2022-11-21T00:00:00"/>
        <d v="2023-02-10T00:00:00"/>
        <d v="2021-01-25T00:00:00"/>
        <d v="2021-02-19T00:00:00"/>
        <d v="2021-03-02T00:00:00"/>
        <d v="2021-05-17T00:00:00"/>
        <d v="2021-05-31T00:00:00"/>
        <d v="2021-09-27T00:00:00"/>
        <d v="2021-12-30T00:00:00"/>
        <d v="2021-12-13T00:00:00"/>
        <d v="2021-12-06T00:00:00"/>
        <d v="2022-05-31T00:00:00"/>
        <d v="2022-07-19T00:00:00"/>
        <d v="2022-08-04T00:00:00"/>
        <d v="2022-08-16T00:00:00"/>
        <d v="2023-04-27T00:00:00"/>
        <d v="2023-02-03T00:00:00"/>
        <d v="2021-03-11T00:00:00"/>
        <d v="2021-03-04T00:00:00"/>
        <d v="2021-04-16T00:00:00"/>
        <d v="2021-09-20T00:00:00"/>
        <d v="2021-07-19T00:00:00"/>
        <d v="2022-01-10T00:00:00"/>
        <d v="2022-02-04T00:00:00"/>
        <d v="2022-02-02T00:00:00"/>
        <d v="2022-05-08T00:00:00"/>
        <d v="2022-08-08T00:00:00"/>
        <d v="2022-08-17T00:00:00"/>
        <d v="2022-08-01T00:00:00"/>
        <d v="2023-04-06T00:00:00"/>
        <d v="2023-04-20T00:00:00"/>
        <d v="2023-05-16T00:00:00"/>
        <d v="2022-02-16T00:00:00"/>
        <d v="2022-05-16T00:00:00"/>
        <d v="2022-03-25T00:00:00"/>
        <d v="2023-02-28T00:00:00"/>
        <d v="2023-03-23T00:00:00"/>
        <m/>
      </sharedItems>
    </cacheField>
    <cacheField name="Tipo de Mantenimiento" numFmtId="0">
      <sharedItems containsBlank="1" count="8">
        <s v="Mtto Correctivo"/>
        <s v="Mtto Preventivo"/>
        <s v="Mtto Predictivo"/>
        <s v="Instalación sistema CIR"/>
        <s v="Instalación Valvula On/Off"/>
        <s v="Tareas Miscelaneas"/>
        <s v="Instalación sistema CPA"/>
        <m/>
      </sharedItems>
    </cacheField>
    <cacheField name="Tipo de Falla" numFmtId="0">
      <sharedItems containsBlank="1" count="24">
        <s v="Electrónica"/>
        <s v="Hídrica"/>
        <s v="Software"/>
        <s v="Comunicación"/>
        <s v="Eléctrica"/>
        <s v="Retiro Sistema CIR"/>
        <s v="Retiro poste Solar"/>
        <s v="Ultrasonido"/>
        <m/>
        <s v="Auditoria"/>
        <s v="Retiro Sistema CPA"/>
        <s v="Construccion"/>
        <s v="Electronica" u="1"/>
        <s v="Mecánica" u="1"/>
        <s v="Instalación sistema CIR" u="1"/>
        <s v="Mecanica" u="1"/>
        <s v="Comunicacion" u="1"/>
        <s v="Hidrica" u="1"/>
        <s v="Sofware" u="1"/>
        <s v="Electrica" u="1"/>
        <s v="Mtto Correctivo" u="1"/>
        <s v="Instalación sistema CPA" u="1"/>
        <s v="Mtto Preventivo" u="1"/>
        <s v="SENSOR DE PULSO FUERA DE MEDIDOR" u="1"/>
      </sharedItems>
    </cacheField>
    <cacheField name="Falla Expecifica" numFmtId="0">
      <sharedItems containsBlank="1" count="59">
        <s v="Placa Pegada"/>
        <s v="Membrana"/>
        <s v="Reloj Malo"/>
        <s v="Actualizacion de Codigo"/>
        <s v="Placa RS232 LAN sin voltaje"/>
        <s v="Regulación"/>
        <s v="Desconfiguracion"/>
        <s v="Intervencion de terceros"/>
        <s v="Valvula"/>
        <s v="Componente dañado"/>
        <s v="By Pass abierto"/>
        <s v="Max 232"/>
        <s v="Sensor de Pulso"/>
        <s v="Reparación"/>
        <s v="Memoria mala"/>
        <s v="Revison tecnica"/>
        <s v="Solenoide"/>
        <s v="Desprogramacion"/>
        <m/>
        <s v="Falla Fuente switching"/>
        <s v="Transductor suelto"/>
        <s v="Router"/>
        <s v="instalacion"/>
        <s v="Validacion Data"/>
        <s v="Router sin Voltaje"/>
        <s v="Reubicacion"/>
        <s v="Renovación Silicona"/>
        <s v="Sensor de movimiento"/>
        <s v="Cortocircuito"/>
        <s v="Fatiga de material"/>
        <s v="Descalibracion Peso Pulso"/>
        <s v="instalación"/>
        <s v="Validación Data"/>
        <s v="Cambio de Solenoide"/>
        <s v="Empalme electrico"/>
        <s v="Toma de Lectura Inicial"/>
        <s v="Toma de Lectura Final"/>
        <s v="Pick Dañado"/>
        <s v="bateria descargada"/>
        <s v="Actualizacion de Código"/>
        <s v="Ruido"/>
        <s v="Placa Conversor RS232 mala"/>
        <s v="ID Erróneo"/>
        <s v="Equipo Dañado"/>
        <s v="Canalización"/>
        <s v="Up grade"/>
        <s v="Cable de Red Dañado"/>
        <s v="Medidor defectuoso"/>
        <s v="Cargador Solar"/>
        <s v="Reparación Camara"/>
        <s v="Llave de paso "/>
        <s v="so"/>
        <s v="amplimax"/>
        <s v="Revisión tecnica"/>
        <s v="Sim"/>
        <s v="max 232 "/>
        <s v="d"/>
        <s v="conector db9"/>
        <s v="Habilitacion CPA"/>
      </sharedItems>
    </cacheField>
    <cacheField name="Solucion y/o Diagnostico" numFmtId="0">
      <sharedItems containsBlank="1" longText="1"/>
    </cacheField>
    <cacheField name="Observaciones" numFmtId="0">
      <sharedItems containsBlank="1" longText="1"/>
    </cacheField>
    <cacheField name="Año" numFmtId="0">
      <sharedItems containsSemiMixedTypes="0" containsString="0" containsNumber="1" containsInteger="1" minValue="1900" maxValue="2026" count="9">
        <n v="2025"/>
        <n v="2026"/>
        <n v="2020"/>
        <n v="2021"/>
        <n v="2024"/>
        <n v="2023"/>
        <n v="2022"/>
        <n v="2019"/>
        <n v="1900"/>
      </sharedItems>
    </cacheField>
    <cacheField name="Mes" numFmtId="0">
      <sharedItems containsSemiMixedTypes="0" containsString="0" containsNumber="1" containsInteger="1" minValue="1" maxValue="12"/>
    </cacheField>
  </cacheFields>
  <extLst>
    <ext xmlns:x14="http://schemas.microsoft.com/office/spreadsheetml/2009/9/main" uri="{725AE2AE-9491-48be-B2B4-4EB974FC3084}">
      <x14:pivotCacheDefinition pivotCacheId="1838423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13">
  <r>
    <x v="0"/>
    <x v="0"/>
    <s v="Maurico Orellana"/>
    <x v="0"/>
    <x v="0"/>
    <x v="0"/>
    <x v="0"/>
    <s v="visita por desconexion, placa pegada, horario hrroneo_x000a_actualizacion de codigo en microcontrolador pik it + resert de fabrica+_x000a_cgequeo de memoria, equipo monitoriando 100% operativo."/>
    <m/>
    <x v="0"/>
    <n v="8"/>
  </r>
  <r>
    <x v="0"/>
    <x v="1"/>
    <s v="Maurico Orellana"/>
    <x v="1"/>
    <x v="0"/>
    <x v="1"/>
    <x v="1"/>
    <s v="equipo ultrasonido con desconfiguracion este es nuevamente configurado"/>
    <m/>
    <x v="1"/>
    <n v="6"/>
  </r>
  <r>
    <x v="1"/>
    <x v="2"/>
    <s v="Maurico Orellana"/>
    <x v="2"/>
    <x v="0"/>
    <x v="1"/>
    <x v="1"/>
    <s v="reparacion de filtracion en valvula de control"/>
    <m/>
    <x v="1"/>
    <n v="6"/>
  </r>
  <r>
    <x v="2"/>
    <x v="3"/>
    <s v="Maurico Orellana"/>
    <x v="3"/>
    <x v="0"/>
    <x v="0"/>
    <x v="2"/>
    <s v="reloj de placa dañado, este es remplazado"/>
    <m/>
    <x v="0"/>
    <n v="8"/>
  </r>
  <r>
    <x v="3"/>
    <x v="4"/>
    <s v="Maurico Orellana"/>
    <x v="4"/>
    <x v="0"/>
    <x v="2"/>
    <x v="3"/>
    <s v="actualizacion de cir"/>
    <m/>
    <x v="0"/>
    <n v="9"/>
  </r>
  <r>
    <x v="3"/>
    <x v="4"/>
    <s v="Maurico Orellana"/>
    <x v="5"/>
    <x v="0"/>
    <x v="0"/>
    <x v="4"/>
    <s v="placa roja desconfigurada"/>
    <m/>
    <x v="0"/>
    <n v="9"/>
  </r>
  <r>
    <x v="3"/>
    <x v="4"/>
    <s v="Maurico Orellana"/>
    <x v="6"/>
    <x v="0"/>
    <x v="0"/>
    <x v="4"/>
    <s v="problemas de conectividad, placa de comunicacion dañada , esta es remplazada"/>
    <m/>
    <x v="0"/>
    <n v="9"/>
  </r>
  <r>
    <x v="4"/>
    <x v="5"/>
    <s v="Maurico Orellana"/>
    <x v="7"/>
    <x v="0"/>
    <x v="1"/>
    <x v="5"/>
    <s v="regulacion nocturna 50% 1.5bar regulacion dia 100% 3 bar"/>
    <m/>
    <x v="0"/>
    <n v="7"/>
  </r>
  <r>
    <x v="4"/>
    <x v="5"/>
    <s v="Maurico Orellana"/>
    <x v="8"/>
    <x v="0"/>
    <x v="3"/>
    <x v="6"/>
    <s v="visita por desconexion, interface en cero."/>
    <m/>
    <x v="0"/>
    <n v="7"/>
  </r>
  <r>
    <x v="5"/>
    <x v="6"/>
    <s v="Maurico Orellana"/>
    <x v="8"/>
    <x v="0"/>
    <x v="1"/>
    <x v="7"/>
    <s v="llave de emergencia activada por terceros, esta es regularizada, equipo_x000a_100% operativo"/>
    <m/>
    <x v="0"/>
    <n v="7"/>
  </r>
  <r>
    <x v="5"/>
    <x v="6"/>
    <s v="Maurico Orellana"/>
    <x v="9"/>
    <x v="0"/>
    <x v="1"/>
    <x v="8"/>
    <s v="cambio de valvula control por problemas de corte hidrico."/>
    <m/>
    <x v="0"/>
    <n v="10"/>
  </r>
  <r>
    <x v="6"/>
    <x v="7"/>
    <s v="Maurico Orellana"/>
    <x v="10"/>
    <x v="0"/>
    <x v="4"/>
    <x v="7"/>
    <s v="equipo desconectado, diferencial abajo, no hay corto circuito"/>
    <m/>
    <x v="0"/>
    <n v="9"/>
  </r>
  <r>
    <x v="7"/>
    <x v="8"/>
    <s v="Maurico Orellana"/>
    <x v="11"/>
    <x v="0"/>
    <x v="0"/>
    <x v="9"/>
    <s v="visita para chequeo de horarios +chequeo de valvulas equipo _x000a_100% operativo"/>
    <m/>
    <x v="0"/>
    <n v="10"/>
  </r>
  <r>
    <x v="7"/>
    <x v="9"/>
    <s v="Maurico Orellana"/>
    <x v="11"/>
    <x v="0"/>
    <x v="0"/>
    <x v="9"/>
    <s v="fusible quemado este es remplazado"/>
    <m/>
    <x v="0"/>
    <n v="10"/>
  </r>
  <r>
    <x v="7"/>
    <x v="9"/>
    <s v="Maurico Orellana"/>
    <x v="12"/>
    <x v="0"/>
    <x v="4"/>
    <x v="7"/>
    <s v="desconecion a causa de automatico abajo"/>
    <m/>
    <x v="0"/>
    <n v="8"/>
  </r>
  <r>
    <x v="7"/>
    <x v="10"/>
    <s v="Maurico Orellana"/>
    <x v="10"/>
    <x v="0"/>
    <x v="4"/>
    <x v="7"/>
    <s v="desconecion a causa de automatico abajo"/>
    <m/>
    <x v="0"/>
    <n v="9"/>
  </r>
  <r>
    <x v="7"/>
    <x v="11"/>
    <s v="Maurico Orellana"/>
    <x v="10"/>
    <x v="0"/>
    <x v="4"/>
    <x v="7"/>
    <s v="desconexion a causa de automatico abajo"/>
    <m/>
    <x v="0"/>
    <n v="9"/>
  </r>
  <r>
    <x v="7"/>
    <x v="11"/>
    <s v="Maurico Orellana"/>
    <x v="13"/>
    <x v="0"/>
    <x v="3"/>
    <x v="6"/>
    <s v="interface caida por ruido electico"/>
    <m/>
    <x v="0"/>
    <n v="10"/>
  </r>
  <r>
    <x v="7"/>
    <x v="12"/>
    <s v="Maurico Orellana"/>
    <x v="13"/>
    <x v="0"/>
    <x v="3"/>
    <x v="6"/>
    <s v="interface caida por ruido electico"/>
    <m/>
    <x v="0"/>
    <n v="10"/>
  </r>
  <r>
    <x v="0"/>
    <x v="0"/>
    <s v="Maurico Orellana"/>
    <x v="10"/>
    <x v="0"/>
    <x v="0"/>
    <x v="0"/>
    <s v="desconexion por placa pegada"/>
    <m/>
    <x v="0"/>
    <n v="9"/>
  </r>
  <r>
    <x v="0"/>
    <x v="13"/>
    <s v="Maurico Orellana"/>
    <x v="14"/>
    <x v="0"/>
    <x v="1"/>
    <x v="10"/>
    <s v="se instala manometro en entrada y salida cpa detectando problemas de presion a _x000a_causa de valculas de control, estas son remplazadas solucionando problema de presion"/>
    <m/>
    <x v="0"/>
    <n v="10"/>
  </r>
  <r>
    <x v="0"/>
    <x v="13"/>
    <s v="Maurico Orellana"/>
    <x v="15"/>
    <x v="0"/>
    <x v="1"/>
    <x v="10"/>
    <s v="sistema bypass activado por terceros, se comprueba funcionamiento de equipo quedando operativo"/>
    <m/>
    <x v="0"/>
    <n v="9"/>
  </r>
  <r>
    <x v="7"/>
    <x v="14"/>
    <s v="Maurico Orellana"/>
    <x v="16"/>
    <x v="0"/>
    <x v="1"/>
    <x v="10"/>
    <s v="se activa bypass por corte de agua no programado, se realiza revicion _x000a_de sistema quedando operativo"/>
    <m/>
    <x v="0"/>
    <n v="11"/>
  </r>
  <r>
    <x v="0"/>
    <x v="15"/>
    <s v="Maurico Orellana"/>
    <x v="17"/>
    <x v="0"/>
    <x v="3"/>
    <x v="6"/>
    <s v="desccion por desconexion por descongifuracion de interface, _x000a_este es reprogramado"/>
    <m/>
    <x v="0"/>
    <n v="11"/>
  </r>
  <r>
    <x v="0"/>
    <x v="16"/>
    <s v="Maurico Orellana"/>
    <x v="18"/>
    <x v="0"/>
    <x v="3"/>
    <x v="6"/>
    <s v="desccion por desconexion por descongifuracion de interface, _x000a_este es reprogramado"/>
    <m/>
    <x v="0"/>
    <n v="12"/>
  </r>
  <r>
    <x v="0"/>
    <x v="17"/>
    <s v="Maurico Orellana"/>
    <x v="18"/>
    <x v="0"/>
    <x v="3"/>
    <x v="11"/>
    <s v="equipo desconectado por max 232 quemada esta es remplazada"/>
    <m/>
    <x v="0"/>
    <n v="12"/>
  </r>
  <r>
    <x v="0"/>
    <x v="13"/>
    <s v="Maurico Orellana"/>
    <x v="19"/>
    <x v="0"/>
    <x v="1"/>
    <x v="12"/>
    <s v="revivion de sab, se debe remplazar placa electronica, +cambio de solenoide en valvula _x000a_bypass activado en cpa por terceros sensor de pulso fuera por tercerpos"/>
    <m/>
    <x v="0"/>
    <n v="12"/>
  </r>
  <r>
    <x v="0"/>
    <x v="0"/>
    <s v="Maurico Orellana"/>
    <x v="19"/>
    <x v="0"/>
    <x v="4"/>
    <x v="7"/>
    <s v="diferencial abajo por corte en en linea electrica, este es reparado quedando operativo"/>
    <m/>
    <x v="0"/>
    <n v="12"/>
  </r>
  <r>
    <x v="0"/>
    <x v="0"/>
    <s v="Maurico Orellana"/>
    <x v="19"/>
    <x v="0"/>
    <x v="1"/>
    <x v="13"/>
    <s v="reparacion de fuga hidrica en terminal pvc valvula de control vaño damas"/>
    <m/>
    <x v="0"/>
    <n v="12"/>
  </r>
  <r>
    <x v="0"/>
    <x v="17"/>
    <s v="Maurico Orellana"/>
    <x v="20"/>
    <x v="0"/>
    <x v="1"/>
    <x v="10"/>
    <s v="sistema con bypass activado en cpa este es normalizado, equipo queda _x000a_operativo"/>
    <m/>
    <x v="0"/>
    <n v="12"/>
  </r>
  <r>
    <x v="0"/>
    <x v="18"/>
    <s v="Maurico Orellana"/>
    <x v="20"/>
    <x v="0"/>
    <x v="1"/>
    <x v="8"/>
    <s v="valvula de control alta con defecto, esta es cerrada dejando _x000a_solo en funcionamiento valvula de baja"/>
    <m/>
    <x v="0"/>
    <n v="12"/>
  </r>
  <r>
    <x v="0"/>
    <x v="19"/>
    <s v="Maurico Orellana"/>
    <x v="21"/>
    <x v="0"/>
    <x v="0"/>
    <x v="14"/>
    <s v="visita por problemas de data, cambio de memoria equipo queda gurdando"/>
    <m/>
    <x v="0"/>
    <n v="12"/>
  </r>
  <r>
    <x v="0"/>
    <x v="17"/>
    <s v="Maurico Orellana"/>
    <x v="22"/>
    <x v="0"/>
    <x v="1"/>
    <x v="13"/>
    <s v="revicion equipo sab bañe varones por mal funcionamiento, placa electronica en mal estado _x000a_esta es remplazada"/>
    <m/>
    <x v="1"/>
    <n v="1"/>
  </r>
  <r>
    <x v="0"/>
    <x v="18"/>
    <s v="Maurico Orellana"/>
    <x v="23"/>
    <x v="0"/>
    <x v="1"/>
    <x v="13"/>
    <s v="cambio de valvula 1&quot; en baño varones, equipo queda sin fuga hidrica"/>
    <m/>
    <x v="1"/>
    <n v="1"/>
  </r>
  <r>
    <x v="0"/>
    <x v="20"/>
    <s v="Maurico Orellana"/>
    <x v="23"/>
    <x v="0"/>
    <x v="3"/>
    <x v="6"/>
    <s v="desconexion por ruido electrico,interface nuevamente programada."/>
    <m/>
    <x v="1"/>
    <n v="1"/>
  </r>
  <r>
    <x v="0"/>
    <x v="19"/>
    <s v="Maurico Orellana"/>
    <x v="24"/>
    <x v="0"/>
    <x v="3"/>
    <x v="6"/>
    <s v="corte de AGUA se proboca por dia no progranado, este es habilitado _x000a_de 07:00 a 19:00"/>
    <m/>
    <x v="1"/>
    <n v="1"/>
  </r>
  <r>
    <x v="0"/>
    <x v="13"/>
    <s v="Maurico Orellana"/>
    <x v="24"/>
    <x v="0"/>
    <x v="0"/>
    <x v="0"/>
    <s v="placa oegada esta es reiniciada"/>
    <m/>
    <x v="1"/>
    <n v="1"/>
  </r>
  <r>
    <x v="0"/>
    <x v="20"/>
    <s v="Maurico Orellana"/>
    <x v="25"/>
    <x v="1"/>
    <x v="1"/>
    <x v="15"/>
    <s v="chequeo sistema cpa 100% operativo_x000a_chequo sistema sab 100% operativo"/>
    <m/>
    <x v="1"/>
    <n v="1"/>
  </r>
  <r>
    <x v="0"/>
    <x v="21"/>
    <s v="Maurico Orellana"/>
    <x v="25"/>
    <x v="1"/>
    <x v="1"/>
    <x v="15"/>
    <s v="chequeo cpa equipo 100% operativo_x000a_chequeo sistema sab, 100% operativo"/>
    <m/>
    <x v="1"/>
    <n v="1"/>
  </r>
  <r>
    <x v="0"/>
    <x v="19"/>
    <s v="Maurico Orellana"/>
    <x v="25"/>
    <x v="1"/>
    <x v="1"/>
    <x v="15"/>
    <s v="chequeo cpa equipo 100% operativo"/>
    <m/>
    <x v="1"/>
    <n v="1"/>
  </r>
  <r>
    <x v="0"/>
    <x v="1"/>
    <s v="Maurico Orellana"/>
    <x v="26"/>
    <x v="2"/>
    <x v="1"/>
    <x v="16"/>
    <s v="chequeo de cpa, cambio de solenoide por cumplimiento de ciclo"/>
    <m/>
    <x v="1"/>
    <n v="1"/>
  </r>
  <r>
    <x v="0"/>
    <x v="22"/>
    <s v="Maurico Orellana"/>
    <x v="22"/>
    <x v="1"/>
    <x v="4"/>
    <x v="7"/>
    <s v="reinatalacion de sistema cir control sab en baño,_x000a_queda pendiente empalme electrico."/>
    <m/>
    <x v="1"/>
    <n v="1"/>
  </r>
  <r>
    <x v="0"/>
    <x v="23"/>
    <s v="Maurico Orellana"/>
    <x v="23"/>
    <x v="0"/>
    <x v="2"/>
    <x v="17"/>
    <s v="equipo desconectado por ruido electrico"/>
    <m/>
    <x v="1"/>
    <n v="1"/>
  </r>
  <r>
    <x v="8"/>
    <x v="24"/>
    <s v="Maurico Orellana"/>
    <x v="27"/>
    <x v="0"/>
    <x v="5"/>
    <x v="18"/>
    <s v="retiro sistema cir"/>
    <m/>
    <x v="0"/>
    <n v="1"/>
  </r>
  <r>
    <x v="8"/>
    <x v="25"/>
    <s v="Maurico Orellana"/>
    <x v="28"/>
    <x v="0"/>
    <x v="5"/>
    <x v="18"/>
    <s v="retiro sistema cir"/>
    <m/>
    <x v="0"/>
    <n v="1"/>
  </r>
  <r>
    <x v="7"/>
    <x v="26"/>
    <s v="Maurico Orellana"/>
    <x v="29"/>
    <x v="0"/>
    <x v="2"/>
    <x v="17"/>
    <s v="descnexion por ruido electrico y corte de luz proboca desconfiguracion por interface_x000a_de conexion"/>
    <m/>
    <x v="0"/>
    <n v="1"/>
  </r>
  <r>
    <x v="7"/>
    <x v="8"/>
    <s v="Maurico Orellana"/>
    <x v="17"/>
    <x v="0"/>
    <x v="1"/>
    <x v="5"/>
    <s v="a causa de baja precion es regulada llave de caudal,esta es regulada sin exito por_x000a_problema de presion es de matriz aguas andinas."/>
    <m/>
    <x v="0"/>
    <n v="11"/>
  </r>
  <r>
    <x v="7"/>
    <x v="10"/>
    <s v="Maurico Orellana"/>
    <x v="30"/>
    <x v="0"/>
    <x v="4"/>
    <x v="7"/>
    <s v="sistema desconectado a causa de automatico abajo, este es subido quedando_x000a_sistema con energia."/>
    <m/>
    <x v="0"/>
    <n v="11"/>
  </r>
  <r>
    <x v="7"/>
    <x v="27"/>
    <s v="Maurico Orellana"/>
    <x v="31"/>
    <x v="0"/>
    <x v="2"/>
    <x v="17"/>
    <s v="desconexion por interface abajo."/>
    <m/>
    <x v="1"/>
    <n v="1"/>
  </r>
  <r>
    <x v="7"/>
    <x v="28"/>
    <s v="Maurico Orellana"/>
    <x v="32"/>
    <x v="0"/>
    <x v="1"/>
    <x v="15"/>
    <s v="olaca pegada, no recupera data, memoria es remplazada"/>
    <m/>
    <x v="1"/>
    <n v="1"/>
  </r>
  <r>
    <x v="7"/>
    <x v="28"/>
    <s v="Maurico Orellana"/>
    <x v="32"/>
    <x v="0"/>
    <x v="1"/>
    <x v="15"/>
    <s v="olaca pegada, no recupera data, memoria es remplazada"/>
    <m/>
    <x v="1"/>
    <n v="1"/>
  </r>
  <r>
    <x v="7"/>
    <x v="9"/>
    <s v="Maurico Orellana"/>
    <x v="33"/>
    <x v="0"/>
    <x v="1"/>
    <x v="16"/>
    <s v="solenoide en mal estado, este proboca corte de fusible de proteccion, estas _x000a_son remplazadas quedando sistema operativo"/>
    <m/>
    <x v="0"/>
    <n v="12"/>
  </r>
  <r>
    <x v="7"/>
    <x v="9"/>
    <s v="Maurico Orellana"/>
    <x v="34"/>
    <x v="0"/>
    <x v="4"/>
    <x v="19"/>
    <s v="fuente switching mala, esta es remplasada dejando equipo conectado a app wes,_x000a_cpa es regularizado."/>
    <m/>
    <x v="0"/>
    <n v="12"/>
  </r>
  <r>
    <x v="7"/>
    <x v="29"/>
    <s v="Maurico Orellana"/>
    <x v="35"/>
    <x v="0"/>
    <x v="6"/>
    <x v="18"/>
    <s v="retiro poste , mas panel solar _x000a_reubucacion de sistema cir"/>
    <m/>
    <x v="0"/>
    <n v="12"/>
  </r>
  <r>
    <x v="7"/>
    <x v="9"/>
    <s v="Maurico Orellana"/>
    <x v="35"/>
    <x v="0"/>
    <x v="6"/>
    <x v="18"/>
    <s v="retiro poste , mas panel solar"/>
    <m/>
    <x v="0"/>
    <n v="12"/>
  </r>
  <r>
    <x v="7"/>
    <x v="12"/>
    <s v="Maurico Orellana"/>
    <x v="36"/>
    <x v="0"/>
    <x v="3"/>
    <x v="11"/>
    <s v="sistema desconectado por tener integrado max 232 quemada_x000a_esta es remplazada quedando sistema conectado"/>
    <m/>
    <x v="0"/>
    <n v="12"/>
  </r>
  <r>
    <x v="7"/>
    <x v="10"/>
    <s v="Maurico Orellana"/>
    <x v="36"/>
    <x v="0"/>
    <x v="4"/>
    <x v="7"/>
    <s v="sistema de monitoreo desconectado a causa de intervencion de terceros, u corto circuito_x000a_automatico se encuentra &quot;abajo&quot;, equipo queda 100% operativo"/>
    <m/>
    <x v="0"/>
    <n v="12"/>
  </r>
  <r>
    <x v="7"/>
    <x v="28"/>
    <s v="Maurico Orellana"/>
    <x v="37"/>
    <x v="0"/>
    <x v="0"/>
    <x v="0"/>
    <s v="esta es reseteada de fabrica."/>
    <m/>
    <x v="0"/>
    <n v="12"/>
  </r>
  <r>
    <x v="7"/>
    <x v="10"/>
    <s v="Maurico Orellana"/>
    <x v="19"/>
    <x v="0"/>
    <x v="6"/>
    <x v="18"/>
    <s v="retiro poste solar mas panel solar"/>
    <m/>
    <x v="0"/>
    <n v="12"/>
  </r>
  <r>
    <x v="6"/>
    <x v="30"/>
    <s v="Anibal Aranda"/>
    <x v="38"/>
    <x v="0"/>
    <x v="1"/>
    <x v="12"/>
    <s v="se hace cambio de sensor, dejando equipo operativo"/>
    <m/>
    <x v="0"/>
    <n v="10"/>
  </r>
  <r>
    <x v="6"/>
    <x v="30"/>
    <s v="Anibal Aranda"/>
    <x v="38"/>
    <x v="0"/>
    <x v="1"/>
    <x v="12"/>
    <s v="se hace cambio de sensor, dejando equipo operativo"/>
    <m/>
    <x v="0"/>
    <n v="10"/>
  </r>
  <r>
    <x v="9"/>
    <x v="31"/>
    <s v="Maurico Orellana"/>
    <x v="39"/>
    <x v="0"/>
    <x v="7"/>
    <x v="20"/>
    <s v="a causa de fuma en medidor de agua potable tranductores ultrasonido son _x000a_removidos, estos son nuevamente instalados, captando caudal regularizando _x000a_lectura de consumo."/>
    <m/>
    <x v="1"/>
    <n v="12"/>
  </r>
  <r>
    <x v="9"/>
    <x v="31"/>
    <s v="Maurico Orellana"/>
    <x v="40"/>
    <x v="3"/>
    <x v="8"/>
    <x v="18"/>
    <s v="instalacion de economisador hidrico cpa mas construccion de camara y _x000a_tapa de camara, equipo queda operativo."/>
    <m/>
    <x v="1"/>
    <n v="6"/>
  </r>
  <r>
    <x v="5"/>
    <x v="6"/>
    <s v="Maurico Orellana"/>
    <x v="41"/>
    <x v="0"/>
    <x v="1"/>
    <x v="7"/>
    <s v="llave de emergencia activada el dia 07-11-2025 sin informe _x000a_se normaliza llave u colegio mantiene suministro hidrico"/>
    <m/>
    <x v="1"/>
    <n v="12"/>
  </r>
  <r>
    <x v="6"/>
    <x v="7"/>
    <s v="Maurico Orellana"/>
    <x v="42"/>
    <x v="0"/>
    <x v="4"/>
    <x v="7"/>
    <s v="equipo apagado, diferencial abajo por golpe electrico o manipulacion de tercero, _x000a_este es nuevamente habilitado quedando operativo."/>
    <m/>
    <x v="1"/>
    <n v="2"/>
  </r>
  <r>
    <x v="5"/>
    <x v="6"/>
    <s v="Anibal Aranda"/>
    <x v="43"/>
    <x v="0"/>
    <x v="0"/>
    <x v="9"/>
    <s v="la desconexion es por un coto circuito que activa fusible de proteccion_x000a_a placa electronica, se cambia fusible y se mide voltaje mas amperaje _x000a_llave de emergencia abierta por tecnico de la corporacion. esta es regularizada"/>
    <m/>
    <x v="1"/>
    <n v="2"/>
  </r>
  <r>
    <x v="4"/>
    <x v="32"/>
    <s v="Anibal Aranda"/>
    <x v="44"/>
    <x v="0"/>
    <x v="1"/>
    <x v="12"/>
    <s v="cable de sensor de pulso con sulfato, este es reconectado y _x000a_protegido con sinta engomada"/>
    <m/>
    <x v="1"/>
    <n v="2"/>
  </r>
  <r>
    <x v="4"/>
    <x v="33"/>
    <s v="Anibal Aranda"/>
    <x v="44"/>
    <x v="0"/>
    <x v="3"/>
    <x v="21"/>
    <s v="router defectuoso requiere cambio mientras se confirma que la placa esta _x000a_guardando correctamente la data en terreno"/>
    <m/>
    <x v="1"/>
    <n v="2"/>
  </r>
  <r>
    <x v="4"/>
    <x v="34"/>
    <s v="Anibal Aranda"/>
    <x v="44"/>
    <x v="0"/>
    <x v="0"/>
    <x v="14"/>
    <s v="memoria defectuosa pierde guardado, se realiza el cambio dejando operativo el monitoreo"/>
    <m/>
    <x v="1"/>
    <n v="2"/>
  </r>
  <r>
    <x v="7"/>
    <x v="10"/>
    <s v="Maurico Orellana"/>
    <x v="42"/>
    <x v="0"/>
    <x v="2"/>
    <x v="17"/>
    <s v="desconexion por ruido electrico, interfas no programado _x000a_caudalimetro ultrasonido desconfigurado, este es programado en _x000a_parametros ya guardados. equipo operativo."/>
    <m/>
    <x v="1"/>
    <n v="2"/>
  </r>
  <r>
    <x v="7"/>
    <x v="26"/>
    <s v="Maurico Orellana"/>
    <x v="42"/>
    <x v="1"/>
    <x v="4"/>
    <x v="15"/>
    <s v="l, chequeo voltajes de salida,_x000a_chequeo de conectividad. cambio de 2 solenoides en valvulas de control"/>
    <m/>
    <x v="1"/>
    <n v="2"/>
  </r>
  <r>
    <x v="7"/>
    <x v="12"/>
    <s v="Maurico Orellana"/>
    <x v="42"/>
    <x v="1"/>
    <x v="4"/>
    <x v="15"/>
    <s v="l, chequeo voltajes de salida,_x000a_chequeo de conectividad. cambio de 2 solenoides en valvulas de control"/>
    <m/>
    <x v="1"/>
    <n v="2"/>
  </r>
  <r>
    <x v="7"/>
    <x v="14"/>
    <s v="Maurico Orellana"/>
    <x v="42"/>
    <x v="1"/>
    <x v="1"/>
    <x v="15"/>
    <s v="chequeo de valvulas de control, chequeo voltajes de salida,_x000a_chequeo de conectividad."/>
    <m/>
    <x v="1"/>
    <n v="2"/>
  </r>
  <r>
    <x v="7"/>
    <x v="9"/>
    <s v="Maurico Orellana"/>
    <x v="42"/>
    <x v="1"/>
    <x v="1"/>
    <x v="15"/>
    <s v="chequeo de valvulas de control, chequeo voltajes de salida,_x000a_chequeo de conectividad."/>
    <m/>
    <x v="1"/>
    <n v="2"/>
  </r>
  <r>
    <x v="0"/>
    <x v="22"/>
    <s v="Maurico Orellana"/>
    <x v="45"/>
    <x v="0"/>
    <x v="0"/>
    <x v="7"/>
    <s v="se reinstala equipo sab en baño niños, equipo quda operativo"/>
    <m/>
    <x v="1"/>
    <n v="2"/>
  </r>
  <r>
    <x v="0"/>
    <x v="35"/>
    <s v="Maurico Orellana"/>
    <x v="46"/>
    <x v="0"/>
    <x v="1"/>
    <x v="13"/>
    <s v="fuga en cpa proboca emergencia hidrica en horario nocturno, valvula de _x000a_control con roptura, este es reparado"/>
    <m/>
    <x v="1"/>
    <n v="2"/>
  </r>
  <r>
    <x v="0"/>
    <x v="22"/>
    <s v="Maurico Orellana"/>
    <x v="47"/>
    <x v="0"/>
    <x v="1"/>
    <x v="13"/>
    <s v="valvula de control sab con defecto, esta es remplazada, falta habilitacion de sab"/>
    <m/>
    <x v="1"/>
    <n v="2"/>
  </r>
  <r>
    <x v="0"/>
    <x v="18"/>
    <s v="Maurico Orellana"/>
    <x v="48"/>
    <x v="0"/>
    <x v="1"/>
    <x v="13"/>
    <s v="cambio de 2 valvulas de control en cpa wes_x000a_equipo queda operativo"/>
    <m/>
    <x v="1"/>
    <n v="2"/>
  </r>
  <r>
    <x v="0"/>
    <x v="35"/>
    <s v="Maurico Orellana"/>
    <x v="48"/>
    <x v="0"/>
    <x v="1"/>
    <x v="13"/>
    <s v="reparacion de filtracion en cpa wes, este es reparado y habilitado co exito."/>
    <m/>
    <x v="1"/>
    <n v="2"/>
  </r>
  <r>
    <x v="0"/>
    <x v="21"/>
    <s v="Maurico Orellana"/>
    <x v="48"/>
    <x v="0"/>
    <x v="1"/>
    <x v="18"/>
    <s v="valvula de control sab co defecto es remplazada, equipo operativo _x000a_baño damas"/>
    <m/>
    <x v="1"/>
    <n v="2"/>
  </r>
  <r>
    <x v="1"/>
    <x v="2"/>
    <s v="Maurico Orellana"/>
    <x v="49"/>
    <x v="1"/>
    <x v="1"/>
    <x v="15"/>
    <s v="instalacion de collerin en sala de bombas sur."/>
    <m/>
    <x v="1"/>
    <n v="1"/>
  </r>
  <r>
    <x v="1"/>
    <x v="36"/>
    <s v="Maurico Orellana"/>
    <x v="50"/>
    <x v="0"/>
    <x v="1"/>
    <x v="18"/>
    <s v="cambio de manguera despiche valvula, esta es extendida hasta el exterir de local."/>
    <m/>
    <x v="1"/>
    <n v="1"/>
  </r>
  <r>
    <x v="1"/>
    <x v="37"/>
    <s v="Maurico Orellana"/>
    <x v="49"/>
    <x v="0"/>
    <x v="1"/>
    <x v="13"/>
    <s v="intervencion se pide cambio de materialidad en instalaion _x000a_baño guardias de pvc a ppr."/>
    <m/>
    <x v="1"/>
    <n v="1"/>
  </r>
  <r>
    <x v="1"/>
    <x v="37"/>
    <s v="Maurico Orellana"/>
    <x v="49"/>
    <x v="0"/>
    <x v="1"/>
    <x v="13"/>
    <s v="instalacion de gabinete cir mas canalisacion tranductores mas control de valvulas _x000a_reparacion de fuga en odo bronce baño de guardias"/>
    <m/>
    <x v="1"/>
    <n v="1"/>
  </r>
  <r>
    <x v="1"/>
    <x v="2"/>
    <s v="Maurico Orellana"/>
    <x v="51"/>
    <x v="0"/>
    <x v="3"/>
    <x v="21"/>
    <s v="router con problemas de conexion, este es reiniciado mas resetiado_x000a_equipo queda operativo"/>
    <m/>
    <x v="1"/>
    <n v="1"/>
  </r>
  <r>
    <x v="1"/>
    <x v="36"/>
    <s v="Maurico Orellana"/>
    <x v="52"/>
    <x v="1"/>
    <x v="1"/>
    <x v="15"/>
    <s v="intervencion hidrica, instalacion de valvula control en matriz sala de bombas sur"/>
    <m/>
    <x v="0"/>
    <n v="11"/>
  </r>
  <r>
    <x v="1"/>
    <x v="2"/>
    <s v="Maurico Orellana"/>
    <x v="53"/>
    <x v="1"/>
    <x v="1"/>
    <x v="15"/>
    <s v="intervencion hidrica, instalacion de valvula control en matriz sala de bombas sur"/>
    <m/>
    <x v="0"/>
    <n v="11"/>
  </r>
  <r>
    <x v="4"/>
    <x v="33"/>
    <s v="Maurico Orellana"/>
    <x v="54"/>
    <x v="0"/>
    <x v="3"/>
    <x v="21"/>
    <s v="remplazo de router"/>
    <m/>
    <x v="1"/>
    <n v="2"/>
  </r>
  <r>
    <x v="7"/>
    <x v="8"/>
    <s v="Anibal Aranda"/>
    <x v="55"/>
    <x v="1"/>
    <x v="1"/>
    <x v="1"/>
    <s v="prueba de funcionamiento electrovalvulas, ambas defectuosas"/>
    <m/>
    <x v="1"/>
    <n v="2"/>
  </r>
  <r>
    <x v="7"/>
    <x v="8"/>
    <s v="Anibal Aranda"/>
    <x v="55"/>
    <x v="1"/>
    <x v="1"/>
    <x v="16"/>
    <s v="mantenimiento preventivo de solenoide"/>
    <m/>
    <x v="1"/>
    <n v="2"/>
  </r>
  <r>
    <x v="7"/>
    <x v="28"/>
    <s v="Anibal Aranda"/>
    <x v="55"/>
    <x v="1"/>
    <x v="1"/>
    <x v="16"/>
    <s v="mantenimiento preventivo de solenoide"/>
    <m/>
    <x v="1"/>
    <n v="2"/>
  </r>
  <r>
    <x v="7"/>
    <x v="29"/>
    <s v="Anibal Aranda"/>
    <x v="56"/>
    <x v="1"/>
    <x v="1"/>
    <x v="16"/>
    <s v="cambio de solenoide en valvula de alta"/>
    <m/>
    <x v="1"/>
    <n v="2"/>
  </r>
  <r>
    <x v="7"/>
    <x v="10"/>
    <s v="Anibal Aranda"/>
    <x v="56"/>
    <x v="0"/>
    <x v="1"/>
    <x v="16"/>
    <s v="cambio de electrovalvulas por problemas de apertura _x000a_"/>
    <m/>
    <x v="1"/>
    <n v="2"/>
  </r>
  <r>
    <x v="7"/>
    <x v="11"/>
    <s v="Anibal Aranda"/>
    <x v="56"/>
    <x v="1"/>
    <x v="1"/>
    <x v="16"/>
    <s v="mantenimiento preventivo cambio de solenoides"/>
    <m/>
    <x v="1"/>
    <n v="2"/>
  </r>
  <r>
    <x v="7"/>
    <x v="10"/>
    <s v="Anibal Aranda"/>
    <x v="57"/>
    <x v="1"/>
    <x v="1"/>
    <x v="16"/>
    <s v="cambio de valvula alta y baja"/>
    <m/>
    <x v="1"/>
    <n v="2"/>
  </r>
  <r>
    <x v="7"/>
    <x v="29"/>
    <s v="Anibal Aranda"/>
    <x v="58"/>
    <x v="1"/>
    <x v="1"/>
    <x v="16"/>
    <s v="cambio de valvula alta"/>
    <m/>
    <x v="1"/>
    <n v="2"/>
  </r>
  <r>
    <x v="7"/>
    <x v="27"/>
    <s v="Anibal Aranda"/>
    <x v="58"/>
    <x v="1"/>
    <x v="1"/>
    <x v="16"/>
    <s v="cambio de solenoide preventivo"/>
    <m/>
    <x v="1"/>
    <n v="2"/>
  </r>
  <r>
    <x v="7"/>
    <x v="38"/>
    <s v="Anibal Aranda"/>
    <x v="56"/>
    <x v="1"/>
    <x v="1"/>
    <x v="16"/>
    <s v="cambio de solenoide preventivo"/>
    <m/>
    <x v="1"/>
    <n v="2"/>
  </r>
  <r>
    <x v="3"/>
    <x v="4"/>
    <s v="Maurico Orellana"/>
    <x v="59"/>
    <x v="1"/>
    <x v="7"/>
    <x v="22"/>
    <s v="implementacion de medidor ultrasonido"/>
    <m/>
    <x v="1"/>
    <n v="2"/>
  </r>
  <r>
    <x v="3"/>
    <x v="4"/>
    <s v="Maurico Orellana"/>
    <x v="60"/>
    <x v="1"/>
    <x v="9"/>
    <x v="23"/>
    <s v="lectura de validacion ultra sinido 100x0,01m3 map: 9858m3_x000a_llave de emergenca abierta por baja presion."/>
    <m/>
    <x v="1"/>
    <n v="3"/>
  </r>
  <r>
    <x v="2"/>
    <x v="39"/>
    <s v="Maurico Orellana"/>
    <x v="26"/>
    <x v="3"/>
    <x v="8"/>
    <x v="18"/>
    <s v="cambio de poste solar Etapa 1 insalacion de cir + tranductor ultrasoido."/>
    <m/>
    <x v="1"/>
    <n v="1"/>
  </r>
  <r>
    <x v="1"/>
    <x v="40"/>
    <s v="Maurico Orellana"/>
    <x v="61"/>
    <x v="4"/>
    <x v="8"/>
    <x v="18"/>
    <s v="intervencion hidrica, instalacion de valvulas se control + llave mariposa"/>
    <m/>
    <x v="1"/>
    <n v="5"/>
  </r>
  <r>
    <x v="10"/>
    <x v="41"/>
    <s v="Maurico Orellana"/>
    <x v="62"/>
    <x v="0"/>
    <x v="1"/>
    <x v="1"/>
    <s v="se realiza reapriete de valvula baja"/>
    <m/>
    <x v="1"/>
    <n v="6"/>
  </r>
  <r>
    <x v="7"/>
    <x v="26"/>
    <s v="Maurico Orellana"/>
    <x v="62"/>
    <x v="0"/>
    <x v="0"/>
    <x v="24"/>
    <s v="equipo desconectado por interface abajo"/>
    <m/>
    <x v="1"/>
    <n v="6"/>
  </r>
  <r>
    <x v="0"/>
    <x v="21"/>
    <s v="Anibal Aranda"/>
    <x v="62"/>
    <x v="0"/>
    <x v="0"/>
    <x v="0"/>
    <s v="placa en estado pegada, esta es reiniciada"/>
    <m/>
    <x v="1"/>
    <n v="6"/>
  </r>
  <r>
    <x v="2"/>
    <x v="39"/>
    <s v="Anibal Aranda"/>
    <x v="63"/>
    <x v="1"/>
    <x v="2"/>
    <x v="17"/>
    <s v="estanque inferior desconectado, se reubican las antenas quedando _x000a_conectado, data actualizada en app"/>
    <m/>
    <x v="1"/>
    <n v="2"/>
  </r>
  <r>
    <x v="6"/>
    <x v="30"/>
    <s v="Maurico Orellana"/>
    <x v="59"/>
    <x v="1"/>
    <x v="2"/>
    <x v="17"/>
    <s v="visita por desconexion, ruido electrico desconfigura interface, este es reprogramado _x000a_se actualiza codigo en microcontrolador pick it, cambio de solenoide en valvulas de baja _x000a_equipo queda operativo"/>
    <m/>
    <x v="1"/>
    <n v="2"/>
  </r>
  <r>
    <x v="6"/>
    <x v="30"/>
    <s v="Maurico Orellana"/>
    <x v="64"/>
    <x v="1"/>
    <x v="1"/>
    <x v="15"/>
    <s v="valvulas de control en mal estado, equipos sab en buen estado"/>
    <m/>
    <x v="1"/>
    <n v="3"/>
  </r>
  <r>
    <x v="11"/>
    <x v="42"/>
    <s v="Maurico Orellana"/>
    <x v="64"/>
    <x v="0"/>
    <x v="1"/>
    <x v="15"/>
    <s v="habilitacion sistema wes"/>
    <m/>
    <x v="1"/>
    <n v="3"/>
  </r>
  <r>
    <x v="12"/>
    <x v="43"/>
    <s v="Maurico Orellana"/>
    <x v="11"/>
    <x v="0"/>
    <x v="4"/>
    <x v="25"/>
    <s v="siatema sin conexion a causa de cambio gabinete electrico este _x000a_es normalizado enpalmado a 220v"/>
    <m/>
    <x v="0"/>
    <n v="10"/>
  </r>
  <r>
    <x v="12"/>
    <x v="44"/>
    <s v="Anibal Aranda"/>
    <x v="23"/>
    <x v="0"/>
    <x v="0"/>
    <x v="9"/>
    <s v="integrado de comunicacion defectuoso se realiza cambio"/>
    <m/>
    <x v="1"/>
    <n v="1"/>
  </r>
  <r>
    <x v="12"/>
    <x v="44"/>
    <s v="Maurico Orellana"/>
    <x v="59"/>
    <x v="0"/>
    <x v="0"/>
    <x v="9"/>
    <s v="placa con reguladores de voltaje en corte"/>
    <m/>
    <x v="1"/>
    <n v="2"/>
  </r>
  <r>
    <x v="2"/>
    <x v="3"/>
    <s v="Anibal Aranda"/>
    <x v="65"/>
    <x v="1"/>
    <x v="7"/>
    <x v="22"/>
    <s v="se instala medidor ultrasonido para monitorear matriz."/>
    <m/>
    <x v="1"/>
    <n v="3"/>
  </r>
  <r>
    <x v="0"/>
    <x v="35"/>
    <s v="Maurico Orellana"/>
    <x v="66"/>
    <x v="1"/>
    <x v="1"/>
    <x v="5"/>
    <s v="programacion extencion horaria."/>
    <m/>
    <x v="1"/>
    <n v="3"/>
  </r>
  <r>
    <x v="0"/>
    <x v="18"/>
    <s v="Maurico Orellana"/>
    <x v="66"/>
    <x v="0"/>
    <x v="1"/>
    <x v="15"/>
    <s v="chequeo de corte valvulas, equipo operativo"/>
    <m/>
    <x v="1"/>
    <n v="3"/>
  </r>
  <r>
    <x v="0"/>
    <x v="13"/>
    <s v="Maurico Orellana"/>
    <x v="67"/>
    <x v="0"/>
    <x v="1"/>
    <x v="12"/>
    <s v="sensor de pulso fuera de posicion a causa de terceros."/>
    <m/>
    <x v="1"/>
    <n v="3"/>
  </r>
  <r>
    <x v="0"/>
    <x v="0"/>
    <s v="Maurico Orellana"/>
    <x v="67"/>
    <x v="0"/>
    <x v="0"/>
    <x v="15"/>
    <s v="desconexion por ruido en placa, se instala condensador se 470 f en _x000a_alimentacion de 12 v"/>
    <m/>
    <x v="1"/>
    <n v="3"/>
  </r>
  <r>
    <x v="0"/>
    <x v="16"/>
    <s v="Maurico Orellana"/>
    <x v="68"/>
    <x v="0"/>
    <x v="4"/>
    <x v="7"/>
    <s v="sistema sin suministro electrico, automatico abajo."/>
    <m/>
    <x v="1"/>
    <n v="3"/>
  </r>
  <r>
    <x v="13"/>
    <x v="45"/>
    <s v="Maurico Orellana"/>
    <x v="69"/>
    <x v="0"/>
    <x v="1"/>
    <x v="8"/>
    <s v="cambio de dos valvulas de control en cpa wes."/>
    <m/>
    <x v="1"/>
    <n v="4"/>
  </r>
  <r>
    <x v="10"/>
    <x v="46"/>
    <s v="Maurico Orellana"/>
    <x v="69"/>
    <x v="1"/>
    <x v="0"/>
    <x v="14"/>
    <s v="memoria de placa wes defectuosa geneando desconfiguraciones varias _x000a_perdida de data desde 11-02-2026"/>
    <m/>
    <x v="1"/>
    <n v="4"/>
  </r>
  <r>
    <x v="0"/>
    <x v="19"/>
    <s v="Maurico Orellana"/>
    <x v="70"/>
    <x v="1"/>
    <x v="1"/>
    <x v="15"/>
    <s v="equipo sab con problema de conexion, este es reparado cambiando fusilera"/>
    <m/>
    <x v="1"/>
    <n v="4"/>
  </r>
  <r>
    <x v="0"/>
    <x v="19"/>
    <s v="Maurico Orellana"/>
    <x v="71"/>
    <x v="1"/>
    <x v="1"/>
    <x v="15"/>
    <s v="visita para evaluacion de cambio de valvulas, este trabajo no se efectuara ya que ambas _x000a_valvulas de control se encuentran en perfecto estado, _x000a_se realizan mejoras en configuracion de caudalimetro ultrasonido."/>
    <m/>
    <x v="1"/>
    <n v="3"/>
  </r>
  <r>
    <x v="0"/>
    <x v="19"/>
    <s v="Anibal Aranda"/>
    <x v="72"/>
    <x v="0"/>
    <x v="1"/>
    <x v="15"/>
    <s v="mau"/>
    <m/>
    <x v="1"/>
    <n v="4"/>
  </r>
  <r>
    <x v="0"/>
    <x v="19"/>
    <s v="Anibal Aranda"/>
    <x v="72"/>
    <x v="0"/>
    <x v="1"/>
    <x v="15"/>
    <s v="modificacion hidrica en el colegio genera daños a la canalisacion _x000a_electrica se deja normalizado empalme 220v"/>
    <m/>
    <x v="1"/>
    <n v="4"/>
  </r>
  <r>
    <x v="0"/>
    <x v="19"/>
    <s v="Anibal Aranda"/>
    <x v="73"/>
    <x v="0"/>
    <x v="1"/>
    <x v="15"/>
    <s v="se realiza normaalisacion de valvulas dejando equipo 100% operativo"/>
    <m/>
    <x v="1"/>
    <n v="4"/>
  </r>
  <r>
    <x v="0"/>
    <x v="19"/>
    <s v="Anibal Aranda"/>
    <x v="74"/>
    <x v="0"/>
    <x v="1"/>
    <x v="16"/>
    <s v="se normaliza la comunicacion entre tranductores de medidor ultrasonido._x000a_camara co una cara demolida por trabajos hidricos de la corporacion."/>
    <m/>
    <x v="1"/>
    <n v="4"/>
  </r>
  <r>
    <x v="0"/>
    <x v="35"/>
    <s v="Anibal Aranda"/>
    <x v="74"/>
    <x v="0"/>
    <x v="1"/>
    <x v="15"/>
    <s v="se aumenta tiempo de carga a estanque de 3.3min a 5 min"/>
    <m/>
    <x v="1"/>
    <n v="4"/>
  </r>
  <r>
    <x v="5"/>
    <x v="6"/>
    <s v="Maurico Orellana"/>
    <x v="75"/>
    <x v="0"/>
    <x v="1"/>
    <x v="10"/>
    <s v="por intervencion de terceror, se encuentra en corte el equipo wes _x000a_se normaliza equipo y se vuelve a capasitar a doña veronica"/>
    <m/>
    <x v="1"/>
    <n v="4"/>
  </r>
  <r>
    <x v="6"/>
    <x v="30"/>
    <s v="Maurico Orellana"/>
    <x v="76"/>
    <x v="0"/>
    <x v="0"/>
    <x v="9"/>
    <s v="cambio de placa por herror de lectura, llave de emergencia habierta, esta es normalizada._x000a_valvulas de control requieren cambio."/>
    <m/>
    <x v="1"/>
    <n v="3"/>
  </r>
  <r>
    <x v="3"/>
    <x v="4"/>
    <s v="Maurico Orellana"/>
    <x v="77"/>
    <x v="0"/>
    <x v="1"/>
    <x v="10"/>
    <s v="llave de emergencia activada, presuntamente por baja presion, se habilita _x000a_100%."/>
    <m/>
    <x v="1"/>
    <n v="4"/>
  </r>
  <r>
    <x v="3"/>
    <x v="4"/>
    <s v="Anibal Aranda"/>
    <x v="78"/>
    <x v="0"/>
    <x v="1"/>
    <x v="5"/>
    <s v="primera regulacion diurna"/>
    <m/>
    <x v="1"/>
    <n v="4"/>
  </r>
  <r>
    <x v="3"/>
    <x v="47"/>
    <s v="Anibal Aranda"/>
    <x v="78"/>
    <x v="0"/>
    <x v="1"/>
    <x v="5"/>
    <s v="primera regulacion diurna"/>
    <m/>
    <x v="1"/>
    <n v="4"/>
  </r>
  <r>
    <x v="0"/>
    <x v="18"/>
    <s v="Maurico Orellana"/>
    <x v="79"/>
    <x v="0"/>
    <x v="1"/>
    <x v="7"/>
    <s v="corte de agua inusual, se hace una revicion tecnica encontrando _x000a_automaticos abajo, se da acesoria para proximo evento similar."/>
    <m/>
    <x v="1"/>
    <n v="5"/>
  </r>
  <r>
    <x v="0"/>
    <x v="13"/>
    <s v="Maurico Orellana"/>
    <x v="80"/>
    <x v="0"/>
    <x v="7"/>
    <x v="22"/>
    <s v="instalacion de caudalimetro ultrasonido"/>
    <m/>
    <x v="1"/>
    <n v="5"/>
  </r>
  <r>
    <x v="0"/>
    <x v="16"/>
    <s v="Maurico Orellana"/>
    <x v="80"/>
    <x v="0"/>
    <x v="0"/>
    <x v="9"/>
    <s v="equipo desconectado por max 232 quemada, esta es remplazada_x000a_quedando equipo conectado"/>
    <m/>
    <x v="1"/>
    <n v="5"/>
  </r>
  <r>
    <x v="0"/>
    <x v="23"/>
    <s v="Maurico Orellana"/>
    <x v="80"/>
    <x v="0"/>
    <x v="7"/>
    <x v="22"/>
    <s v="cambio de caudalimetro ultrasonido por falla. sensores ultrasonido en mal estado,_x000a_estos fueron intervenidos por terceros(cables tironeados), ambos tranductores son remplazados._x000a_"/>
    <m/>
    <x v="1"/>
    <n v="5"/>
  </r>
  <r>
    <x v="7"/>
    <x v="29"/>
    <s v="Maurico Orellana"/>
    <x v="81"/>
    <x v="0"/>
    <x v="0"/>
    <x v="15"/>
    <s v="desconexion de equipo por ruido electrico, interface se vuelve a programar._x000a_se levanta en terreno que hay un corto circuito en algun lugar del establecimiento."/>
    <m/>
    <x v="1"/>
    <n v="5"/>
  </r>
  <r>
    <x v="6"/>
    <x v="7"/>
    <s v="Maurico Orellana"/>
    <x v="81"/>
    <x v="0"/>
    <x v="5"/>
    <x v="18"/>
    <s v="retiro de cir"/>
    <m/>
    <x v="1"/>
    <n v="5"/>
  </r>
  <r>
    <x v="7"/>
    <x v="27"/>
    <s v="Maurico Orellana"/>
    <x v="82"/>
    <x v="0"/>
    <x v="1"/>
    <x v="18"/>
    <s v="visita a establecimiento para realizar pruebas de caudal y presion,_x000a_llave de valvula en bypass, se comprueba buen funcionamiento _x000a_en valvulas de control cpa. se comprueba que problemas de presion es a nivel comunal _x000a_ya que no es el unico colegion que presenta problemas."/>
    <m/>
    <x v="1"/>
    <n v="5"/>
  </r>
  <r>
    <x v="7"/>
    <x v="8"/>
    <s v="Maurico Orellana"/>
    <x v="83"/>
    <x v="0"/>
    <x v="3"/>
    <x v="18"/>
    <s v="cambio de memoria en equipo placa wes."/>
    <m/>
    <x v="1"/>
    <n v="5"/>
  </r>
  <r>
    <x v="10"/>
    <x v="41"/>
    <s v="Maurico Orellana"/>
    <x v="84"/>
    <x v="0"/>
    <x v="1"/>
    <x v="13"/>
    <s v="valvula de baja sin operacion por falla en solenoide, la cual es remplazada qudando _x000a_operativo"/>
    <m/>
    <x v="1"/>
    <n v="5"/>
  </r>
  <r>
    <x v="10"/>
    <x v="41"/>
    <s v="Maurico Orellana"/>
    <x v="84"/>
    <x v="0"/>
    <x v="3"/>
    <x v="21"/>
    <s v="se visita terreno encontrando router &quot;pegado&quot;, este es _x000a_reiniciado conectandose a internet."/>
    <m/>
    <x v="1"/>
    <n v="5"/>
  </r>
  <r>
    <x v="0"/>
    <x v="23"/>
    <s v="Maurico Orellana"/>
    <x v="85"/>
    <x v="0"/>
    <x v="1"/>
    <x v="16"/>
    <s v="valvulas con detalle, cambio de solenoide en 2 valvulas de control_x000a_para su buen funcionamiento"/>
    <m/>
    <x v="1"/>
    <n v="5"/>
  </r>
  <r>
    <x v="0"/>
    <x v="19"/>
    <s v="Maurico Orellana"/>
    <x v="85"/>
    <x v="0"/>
    <x v="4"/>
    <x v="7"/>
    <s v="Equiopo cir con automaticos abajo, por intervencion de terceros,_x000a_este es restituido quedando operativo."/>
    <m/>
    <x v="1"/>
    <n v="5"/>
  </r>
  <r>
    <x v="6"/>
    <x v="30"/>
    <s v="Maurico Orellana"/>
    <x v="86"/>
    <x v="0"/>
    <x v="4"/>
    <x v="18"/>
    <s v="sab desabilitado a causa de cable de conexion a valvula de _x000a_control esta sulfatado, este es reparado quedando operativo."/>
    <m/>
    <x v="1"/>
    <n v="5"/>
  </r>
  <r>
    <x v="6"/>
    <x v="30"/>
    <s v="Maurico Orellana"/>
    <x v="86"/>
    <x v="0"/>
    <x v="4"/>
    <x v="18"/>
    <s v="equipo con detaloe en sensor de movimiento proboca mal funcionamiento _x000a_de este. se reconecta cable suelto quedando operativo"/>
    <m/>
    <x v="1"/>
    <n v="5"/>
  </r>
  <r>
    <x v="1"/>
    <x v="40"/>
    <s v="Maurico Orellana"/>
    <x v="87"/>
    <x v="0"/>
    <x v="7"/>
    <x v="6"/>
    <s v="revicion de caudalimetro, este se cetea en &quot;cero&quot; para su buena lectura"/>
    <m/>
    <x v="1"/>
    <n v="5"/>
  </r>
  <r>
    <x v="0"/>
    <x v="48"/>
    <s v="Maurico Orellana"/>
    <x v="68"/>
    <x v="0"/>
    <x v="0"/>
    <x v="15"/>
    <s v="visita por desconexion, ruido electrico desconfigura interfaz de conexion _x000a_este es reprogramado"/>
    <m/>
    <x v="1"/>
    <n v="3"/>
  </r>
  <r>
    <x v="0"/>
    <x v="13"/>
    <s v="Maurico Orellana"/>
    <x v="68"/>
    <x v="0"/>
    <x v="1"/>
    <x v="12"/>
    <s v="equipo marcando (0) a causa de sensor removido, este es fijado con amarra _x000a_metalica, chequeo de pulso ok"/>
    <m/>
    <x v="1"/>
    <n v="3"/>
  </r>
  <r>
    <x v="7"/>
    <x v="29"/>
    <s v="Maurico Orellana"/>
    <x v="88"/>
    <x v="0"/>
    <x v="7"/>
    <x v="6"/>
    <s v="visita por lecturas incorrectas, caudalimetro ultrasonico desconetado_x000a_por ruido electrico, este es reprogramado, equipo 100% operativo"/>
    <m/>
    <x v="1"/>
    <n v="3"/>
  </r>
  <r>
    <x v="14"/>
    <x v="49"/>
    <s v="Maurico Orellana"/>
    <x v="65"/>
    <x v="0"/>
    <x v="7"/>
    <x v="6"/>
    <s v="equipo ultrasonido desconfigurado ( espesor de pared) este es reconfigurado_x000a_se efectua cambio de memoria por defecto"/>
    <m/>
    <x v="1"/>
    <n v="3"/>
  </r>
  <r>
    <x v="14"/>
    <x v="49"/>
    <s v="Maurico Orellana"/>
    <x v="65"/>
    <x v="0"/>
    <x v="7"/>
    <x v="26"/>
    <s v="renovacion de silicona en tranductores mejorando señal"/>
    <m/>
    <x v="1"/>
    <n v="3"/>
  </r>
  <r>
    <x v="14"/>
    <x v="49"/>
    <s v="Maurico Orellana"/>
    <x v="89"/>
    <x v="0"/>
    <x v="3"/>
    <x v="11"/>
    <s v="visita por desconexion, max 232 quemada, esta es remplazada,_x000a_equipo recupara data"/>
    <m/>
    <x v="1"/>
    <n v="3"/>
  </r>
  <r>
    <x v="5"/>
    <x v="6"/>
    <s v="Maurico Orellana"/>
    <x v="68"/>
    <x v="0"/>
    <x v="2"/>
    <x v="18"/>
    <s v="visita por desconexion, ruido electrico provoca desconfiguracion de interfaz, _x000a_se instala condensador de 470 mf para attenuar ruido electrico"/>
    <m/>
    <x v="1"/>
    <n v="3"/>
  </r>
  <r>
    <x v="15"/>
    <x v="50"/>
    <s v="Anibal Aranda"/>
    <x v="90"/>
    <x v="5"/>
    <x v="8"/>
    <x v="18"/>
    <s v="entrega medidores retirados._x000a_"/>
    <m/>
    <x v="2"/>
    <n v="12"/>
  </r>
  <r>
    <x v="3"/>
    <x v="4"/>
    <s v="Maurico Orellana"/>
    <x v="91"/>
    <x v="0"/>
    <x v="2"/>
    <x v="18"/>
    <s v="actualisacion de codigo en microcontrolador pick it, prueba de _x000a_funcionamiento valvulas, equipo 100% operativo"/>
    <m/>
    <x v="1"/>
    <n v="3"/>
  </r>
  <r>
    <x v="12"/>
    <x v="44"/>
    <s v="Maurico Orellana"/>
    <x v="65"/>
    <x v="0"/>
    <x v="2"/>
    <x v="18"/>
    <s v="memoria defectuosa, esta es remplazada."/>
    <m/>
    <x v="1"/>
    <n v="3"/>
  </r>
  <r>
    <x v="12"/>
    <x v="51"/>
    <s v="Maurico Orellana"/>
    <x v="65"/>
    <x v="0"/>
    <x v="4"/>
    <x v="18"/>
    <s v="equipo con automatico abajo, este es restablecido, se renueva _x000a_cilicona en tranductores, mejorando señales"/>
    <m/>
    <x v="1"/>
    <n v="3"/>
  </r>
  <r>
    <x v="13"/>
    <x v="52"/>
    <s v="Maurico Orellana"/>
    <x v="65"/>
    <x v="0"/>
    <x v="7"/>
    <x v="18"/>
    <s v="visita para revicion de caudalimetro, este esta 100% operativo_x000a_se detecta consumo de 1,21m3 hora por posible fuga hidrica"/>
    <m/>
    <x v="1"/>
    <n v="3"/>
  </r>
  <r>
    <x v="4"/>
    <x v="33"/>
    <s v="Maurico Orellana"/>
    <x v="92"/>
    <x v="0"/>
    <x v="0"/>
    <x v="18"/>
    <s v="ruido electrico desprograma interfaz aparando reuter _x000a_"/>
    <m/>
    <x v="1"/>
    <n v="3"/>
  </r>
  <r>
    <x v="10"/>
    <x v="41"/>
    <s v="Anibal Aranda"/>
    <x v="93"/>
    <x v="0"/>
    <x v="1"/>
    <x v="1"/>
    <s v="valvula de alta queda cerrada momentaniamente para formacion de membrana _x000a_valvula de baja queda operando regulada al 90% llave bypass regulada para control_x000a_nocturno"/>
    <m/>
    <x v="0"/>
    <n v="10"/>
  </r>
  <r>
    <x v="10"/>
    <x v="46"/>
    <s v="Maurico Orellana"/>
    <x v="94"/>
    <x v="0"/>
    <x v="4"/>
    <x v="7"/>
    <s v="automatico caido presuntamente por terceros, este es _x000a_levantado, equipo queda operativo"/>
    <m/>
    <x v="0"/>
    <n v="10"/>
  </r>
  <r>
    <x v="10"/>
    <x v="41"/>
    <s v="Maurico Orellana"/>
    <x v="94"/>
    <x v="0"/>
    <x v="3"/>
    <x v="21"/>
    <s v="desconectividad por cobertura, equipo se vuele a conectar _x000a_a app wes"/>
    <m/>
    <x v="0"/>
    <n v="10"/>
  </r>
  <r>
    <x v="15"/>
    <x v="53"/>
    <s v="Anibal Aranda"/>
    <x v="90"/>
    <x v="5"/>
    <x v="8"/>
    <x v="18"/>
    <s v="entrega medidores retirados._x000a_"/>
    <m/>
    <x v="2"/>
    <n v="12"/>
  </r>
  <r>
    <x v="15"/>
    <x v="54"/>
    <s v="Anibal Aranda"/>
    <x v="95"/>
    <x v="1"/>
    <x v="1"/>
    <x v="18"/>
    <s v="visita de inspeccion a punto de monitoreo."/>
    <m/>
    <x v="3"/>
    <n v="2"/>
  </r>
  <r>
    <x v="3"/>
    <x v="4"/>
    <s v="Maurico Orellana"/>
    <x v="59"/>
    <x v="0"/>
    <x v="1"/>
    <x v="18"/>
    <s v="instalacion de medidor ultrasonido por medidor de turbina _x000a_defectuoso"/>
    <m/>
    <x v="1"/>
    <n v="2"/>
  </r>
  <r>
    <x v="3"/>
    <x v="4"/>
    <s v="Maurico Orellana"/>
    <x v="96"/>
    <x v="1"/>
    <x v="1"/>
    <x v="18"/>
    <s v="lectura validacion Ultrasonido 49x0,01m3_x000a_lec map A.A 9858"/>
    <m/>
    <x v="1"/>
    <n v="3"/>
  </r>
  <r>
    <x v="10"/>
    <x v="41"/>
    <s v="Maurico Orellana"/>
    <x v="97"/>
    <x v="0"/>
    <x v="1"/>
    <x v="16"/>
    <s v="valvula de control con problema de apertura a causa de solenoide _x000a_estas son remplazada, equipo operativo."/>
    <m/>
    <x v="0"/>
    <n v="9"/>
  </r>
  <r>
    <x v="10"/>
    <x v="46"/>
    <s v="Maurico Orellana"/>
    <x v="98"/>
    <x v="0"/>
    <x v="4"/>
    <x v="18"/>
    <s v="placa apagada a causa de automatico en posicion aguas abajo_x000a_este es restablecido aguas arriba, equipo 100% operativo"/>
    <m/>
    <x v="0"/>
    <n v="10"/>
  </r>
  <r>
    <x v="10"/>
    <x v="41"/>
    <s v="Maurico Orellana"/>
    <x v="98"/>
    <x v="0"/>
    <x v="1"/>
    <x v="1"/>
    <s v="cambio de membrana"/>
    <m/>
    <x v="0"/>
    <n v="10"/>
  </r>
  <r>
    <x v="10"/>
    <x v="46"/>
    <s v="Maurico Orellana"/>
    <x v="0"/>
    <x v="0"/>
    <x v="3"/>
    <x v="6"/>
    <s v="placa &quot;pegada&quot; esta es reiniciada, equipo 100% operativo"/>
    <m/>
    <x v="0"/>
    <n v="8"/>
  </r>
  <r>
    <x v="10"/>
    <x v="55"/>
    <s v="Maurico Orellana"/>
    <x v="0"/>
    <x v="0"/>
    <x v="3"/>
    <x v="6"/>
    <s v="interfas desporgramada por ruido electrico este es _x000a_reconfigurado"/>
    <m/>
    <x v="0"/>
    <n v="8"/>
  </r>
  <r>
    <x v="15"/>
    <x v="56"/>
    <s v="Anibal Aranda"/>
    <x v="95"/>
    <x v="1"/>
    <x v="1"/>
    <x v="18"/>
    <s v="visita de inspeccion a punto de monitoreo."/>
    <m/>
    <x v="3"/>
    <n v="2"/>
  </r>
  <r>
    <x v="15"/>
    <x v="50"/>
    <s v="Anibal Aranda"/>
    <x v="95"/>
    <x v="1"/>
    <x v="1"/>
    <x v="18"/>
    <s v="visita de inspeccion a punto de monitoreo."/>
    <m/>
    <x v="3"/>
    <n v="2"/>
  </r>
  <r>
    <x v="0"/>
    <x v="15"/>
    <s v="Gabriel Prieto"/>
    <x v="9"/>
    <x v="0"/>
    <x v="1"/>
    <x v="10"/>
    <s v="valvula en estado bypass, este queda 100% operativo_x000a_prueba de solenoide ok."/>
    <m/>
    <x v="0"/>
    <n v="10"/>
  </r>
  <r>
    <x v="6"/>
    <x v="30"/>
    <s v="Maurico Orellana"/>
    <x v="98"/>
    <x v="0"/>
    <x v="0"/>
    <x v="27"/>
    <s v="revicion sab baño varones sensor defectuoso, se pide recambio de este"/>
    <m/>
    <x v="0"/>
    <n v="10"/>
  </r>
  <r>
    <x v="1"/>
    <x v="36"/>
    <s v="Maurico Orellana"/>
    <x v="5"/>
    <x v="0"/>
    <x v="5"/>
    <x v="18"/>
    <s v="retiro de gabinete cir por +sensor de pulso, por cambio de _x000a_MAP este sera reinstalado"/>
    <m/>
    <x v="0"/>
    <n v="9"/>
  </r>
  <r>
    <x v="16"/>
    <x v="57"/>
    <s v="Maurico Orellana"/>
    <x v="5"/>
    <x v="0"/>
    <x v="7"/>
    <x v="6"/>
    <m/>
    <m/>
    <x v="0"/>
    <n v="9"/>
  </r>
  <r>
    <x v="16"/>
    <x v="57"/>
    <s v="Maurico Orellana"/>
    <x v="6"/>
    <x v="0"/>
    <x v="3"/>
    <x v="21"/>
    <s v="router es remplazado, equipo 100% operativo."/>
    <m/>
    <x v="0"/>
    <n v="9"/>
  </r>
  <r>
    <x v="11"/>
    <x v="58"/>
    <s v="Maurico Orellana"/>
    <x v="99"/>
    <x v="1"/>
    <x v="1"/>
    <x v="5"/>
    <s v="ultima regulacio cpa segun consumo de matriz MAP mas _x000a_activacion on/off para cpa"/>
    <m/>
    <x v="0"/>
    <n v="9"/>
  </r>
  <r>
    <x v="13"/>
    <x v="52"/>
    <s v="Maurico Orellana"/>
    <x v="100"/>
    <x v="0"/>
    <x v="1"/>
    <x v="18"/>
    <s v="equipo sin lectura, renovacion de cilicona en tranductor ltrasonido, _x000a_equipo operativo lec ultrsonido; 44755x0,01m3"/>
    <m/>
    <x v="0"/>
    <n v="7"/>
  </r>
  <r>
    <x v="13"/>
    <x v="59"/>
    <s v="Maurico Orellana"/>
    <x v="100"/>
    <x v="0"/>
    <x v="1"/>
    <x v="18"/>
    <s v="letura herronea, renovacion de cilicona en tranductor ultrasonido, cambio de memoria_x000a_equipo 100% operativo lec map12 8558m3 lec ultrasonido 587363x0,01m3"/>
    <m/>
    <x v="0"/>
    <n v="7"/>
  </r>
  <r>
    <x v="15"/>
    <x v="53"/>
    <s v="Anibal Aranda"/>
    <x v="95"/>
    <x v="1"/>
    <x v="1"/>
    <x v="18"/>
    <s v="visita de inspeccion a punto de monitoreo."/>
    <m/>
    <x v="3"/>
    <n v="2"/>
  </r>
  <r>
    <x v="7"/>
    <x v="26"/>
    <s v="Maurico Orellana"/>
    <x v="8"/>
    <x v="0"/>
    <x v="7"/>
    <x v="26"/>
    <s v="renovacion de ciliconan anductor ultrasonido."/>
    <m/>
    <x v="0"/>
    <n v="7"/>
  </r>
  <r>
    <x v="7"/>
    <x v="14"/>
    <s v="Maurico Orellana"/>
    <x v="8"/>
    <x v="0"/>
    <x v="7"/>
    <x v="26"/>
    <s v="renovacion de ciliconan anductor ultrasonido, regulacion nocturna normalizado"/>
    <m/>
    <x v="0"/>
    <n v="7"/>
  </r>
  <r>
    <x v="7"/>
    <x v="27"/>
    <s v="Maurico Orellana"/>
    <x v="7"/>
    <x v="0"/>
    <x v="7"/>
    <x v="6"/>
    <s v="equipo caudalimetro con altercion a causa de corte de luz ,este es recalibrado _x000a_equipo 100% operativo"/>
    <m/>
    <x v="0"/>
    <n v="7"/>
  </r>
  <r>
    <x v="7"/>
    <x v="38"/>
    <s v="Maurico Orellana"/>
    <x v="7"/>
    <x v="0"/>
    <x v="7"/>
    <x v="26"/>
    <s v="herror de lectura en caudalimetro ultrasonido, renovacion de cilicona_x000a_ewuipo 100% operativo"/>
    <m/>
    <x v="0"/>
    <n v="7"/>
  </r>
  <r>
    <x v="7"/>
    <x v="8"/>
    <s v="Maurico Orellana"/>
    <x v="8"/>
    <x v="1"/>
    <x v="1"/>
    <x v="5"/>
    <s v="regulacion nocturna 6.45 lt x -m"/>
    <m/>
    <x v="0"/>
    <n v="7"/>
  </r>
  <r>
    <x v="0"/>
    <x v="35"/>
    <s v="Maurico Orellana"/>
    <x v="101"/>
    <x v="1"/>
    <x v="2"/>
    <x v="3"/>
    <s v="actualizacion de codigo en integrado pik it"/>
    <m/>
    <x v="0"/>
    <n v="7"/>
  </r>
  <r>
    <x v="0"/>
    <x v="16"/>
    <s v="Maurico Orellana"/>
    <x v="101"/>
    <x v="0"/>
    <x v="0"/>
    <x v="0"/>
    <s v="placa pegada, esta es reinada y decetiada, equipo monitoriando y operativo"/>
    <m/>
    <x v="0"/>
    <n v="7"/>
  </r>
  <r>
    <x v="16"/>
    <x v="57"/>
    <s v="Maurico Orellana"/>
    <x v="102"/>
    <x v="3"/>
    <x v="8"/>
    <x v="18"/>
    <s v="instalacion punto de monitoreo wes"/>
    <m/>
    <x v="0"/>
    <n v="7"/>
  </r>
  <r>
    <x v="16"/>
    <x v="60"/>
    <s v="Maurico Orellana"/>
    <x v="102"/>
    <x v="3"/>
    <x v="8"/>
    <x v="18"/>
    <s v="instalacion punto de monitoreo wes"/>
    <m/>
    <x v="0"/>
    <n v="7"/>
  </r>
  <r>
    <x v="9"/>
    <x v="31"/>
    <s v="Anibal Aranda"/>
    <x v="102"/>
    <x v="1"/>
    <x v="9"/>
    <x v="23"/>
    <s v="lectura validacion 2028x0,01m3"/>
    <m/>
    <x v="0"/>
    <n v="7"/>
  </r>
  <r>
    <x v="9"/>
    <x v="31"/>
    <s v="Anibal Aranda"/>
    <x v="103"/>
    <x v="3"/>
    <x v="8"/>
    <x v="18"/>
    <s v="instalacion sistema monitoreo wes"/>
    <m/>
    <x v="0"/>
    <n v="7"/>
  </r>
  <r>
    <x v="7"/>
    <x v="12"/>
    <s v="Anibal Aranda"/>
    <x v="104"/>
    <x v="0"/>
    <x v="1"/>
    <x v="10"/>
    <s v="colegio con 100% del caudal el problema radica en el suministro de agua caliente _x000a_para que la presion de agua fria este en su maxima capasidad."/>
    <m/>
    <x v="0"/>
    <n v="6"/>
  </r>
  <r>
    <x v="7"/>
    <x v="38"/>
    <s v="Anibal Aranda"/>
    <x v="104"/>
    <x v="0"/>
    <x v="1"/>
    <x v="10"/>
    <s v="colegio con 100% del caudal el problema radica en el suministro de agua caliente _x000a_para que la presion de agua fria este en su maxima capasidad."/>
    <m/>
    <x v="0"/>
    <n v="6"/>
  </r>
  <r>
    <x v="7"/>
    <x v="38"/>
    <s v="Anibal Aranda"/>
    <x v="104"/>
    <x v="0"/>
    <x v="1"/>
    <x v="10"/>
    <s v="colegio con 100% del caudal el problema radica en el suministro de agua caliente _x000a_para que la presion de agua fria este en su maxima capasidad."/>
    <m/>
    <x v="0"/>
    <n v="6"/>
  </r>
  <r>
    <x v="4"/>
    <x v="5"/>
    <s v="Anibal Aranda"/>
    <x v="105"/>
    <x v="1"/>
    <x v="1"/>
    <x v="5"/>
    <s v="regulacion especial para mitigar fuga de agua, lunes a domingo._x000a_00:00-06:00 baja 40% maximo caudal 4 m3 x hora _x000a_06:00-00:00 alta 90% maximo caudal 8 m3 max x hora."/>
    <m/>
    <x v="0"/>
    <n v="7"/>
  </r>
  <r>
    <x v="17"/>
    <x v="61"/>
    <s v="Anibal Aranda"/>
    <x v="104"/>
    <x v="0"/>
    <x v="10"/>
    <x v="18"/>
    <s v="retiro cir, retiro cpa. queda pendiente retiro de porte solar"/>
    <m/>
    <x v="0"/>
    <n v="6"/>
  </r>
  <r>
    <x v="17"/>
    <x v="62"/>
    <s v="Anibal Aranda"/>
    <x v="106"/>
    <x v="0"/>
    <x v="10"/>
    <x v="18"/>
    <s v="retiro cir, retiro cpa."/>
    <m/>
    <x v="0"/>
    <n v="6"/>
  </r>
  <r>
    <x v="17"/>
    <x v="63"/>
    <s v="Anibal Aranda"/>
    <x v="107"/>
    <x v="0"/>
    <x v="10"/>
    <x v="18"/>
    <s v="retiro cir."/>
    <m/>
    <x v="0"/>
    <n v="6"/>
  </r>
  <r>
    <x v="17"/>
    <x v="64"/>
    <s v="Anibal Aranda"/>
    <x v="107"/>
    <x v="0"/>
    <x v="10"/>
    <x v="18"/>
    <s v="retiro cir."/>
    <m/>
    <x v="0"/>
    <n v="6"/>
  </r>
  <r>
    <x v="17"/>
    <x v="65"/>
    <s v="Anibal Aranda"/>
    <x v="107"/>
    <x v="0"/>
    <x v="10"/>
    <x v="18"/>
    <s v="retiro cpa, retiro cir."/>
    <m/>
    <x v="0"/>
    <n v="6"/>
  </r>
  <r>
    <x v="17"/>
    <x v="66"/>
    <s v="Anibal Aranda"/>
    <x v="105"/>
    <x v="0"/>
    <x v="10"/>
    <x v="18"/>
    <s v="retiro cpa, retiro cir."/>
    <m/>
    <x v="0"/>
    <n v="7"/>
  </r>
  <r>
    <x v="17"/>
    <x v="67"/>
    <s v="Anibal Aranda"/>
    <x v="105"/>
    <x v="0"/>
    <x v="10"/>
    <x v="18"/>
    <s v="retiro cpa, retiro cir."/>
    <m/>
    <x v="0"/>
    <n v="7"/>
  </r>
  <r>
    <x v="17"/>
    <x v="68"/>
    <s v="Anibal Aranda"/>
    <x v="108"/>
    <x v="0"/>
    <x v="10"/>
    <x v="18"/>
    <s v="retiro cepa de sala de bombas, retiro cir,_x000a_retiro cir matriz principal, retiro cpa"/>
    <m/>
    <x v="0"/>
    <n v="7"/>
  </r>
  <r>
    <x v="0"/>
    <x v="21"/>
    <s v="Maurico Orellana"/>
    <x v="109"/>
    <x v="0"/>
    <x v="1"/>
    <x v="13"/>
    <s v="reinstalacion de cpa luego de la emergencia atendida el dia miercoles _x000a_28-05-2025"/>
    <m/>
    <x v="0"/>
    <n v="6"/>
  </r>
  <r>
    <x v="0"/>
    <x v="20"/>
    <s v="Maurico Orellana"/>
    <x v="110"/>
    <x v="1"/>
    <x v="1"/>
    <x v="5"/>
    <s v="visita por corte hidrico am, equipo sin falla, chequeo de voltajes ok"/>
    <m/>
    <x v="0"/>
    <n v="6"/>
  </r>
  <r>
    <x v="0"/>
    <x v="35"/>
    <s v="Maurico Orellana"/>
    <x v="111"/>
    <x v="1"/>
    <x v="2"/>
    <x v="3"/>
    <s v="cpa con bypass activado, este es normlizado, actualizacion de codigo _x000a_en integrado pik it equipo 100% operativo"/>
    <m/>
    <x v="0"/>
    <n v="7"/>
  </r>
  <r>
    <x v="0"/>
    <x v="18"/>
    <s v="Maurico Orellana"/>
    <x v="111"/>
    <x v="1"/>
    <x v="2"/>
    <x v="3"/>
    <s v="configuracion horaria, actualisacion de codigo en integrado, pik it _x000a_valvula alta operativa, valvula de baja cerrada manual, equipo 100% operativo."/>
    <m/>
    <x v="0"/>
    <n v="7"/>
  </r>
  <r>
    <x v="0"/>
    <x v="20"/>
    <s v="Maurico Orellana"/>
    <x v="111"/>
    <x v="0"/>
    <x v="7"/>
    <x v="6"/>
    <s v="reprogramacion caudalimetro ultrasonido, bypass activado, este es normalizado _x000a_equipo 100% operativo, este es normalizado equipo 100% operativo."/>
    <m/>
    <x v="0"/>
    <n v="7"/>
  </r>
  <r>
    <x v="0"/>
    <x v="21"/>
    <s v="Maurico Orellana"/>
    <x v="111"/>
    <x v="0"/>
    <x v="1"/>
    <x v="10"/>
    <s v="cpa con bypass activado, este es normalizado equipo 100% operativo"/>
    <m/>
    <x v="0"/>
    <n v="7"/>
  </r>
  <r>
    <x v="0"/>
    <x v="17"/>
    <s v="Maurico Orellana"/>
    <x v="111"/>
    <x v="0"/>
    <x v="1"/>
    <x v="10"/>
    <s v="cpa con bypass activado, este es normalizado equipo 100% operativo"/>
    <m/>
    <x v="0"/>
    <n v="7"/>
  </r>
  <r>
    <x v="0"/>
    <x v="20"/>
    <s v="Maurico Orellana"/>
    <x v="100"/>
    <x v="0"/>
    <x v="1"/>
    <x v="16"/>
    <s v="cambio de valvula alta presion en equipo de control cpa equipo 100% operativo"/>
    <m/>
    <x v="0"/>
    <n v="7"/>
  </r>
  <r>
    <x v="0"/>
    <x v="19"/>
    <s v="Maurico Orellana"/>
    <x v="111"/>
    <x v="0"/>
    <x v="3"/>
    <x v="11"/>
    <s v="integrado de comunicacion defectuoso impide comunicacion con app wes._x000a_memoria defectuosa no guarda registro desde la ultima conexion, por lo que se detecta _x000a_que un golpe de corriente quemo ambos integrados , este es normalizado 100% operativo."/>
    <m/>
    <x v="0"/>
    <n v="7"/>
  </r>
  <r>
    <x v="0"/>
    <x v="20"/>
    <s v="Maurico Orellana"/>
    <x v="100"/>
    <x v="1"/>
    <x v="1"/>
    <x v="1"/>
    <s v="valvula de altpresion tiene problemas en la membrana s e deja la balbula de baja _x000a_regulada con presion alta durante todo el dia. se requiere realizar mantenimiento de la valvula _x000a_con un corte hidrico con 30 min maximo de corte._x000a_"/>
    <m/>
    <x v="0"/>
    <n v="7"/>
  </r>
  <r>
    <x v="0"/>
    <x v="1"/>
    <s v="Maurico Orellana"/>
    <x v="112"/>
    <x v="0"/>
    <x v="4"/>
    <x v="28"/>
    <m/>
    <s v="visita por desconexion sistema de monitoreo y control wes, a causa de cortocircuito en bodega _x000a_multicancha. con autorisacion del colegio se desempalma por completo la dependencia,_x000a_queda empalmado unicamente sistema wes."/>
    <x v="0"/>
    <n v="7"/>
  </r>
  <r>
    <x v="8"/>
    <x v="69"/>
    <s v="Anibal Aranda"/>
    <x v="113"/>
    <x v="0"/>
    <x v="4"/>
    <x v="28"/>
    <m/>
    <s v="equipo apagagado por corte electrico, se cambia fusible y memoria por daños."/>
    <x v="0"/>
    <n v="6"/>
  </r>
  <r>
    <x v="8"/>
    <x v="69"/>
    <s v="Maurico Orellana"/>
    <x v="114"/>
    <x v="0"/>
    <x v="4"/>
    <x v="28"/>
    <m/>
    <m/>
    <x v="0"/>
    <n v="7"/>
  </r>
  <r>
    <x v="5"/>
    <x v="6"/>
    <s v="Anibal Aranda"/>
    <x v="115"/>
    <x v="0"/>
    <x v="4"/>
    <x v="19"/>
    <s v="terminal de guente switchung sulfatado genera mal contacto, se remplaza_x000a_terminal dejandolo operativo._x000a_se nesesita generar relleno por socavon causado por compactacion a base de umedad _x000a_"/>
    <m/>
    <x v="0"/>
    <n v="6"/>
  </r>
  <r>
    <x v="7"/>
    <x v="14"/>
    <s v="Anibal Aranda"/>
    <x v="116"/>
    <x v="0"/>
    <x v="1"/>
    <x v="7"/>
    <s v="por manipulacion de terceros se daña cañeria de manometro provocando _x000a_la perdida de agua ._x000a_fuga fue reparada por equipo de operaciones corporacion_x000a_equipo wes sumo una linea mas de ladrillos para aumentar separacion entretapa de camara y _x000a_mnometro."/>
    <m/>
    <x v="0"/>
    <n v="7"/>
  </r>
  <r>
    <x v="1"/>
    <x v="37"/>
    <s v="Anibal Aranda"/>
    <x v="115"/>
    <x v="0"/>
    <x v="7"/>
    <x v="7"/>
    <s v="Equipo reubicado por pae queda mal instalado,sensor inductivo y desconectado de comunicacion lan_x000a_por lo que desde martes 10-06-2025 no registra data."/>
    <m/>
    <x v="0"/>
    <n v="6"/>
  </r>
  <r>
    <x v="1"/>
    <x v="37"/>
    <s v="Maurico Orellana"/>
    <x v="100"/>
    <x v="0"/>
    <x v="0"/>
    <x v="0"/>
    <s v="placa *pegada* regrabado de codigo en microcontrolador pick it reparacion interfas de conexion _x000a_equipo monitoreando y operativo."/>
    <m/>
    <x v="0"/>
    <n v="7"/>
  </r>
  <r>
    <x v="14"/>
    <x v="70"/>
    <s v="Maurico Orellana"/>
    <x v="100"/>
    <x v="0"/>
    <x v="3"/>
    <x v="11"/>
    <s v="integrado max 232 defectuosa , esta es remplazada. router amplimax con señal debil_x000a_se coordina reubicacion para dejarlo a exterior de sala bombas."/>
    <m/>
    <x v="0"/>
    <n v="7"/>
  </r>
  <r>
    <x v="3"/>
    <x v="4"/>
    <s v="Anibal Aranda"/>
    <x v="111"/>
    <x v="0"/>
    <x v="1"/>
    <x v="12"/>
    <s v="se cambia sensor de pulso para normalizar la correcta lectura._x000a_programacion horaria normalizada."/>
    <m/>
    <x v="0"/>
    <n v="7"/>
  </r>
  <r>
    <x v="0"/>
    <x v="20"/>
    <s v="Maurico Orellana"/>
    <x v="117"/>
    <x v="0"/>
    <x v="1"/>
    <x v="29"/>
    <s v="problema de fuga hidrica en sistema sab baños damas _x000a_este es reparado con exito."/>
    <m/>
    <x v="0"/>
    <n v="5"/>
  </r>
  <r>
    <x v="7"/>
    <x v="12"/>
    <s v="Maurico Orellana"/>
    <x v="118"/>
    <x v="0"/>
    <x v="3"/>
    <x v="11"/>
    <s v="visita por desconexion, max 232 dañada es remplazada, valvula de alta presion _x000a_con problemas a causa de solenoide defectuosa , esta es remplazada ,_x000a_equipo 100% operativo."/>
    <m/>
    <x v="0"/>
    <n v="5"/>
  </r>
  <r>
    <x v="5"/>
    <x v="6"/>
    <s v="Maurico Orellana"/>
    <x v="119"/>
    <x v="0"/>
    <x v="2"/>
    <x v="17"/>
    <s v="corte de agua se provoca por por falta de programacion hidrica dia jueves _x000a_este es programado, equipo 100% operativo."/>
    <m/>
    <x v="0"/>
    <n v="5"/>
  </r>
  <r>
    <x v="5"/>
    <x v="6"/>
    <s v="Maurico Orellana"/>
    <x v="120"/>
    <x v="0"/>
    <x v="0"/>
    <x v="9"/>
    <s v="visita por desconexion cristal de microcontrolador de reloj _x000a_sulfatado por humedad, cambio de placa sistema 100% operativo."/>
    <m/>
    <x v="0"/>
    <n v="5"/>
  </r>
  <r>
    <x v="14"/>
    <x v="49"/>
    <s v="Maurico Orellana"/>
    <x v="120"/>
    <x v="0"/>
    <x v="3"/>
    <x v="21"/>
    <s v="cambio de router por falta de conectividad, equipo 100% operativo."/>
    <m/>
    <x v="0"/>
    <n v="5"/>
  </r>
  <r>
    <x v="17"/>
    <x v="63"/>
    <s v="Maurico Orellana"/>
    <x v="120"/>
    <x v="0"/>
    <x v="2"/>
    <x v="30"/>
    <s v="sistema con peso pulso herroneo, se actualiza a peso pulso 100lt_x000a_x pulso equipo 100% operativo."/>
    <m/>
    <x v="0"/>
    <n v="5"/>
  </r>
  <r>
    <x v="8"/>
    <x v="25"/>
    <s v="Maurico Orellana"/>
    <x v="120"/>
    <x v="0"/>
    <x v="1"/>
    <x v="10"/>
    <s v="visita por bypass en valvula de control, esta es regularizada_x000a_equipo 100% operativo"/>
    <m/>
    <x v="0"/>
    <n v="5"/>
  </r>
  <r>
    <x v="0"/>
    <x v="1"/>
    <s v="Maurico Orellana"/>
    <x v="121"/>
    <x v="0"/>
    <x v="1"/>
    <x v="10"/>
    <s v="equipo cpa con valvulas de control en bypas, esta es normalizada equipo_x000a_100% operativo se comprueba funcionamiento de valvulas."/>
    <m/>
    <x v="0"/>
    <n v="5"/>
  </r>
  <r>
    <x v="0"/>
    <x v="20"/>
    <s v="Maurico Orellana"/>
    <x v="121"/>
    <x v="0"/>
    <x v="4"/>
    <x v="19"/>
    <s v="renovacion fuente de poder mas instalacion de caudalimetero _x000a_ultrasonido, lec map 78826 lec ultrasonido 15x0,1"/>
    <m/>
    <x v="0"/>
    <n v="5"/>
  </r>
  <r>
    <x v="0"/>
    <x v="17"/>
    <s v="Maurico Orellana"/>
    <x v="121"/>
    <x v="0"/>
    <x v="1"/>
    <x v="10"/>
    <s v="valvula de control sin corte nocturno, valvulas de control en bypass, esto es_x000a_regularizado_x000a_extencion horaria apertura hidrica 04:50."/>
    <m/>
    <x v="0"/>
    <n v="5"/>
  </r>
  <r>
    <x v="0"/>
    <x v="23"/>
    <s v="Maurico Orellana"/>
    <x v="122"/>
    <x v="1"/>
    <x v="7"/>
    <x v="31"/>
    <s v="instalacio de caudalimetro y sensores ultrasonido_x000a_equipo 100% operativo"/>
    <m/>
    <x v="0"/>
    <n v="5"/>
  </r>
  <r>
    <x v="14"/>
    <x v="49"/>
    <s v="Anibal Aranda"/>
    <x v="123"/>
    <x v="1"/>
    <x v="3"/>
    <x v="21"/>
    <s v="router pegado, se reconfigura dejando equipo conectado."/>
    <m/>
    <x v="0"/>
    <n v="5"/>
  </r>
  <r>
    <x v="14"/>
    <x v="70"/>
    <s v="Anibal Aranda"/>
    <x v="123"/>
    <x v="0"/>
    <x v="7"/>
    <x v="26"/>
    <s v="sensor ultrasonico sin pasta de conexion, se aplica pasta."/>
    <m/>
    <x v="0"/>
    <n v="5"/>
  </r>
  <r>
    <x v="0"/>
    <x v="1"/>
    <s v="Maurico Orellana"/>
    <x v="124"/>
    <x v="0"/>
    <x v="7"/>
    <x v="6"/>
    <s v="reinstalacion sistema cir wes mas sensor ultrasonido para medicion de _x000a_caudal (caudalimetro) equipo 100% operativo. lec ultrasonido 94x0,01_x000a_map 273929"/>
    <m/>
    <x v="0"/>
    <n v="5"/>
  </r>
  <r>
    <x v="0"/>
    <x v="19"/>
    <s v="Maurico Orellana"/>
    <x v="125"/>
    <x v="1"/>
    <x v="7"/>
    <x v="22"/>
    <s v="instalacion de caudalimetro ultrasonido_x000a_equipo 100% operativo"/>
    <m/>
    <x v="0"/>
    <n v="5"/>
  </r>
  <r>
    <x v="0"/>
    <x v="1"/>
    <s v="Maurico Orellana"/>
    <x v="125"/>
    <x v="1"/>
    <x v="9"/>
    <x v="32"/>
    <s v="lec ultrasonido; 26401 lec map 274001"/>
    <m/>
    <x v="0"/>
    <n v="5"/>
  </r>
  <r>
    <x v="8"/>
    <x v="69"/>
    <s v="Maurico Orellana"/>
    <x v="126"/>
    <x v="1"/>
    <x v="9"/>
    <x v="32"/>
    <s v="lectura validacion sistema wes lec; 7632"/>
    <m/>
    <x v="0"/>
    <n v="3"/>
  </r>
  <r>
    <x v="8"/>
    <x v="69"/>
    <s v="Maurico Orellana"/>
    <x v="127"/>
    <x v="0"/>
    <x v="4"/>
    <x v="28"/>
    <s v="equipo apagado a causa de diferencial caido en tablero electrico_x000a_cambio de integrado max232 equipo 100% operativo."/>
    <m/>
    <x v="0"/>
    <n v="5"/>
  </r>
  <r>
    <x v="8"/>
    <x v="24"/>
    <s v="Maurico Orellana"/>
    <x v="126"/>
    <x v="1"/>
    <x v="9"/>
    <x v="32"/>
    <s v="lec validacion lec map 1371 lec ultrasonido _x000a_4278x0,01m3"/>
    <m/>
    <x v="0"/>
    <n v="3"/>
  </r>
  <r>
    <x v="1"/>
    <x v="36"/>
    <s v="Anibal Aranda"/>
    <x v="128"/>
    <x v="1"/>
    <x v="4"/>
    <x v="25"/>
    <s v="reubicacion cir wes"/>
    <m/>
    <x v="0"/>
    <n v="4"/>
  </r>
  <r>
    <x v="13"/>
    <x v="59"/>
    <s v="Maurico Orellana"/>
    <x v="129"/>
    <x v="6"/>
    <x v="8"/>
    <x v="18"/>
    <s v="instalacion cpa en matriz principal tupper _x000a_equipo operativo"/>
    <m/>
    <x v="0"/>
    <n v="2"/>
  </r>
  <r>
    <x v="17"/>
    <x v="71"/>
    <s v="Maurico Orellana"/>
    <x v="130"/>
    <x v="0"/>
    <x v="10"/>
    <x v="18"/>
    <s v="retiro de cpa en punto de control"/>
    <m/>
    <x v="0"/>
    <n v="2"/>
  </r>
  <r>
    <x v="17"/>
    <x v="72"/>
    <s v="Maurico Orellana"/>
    <x v="131"/>
    <x v="0"/>
    <x v="10"/>
    <x v="18"/>
    <s v="retiro de cpa en punto de control administracion."/>
    <m/>
    <x v="0"/>
    <n v="2"/>
  </r>
  <r>
    <x v="17"/>
    <x v="73"/>
    <s v="Maurico Orellana"/>
    <x v="132"/>
    <x v="0"/>
    <x v="5"/>
    <x v="18"/>
    <s v="retiro tablero cir wes en punto de monitoreo carmen y artemio."/>
    <m/>
    <x v="0"/>
    <n v="1"/>
  </r>
  <r>
    <x v="17"/>
    <x v="72"/>
    <s v="Maurico Orellana"/>
    <x v="133"/>
    <x v="0"/>
    <x v="5"/>
    <x v="18"/>
    <s v="retiro de tablero cir en punto administracion y simulacion _x000a_equipos sin energia electrica."/>
    <m/>
    <x v="0"/>
    <n v="1"/>
  </r>
  <r>
    <x v="17"/>
    <x v="67"/>
    <s v="Maurico Orellana"/>
    <x v="134"/>
    <x v="1"/>
    <x v="1"/>
    <x v="5"/>
    <s v="regulacion nocturna en cpa impulsion anterior mete 13m3 hora_x000a_actual mente se regula a 5m3hora, cambio de membrana en valvula de control _x000a_baja, equipo 100% operativo."/>
    <m/>
    <x v="0"/>
    <n v="3"/>
  </r>
  <r>
    <x v="17"/>
    <x v="63"/>
    <s v="Maurico Orellana"/>
    <x v="134"/>
    <x v="1"/>
    <x v="2"/>
    <x v="3"/>
    <s v="desconexion por ruido en placa descpnfigurada, acutualisacion en _x000a_microcontrolador pick it equipo 100% operativo."/>
    <m/>
    <x v="0"/>
    <n v="3"/>
  </r>
  <r>
    <x v="7"/>
    <x v="9"/>
    <s v="Maurico Orellana"/>
    <x v="135"/>
    <x v="1"/>
    <x v="9"/>
    <x v="32"/>
    <s v="lec map 11768 lec wes x37929 9% rendimieno."/>
    <m/>
    <x v="0"/>
    <n v="2"/>
  </r>
  <r>
    <x v="7"/>
    <x v="14"/>
    <s v="Anibal Aranda"/>
    <x v="135"/>
    <x v="1"/>
    <x v="9"/>
    <x v="32"/>
    <s v="lec map 123266 lec wes 319140x0,01m3 18% rendimieno."/>
    <m/>
    <x v="0"/>
    <n v="2"/>
  </r>
  <r>
    <x v="17"/>
    <x v="74"/>
    <s v="Anibal Aranda"/>
    <x v="136"/>
    <x v="0"/>
    <x v="4"/>
    <x v="19"/>
    <s v="alza de voltaje daña equipo de control, se cambio placa con todo sus componentes _x000a_ademas de cambio fuente de poder, equipo queda normalizado"/>
    <m/>
    <x v="0"/>
    <n v="2"/>
  </r>
  <r>
    <x v="3"/>
    <x v="4"/>
    <s v="Anibal Aranda"/>
    <x v="137"/>
    <x v="0"/>
    <x v="3"/>
    <x v="11"/>
    <s v="problemas de max 232 se cambia dejando conexion con app wes, actualisacion de codigo pick_x000a_actualizacion de router."/>
    <m/>
    <x v="0"/>
    <n v="2"/>
  </r>
  <r>
    <x v="18"/>
    <x v="75"/>
    <s v="Anibal Aranda"/>
    <x v="138"/>
    <x v="0"/>
    <x v="3"/>
    <x v="11"/>
    <s v="punto desconectado por integado de comunicacion, se realiza el_x000a_cambio quedando 100% operativo, se actualiza codigo pick"/>
    <m/>
    <x v="0"/>
    <n v="2"/>
  </r>
  <r>
    <x v="1"/>
    <x v="40"/>
    <s v="Anibal Aranda"/>
    <x v="138"/>
    <x v="0"/>
    <x v="4"/>
    <x v="7"/>
    <s v="programacion medidor sala de bombas _x000a_gabinete 7 poniente golpeado por camiones."/>
    <m/>
    <x v="0"/>
    <n v="2"/>
  </r>
  <r>
    <x v="13"/>
    <x v="59"/>
    <s v="Anibal Aranda"/>
    <x v="139"/>
    <x v="0"/>
    <x v="1"/>
    <x v="10"/>
    <s v="activacion bypass por corte electrico, instalacion de gabinete para diferencial y_x000a_automatico wes."/>
    <m/>
    <x v="0"/>
    <n v="2"/>
  </r>
  <r>
    <x v="18"/>
    <x v="76"/>
    <s v="Anibal Aranda"/>
    <x v="139"/>
    <x v="1"/>
    <x v="1"/>
    <x v="12"/>
    <s v="instalacion sensorde pulso remplazo de ultrasonido"/>
    <m/>
    <x v="0"/>
    <n v="2"/>
  </r>
  <r>
    <x v="0"/>
    <x v="17"/>
    <s v="Anibal Aranda"/>
    <x v="29"/>
    <x v="0"/>
    <x v="1"/>
    <x v="16"/>
    <s v="se normalisan solenoides fuga nocturna 4m3xHora"/>
    <m/>
    <x v="0"/>
    <n v="1"/>
  </r>
  <r>
    <x v="17"/>
    <x v="62"/>
    <s v="Anibal Aranda"/>
    <x v="29"/>
    <x v="0"/>
    <x v="1"/>
    <x v="10"/>
    <s v="sanitaria entrega bajo caudal y 1 bar de presio, cambio sensor de puslo_x000a_se normaliza control nocturno 00:01-06:00, caudal max 650 LxM"/>
    <m/>
    <x v="0"/>
    <n v="1"/>
  </r>
  <r>
    <x v="17"/>
    <x v="66"/>
    <s v="Anibal Aranda"/>
    <x v="28"/>
    <x v="0"/>
    <x v="1"/>
    <x v="10"/>
    <s v="se aumenta flujo hudrico nocturno 40% del total_x000a_equivalente a 12.000 litros por hora."/>
    <m/>
    <x v="0"/>
    <n v="1"/>
  </r>
  <r>
    <x v="17"/>
    <x v="67"/>
    <s v="Anibal Aranda"/>
    <x v="140"/>
    <x v="0"/>
    <x v="1"/>
    <x v="13"/>
    <s v="se cambia brida quebrada en cpa, equipo 100% operativo."/>
    <m/>
    <x v="0"/>
    <n v="2"/>
  </r>
  <r>
    <x v="17"/>
    <x v="61"/>
    <s v="Maurico Orellana"/>
    <x v="141"/>
    <x v="0"/>
    <x v="3"/>
    <x v="21"/>
    <s v="visita por desconexion, router con funcionamiento intermitente, se requiere _x000a_renovacion, equipo conectado y operativo."/>
    <m/>
    <x v="0"/>
    <n v="3"/>
  </r>
  <r>
    <x v="6"/>
    <x v="7"/>
    <s v="Maurico Orellana"/>
    <x v="129"/>
    <x v="0"/>
    <x v="4"/>
    <x v="28"/>
    <s v="visita por desconexion de equipo, se encuentra automatico diferencial aguas abajo,_x000a_dejando sin suministro electrico a cir wes, este es encendido quedando 100% operativo."/>
    <m/>
    <x v="0"/>
    <n v="2"/>
  </r>
  <r>
    <x v="4"/>
    <x v="5"/>
    <s v="Maurico Orellana"/>
    <x v="142"/>
    <x v="0"/>
    <x v="1"/>
    <x v="5"/>
    <s v="visita para regularisacion caudal nocturno, fuga 2.6m3 x hora., regulacion _x000a_acordada 1.4m3 x hora. eqiupo 100% operativo"/>
    <m/>
    <x v="0"/>
    <n v="1"/>
  </r>
  <r>
    <x v="17"/>
    <x v="73"/>
    <s v="Maurico Orellana"/>
    <x v="143"/>
    <x v="0"/>
    <x v="10"/>
    <x v="18"/>
    <s v="retiro artefacto de control hidrco cpa, retiro gabinete metalico , pedestal metalico."/>
    <m/>
    <x v="0"/>
    <n v="1"/>
  </r>
  <r>
    <x v="17"/>
    <x v="74"/>
    <s v="Anibal Aranda"/>
    <x v="135"/>
    <x v="0"/>
    <x v="1"/>
    <x v="16"/>
    <s v="cambio de solenoide NO a NC para en caso de cortes electrico _x000a_o fallas del equipo wes se abran las valvulas."/>
    <m/>
    <x v="0"/>
    <n v="2"/>
  </r>
  <r>
    <x v="17"/>
    <x v="61"/>
    <s v="Anibal Aranda"/>
    <x v="144"/>
    <x v="0"/>
    <x v="1"/>
    <x v="10"/>
    <s v="normalisacion de control nocturno, actualizacion en integrado codigo pik it"/>
    <m/>
    <x v="0"/>
    <n v="2"/>
  </r>
  <r>
    <x v="18"/>
    <x v="75"/>
    <s v="Anibal Aranda"/>
    <x v="135"/>
    <x v="0"/>
    <x v="3"/>
    <x v="11"/>
    <s v="integrado max 232 se cambia por falla, se restablese conectividad,_x000a_cambio de memoria, se pierde la data."/>
    <m/>
    <x v="0"/>
    <n v="2"/>
  </r>
  <r>
    <x v="13"/>
    <x v="45"/>
    <s v="Anibal Aranda"/>
    <x v="128"/>
    <x v="0"/>
    <x v="3"/>
    <x v="11"/>
    <s v="placa de comunicacion rs232 a lan quemada , se _x000a_remplaza dejando el punto conectado a app wes."/>
    <m/>
    <x v="0"/>
    <n v="4"/>
  </r>
  <r>
    <x v="1"/>
    <x v="40"/>
    <s v="Maurico Orellana"/>
    <x v="131"/>
    <x v="1"/>
    <x v="9"/>
    <x v="32"/>
    <s v="actualisacion reset lectura caudalimetro ultrasonido lec; 45378x0,01m3_x000a_actualizacion reset a placa electronica"/>
    <m/>
    <x v="0"/>
    <n v="2"/>
  </r>
  <r>
    <x v="4"/>
    <x v="32"/>
    <s v="Maurico Orellana"/>
    <x v="145"/>
    <x v="0"/>
    <x v="7"/>
    <x v="6"/>
    <s v="euipo desprogramado por ruido en placa wes. _x000a_actualisacion de codigo en microprosesador pik it, _x000a_equipo conectado y monitoriando."/>
    <m/>
    <x v="0"/>
    <n v="3"/>
  </r>
  <r>
    <x v="17"/>
    <x v="62"/>
    <s v="Anibal Aranda"/>
    <x v="146"/>
    <x v="0"/>
    <x v="1"/>
    <x v="16"/>
    <s v="cable comun alimentacion solenoide cortado no entregando el voltaje de 12 v _x000a_a solenoide lo que deja sin apertura a valvula de control, se remplaza cable_x000a_dejando equipo 100% operativo"/>
    <m/>
    <x v="0"/>
    <n v="3"/>
  </r>
  <r>
    <x v="0"/>
    <x v="48"/>
    <s v="Maurico Orellana"/>
    <x v="147"/>
    <x v="0"/>
    <x v="3"/>
    <x v="11"/>
    <s v="visita por desconexion, cambio de integrado _x000a_max 232, equipo 100% operativo."/>
    <m/>
    <x v="0"/>
    <n v="3"/>
  </r>
  <r>
    <x v="4"/>
    <x v="5"/>
    <s v="Maurico Orellana"/>
    <x v="148"/>
    <x v="0"/>
    <x v="1"/>
    <x v="5"/>
    <s v="regulacion nocturna 1100 lt x hora."/>
    <m/>
    <x v="0"/>
    <n v="4"/>
  </r>
  <r>
    <x v="18"/>
    <x v="77"/>
    <s v="Maurico Orellana"/>
    <x v="149"/>
    <x v="0"/>
    <x v="0"/>
    <x v="2"/>
    <s v="visita por desconexion de equipo, 30 min de desface en horario no permite _x000a_que la maquina conecte con app wes , esta es actualizada, equipo de monitoreo _x000a_100% operativo"/>
    <m/>
    <x v="0"/>
    <n v="4"/>
  </r>
  <r>
    <x v="7"/>
    <x v="8"/>
    <s v="Maurico Orellana"/>
    <x v="127"/>
    <x v="0"/>
    <x v="1"/>
    <x v="10"/>
    <s v="visita por apertura de llave emergencia, se acusa poco caudal en bañon de porteria._x000a_sin envargo baño de damas tiene exelente caudal , de todas maneras es regulada llave de paso _x000a_en valvula de control, se realiza prueba de apertura y corte en valvulas baja y alta presion _x000a_manometro marcando 2bar de presion disponible, equipo 100% operativo."/>
    <m/>
    <x v="0"/>
    <n v="5"/>
  </r>
  <r>
    <x v="12"/>
    <x v="78"/>
    <s v="Anibal Aranda"/>
    <x v="150"/>
    <x v="0"/>
    <x v="1"/>
    <x v="13"/>
    <s v="se encuentra tuberia de sensor dañado, se repara tuberia y cable cortado."/>
    <m/>
    <x v="0"/>
    <n v="4"/>
  </r>
  <r>
    <x v="12"/>
    <x v="78"/>
    <s v="Anibal Aranda"/>
    <x v="150"/>
    <x v="0"/>
    <x v="1"/>
    <x v="13"/>
    <s v="se encuentra tuberia de sensor dañado, se repara tuberia y cable cortado."/>
    <m/>
    <x v="0"/>
    <n v="4"/>
  </r>
  <r>
    <x v="12"/>
    <x v="51"/>
    <s v="Anibal Aranda"/>
    <x v="150"/>
    <x v="1"/>
    <x v="7"/>
    <x v="22"/>
    <s v="se instala sensor ultrasonido para mejorar monitoreo wes."/>
    <m/>
    <x v="0"/>
    <n v="4"/>
  </r>
  <r>
    <x v="8"/>
    <x v="25"/>
    <s v="Maurico Orellana"/>
    <x v="151"/>
    <x v="0"/>
    <x v="1"/>
    <x v="10"/>
    <s v="visita por apertura bypass en valvula de control, esta es regularizada_x000a_equipo 100% operativo."/>
    <m/>
    <x v="0"/>
    <n v="5"/>
  </r>
  <r>
    <x v="8"/>
    <x v="25"/>
    <s v="Maurico Orellana"/>
    <x v="128"/>
    <x v="0"/>
    <x v="1"/>
    <x v="10"/>
    <s v="visita por apertura bypass en valvula de control, esta es regularizada_x000a_equipo 100% operativo."/>
    <m/>
    <x v="0"/>
    <n v="4"/>
  </r>
  <r>
    <x v="0"/>
    <x v="13"/>
    <s v="Anibal Aranda"/>
    <x v="152"/>
    <x v="0"/>
    <x v="4"/>
    <x v="28"/>
    <s v="equipo sab desenergizado deja sin funcionamiento baño de damas,_x000a_baño de varones con valvula sin corte total, esta se ajusta _x000a_quedando 100% operativa."/>
    <m/>
    <x v="0"/>
    <n v="3"/>
  </r>
  <r>
    <x v="0"/>
    <x v="16"/>
    <s v="Maurico Orellana"/>
    <x v="127"/>
    <x v="0"/>
    <x v="4"/>
    <x v="7"/>
    <s v="revivio de equipo, 100% operativo"/>
    <m/>
    <x v="0"/>
    <n v="5"/>
  </r>
  <r>
    <x v="0"/>
    <x v="21"/>
    <s v="Maurico Orellana"/>
    <x v="153"/>
    <x v="0"/>
    <x v="4"/>
    <x v="7"/>
    <s v="revivio de equipo, 100% operativo"/>
    <m/>
    <x v="0"/>
    <n v="3"/>
  </r>
  <r>
    <x v="0"/>
    <x v="20"/>
    <s v="Maurico Orellana"/>
    <x v="153"/>
    <x v="0"/>
    <x v="4"/>
    <x v="7"/>
    <s v="revicion de sistema, prueba de valvulas ok, sensor de pulso es retirado,_x000a_por intervencion de aguas andinas, se proyecta instalacion de equipo ultrasonido."/>
    <m/>
    <x v="0"/>
    <n v="3"/>
  </r>
  <r>
    <x v="0"/>
    <x v="0"/>
    <s v="Maurico Orellana"/>
    <x v="154"/>
    <x v="0"/>
    <x v="1"/>
    <x v="13"/>
    <s v="problema de control en sab baño damas, requiere cambio de placa._x000a_equipo de monitoreo 100% operativo."/>
    <m/>
    <x v="0"/>
    <n v="3"/>
  </r>
  <r>
    <x v="0"/>
    <x v="19"/>
    <s v="Maurico Orellana"/>
    <x v="153"/>
    <x v="1"/>
    <x v="0"/>
    <x v="15"/>
    <s v="prueva de funcionamiento en valvulas de contro,_x000a_equipo operativo."/>
    <m/>
    <x v="0"/>
    <n v="3"/>
  </r>
  <r>
    <x v="0"/>
    <x v="18"/>
    <s v="Maurico Orellana"/>
    <x v="153"/>
    <x v="1"/>
    <x v="0"/>
    <x v="15"/>
    <s v="prueva de funcionamiento en valvulas de contro,_x000a_equipo 100% operativo."/>
    <m/>
    <x v="0"/>
    <n v="3"/>
  </r>
  <r>
    <x v="0"/>
    <x v="21"/>
    <s v="Maurico Orellana"/>
    <x v="149"/>
    <x v="1"/>
    <x v="1"/>
    <x v="33"/>
    <s v="cambio de valvula control en cpa , equipo 100% operativo."/>
    <m/>
    <x v="0"/>
    <n v="4"/>
  </r>
  <r>
    <x v="0"/>
    <x v="16"/>
    <s v="Maurico Orellana"/>
    <x v="153"/>
    <x v="1"/>
    <x v="0"/>
    <x v="15"/>
    <s v="equipo monitoriandon correctamente."/>
    <m/>
    <x v="0"/>
    <n v="3"/>
  </r>
  <r>
    <x v="0"/>
    <x v="21"/>
    <s v="Maurico Orellana"/>
    <x v="155"/>
    <x v="0"/>
    <x v="4"/>
    <x v="34"/>
    <s v="cambio de placa wes en tablero cir por defecto en alimentacion a valvulas de control, _x000a_equipo 100% operativo."/>
    <m/>
    <x v="0"/>
    <n v="4"/>
  </r>
  <r>
    <x v="0"/>
    <x v="18"/>
    <s v="Anibal Aranda"/>
    <x v="156"/>
    <x v="1"/>
    <x v="1"/>
    <x v="33"/>
    <s v="cambio de valvulas por mantenimiento preventivo_x000a_horario de presiom 90% 06:00-1900* 0%19:00-06:00"/>
    <m/>
    <x v="0"/>
    <n v="4"/>
  </r>
  <r>
    <x v="0"/>
    <x v="21"/>
    <s v="Anibal Aranda"/>
    <x v="156"/>
    <x v="1"/>
    <x v="1"/>
    <x v="33"/>
    <s v="mantenimiento valvula de alta presion cpa wes."/>
    <m/>
    <x v="0"/>
    <n v="4"/>
  </r>
  <r>
    <x v="0"/>
    <x v="13"/>
    <s v="Maurico Orellana"/>
    <x v="157"/>
    <x v="0"/>
    <x v="1"/>
    <x v="12"/>
    <s v="revicion sab baños hombre y mujer, sistemas 100% operativo._x000a_se encuentra sensor de pulso fuera de MAP, este es reinstalado._x000a_equipo de monitoreo 100% operativo."/>
    <m/>
    <x v="0"/>
    <n v="1"/>
  </r>
  <r>
    <x v="0"/>
    <x v="17"/>
    <s v="Maurico Orellana"/>
    <x v="133"/>
    <x v="0"/>
    <x v="0"/>
    <x v="9"/>
    <s v="sab con falla de poteciometro, descargas estanques cada 5 min ,_x000a_by pass en vavula de control baño hombre, valvula de control defectuosa _x000a_vambio de valvula + solenoide + cambio de potenciometro , equipos sab 100% operativo."/>
    <m/>
    <x v="0"/>
    <n v="1"/>
  </r>
  <r>
    <x v="0"/>
    <x v="20"/>
    <s v="Maurico Orellana"/>
    <x v="133"/>
    <x v="0"/>
    <x v="0"/>
    <x v="9"/>
    <s v="revicion sistema sab baños, cambio de voltimetro por falla,_x000a_este es remplazado qudando 100% operativo."/>
    <m/>
    <x v="0"/>
    <n v="1"/>
  </r>
  <r>
    <x v="0"/>
    <x v="21"/>
    <s v="Maurico Orellana"/>
    <x v="133"/>
    <x v="0"/>
    <x v="0"/>
    <x v="9"/>
    <s v="cambio de dos potenciometros, cambio de membrana _x000a_en valvula de contrl defectuosa, tiempo de llenado de estanque _x000a_5:40 min."/>
    <m/>
    <x v="0"/>
    <n v="1"/>
  </r>
  <r>
    <x v="7"/>
    <x v="38"/>
    <s v="Anibal Aranda"/>
    <x v="158"/>
    <x v="0"/>
    <x v="1"/>
    <x v="5"/>
    <s v="aumento de presion nocturna a 5%"/>
    <m/>
    <x v="0"/>
    <n v="4"/>
  </r>
  <r>
    <x v="5"/>
    <x v="6"/>
    <s v="Anibal Aranda"/>
    <x v="159"/>
    <x v="1"/>
    <x v="1"/>
    <x v="5"/>
    <s v="regulacion cpa wes"/>
    <m/>
    <x v="0"/>
    <n v="4"/>
  </r>
  <r>
    <x v="17"/>
    <x v="65"/>
    <s v="Anibal Aranda"/>
    <x v="160"/>
    <x v="0"/>
    <x v="2"/>
    <x v="17"/>
    <s v="configuracion de placa errada (hora-id-etc)_x000a_se actualiza microcontrolador pick it con ultimo codigo."/>
    <m/>
    <x v="0"/>
    <n v="4"/>
  </r>
  <r>
    <x v="4"/>
    <x v="5"/>
    <s v="Anibal Aranda"/>
    <x v="128"/>
    <x v="1"/>
    <x v="9"/>
    <x v="35"/>
    <s v="termino auditoria sin wes, comienzo auditoria con wes lec; 109448"/>
    <m/>
    <x v="0"/>
    <n v="4"/>
  </r>
  <r>
    <x v="4"/>
    <x v="5"/>
    <s v="Anibal Aranda"/>
    <x v="161"/>
    <x v="1"/>
    <x v="9"/>
    <x v="35"/>
    <s v="comienzo auditoria con wes lec 108552"/>
    <m/>
    <x v="0"/>
    <n v="4"/>
  </r>
  <r>
    <x v="4"/>
    <x v="5"/>
    <s v="Anibal Aranda"/>
    <x v="162"/>
    <x v="1"/>
    <x v="9"/>
    <x v="36"/>
    <s v="lectura con wes 110982"/>
    <m/>
    <x v="0"/>
    <n v="4"/>
  </r>
  <r>
    <x v="4"/>
    <x v="5"/>
    <s v="Anibal Aranda"/>
    <x v="163"/>
    <x v="0"/>
    <x v="1"/>
    <x v="10"/>
    <s v="llave de emergencia actiada, se regula nuevamente a 1,5 m3 x hora _x000a_lectura inicio con wes 110186"/>
    <m/>
    <x v="0"/>
    <n v="4"/>
  </r>
  <r>
    <x v="7"/>
    <x v="11"/>
    <s v="Maurico Orellana"/>
    <x v="164"/>
    <x v="0"/>
    <x v="7"/>
    <x v="26"/>
    <s v="lecturas herroneas a causa de falta cilicona en tranductores ultrasonido."/>
    <m/>
    <x v="0"/>
    <n v="3"/>
  </r>
  <r>
    <x v="7"/>
    <x v="11"/>
    <s v="Maurico Orellana"/>
    <x v="164"/>
    <x v="0"/>
    <x v="7"/>
    <x v="26"/>
    <s v="lecturas herroneas a causa de falta cilicona en tranductores ultrasonido."/>
    <m/>
    <x v="0"/>
    <n v="3"/>
  </r>
  <r>
    <x v="7"/>
    <x v="14"/>
    <s v="Maurico Orellana"/>
    <x v="165"/>
    <x v="1"/>
    <x v="1"/>
    <x v="5"/>
    <s v="06:30 apretura valvula de baja, llave con caudal bajo, esta es regulada segun nesesidad _x000a_equipo operativo"/>
    <m/>
    <x v="0"/>
    <n v="3"/>
  </r>
  <r>
    <x v="7"/>
    <x v="27"/>
    <s v="Maurico Orellana"/>
    <x v="164"/>
    <x v="0"/>
    <x v="1"/>
    <x v="10"/>
    <s v="equipo se encuentra con energia electrica disponible,_x000a_falta instalavion de sensor ultrasonido _x000a_se regulariza valvula con bypass."/>
    <m/>
    <x v="0"/>
    <n v="3"/>
  </r>
  <r>
    <x v="7"/>
    <x v="28"/>
    <s v="Maurico Orellana"/>
    <x v="164"/>
    <x v="0"/>
    <x v="1"/>
    <x v="10"/>
    <s v="eqipo con bypass activado, se acusa escases hidrica en puntos mas alejados de map_x000a_valvulas de control en correcto funcionamiento"/>
    <m/>
    <x v="0"/>
    <n v="3"/>
  </r>
  <r>
    <x v="7"/>
    <x v="29"/>
    <s v="Maurico Orellana"/>
    <x v="166"/>
    <x v="1"/>
    <x v="9"/>
    <x v="35"/>
    <s v="comienzo auditoria sin wes lec map; 12175_x000a_"/>
    <m/>
    <x v="0"/>
    <n v="3"/>
  </r>
  <r>
    <x v="7"/>
    <x v="29"/>
    <s v="Maurico Orellana"/>
    <x v="166"/>
    <x v="1"/>
    <x v="9"/>
    <x v="35"/>
    <s v="comienzo auditoria sin wes lec map; 12175_x000a_"/>
    <m/>
    <x v="0"/>
    <n v="3"/>
  </r>
  <r>
    <x v="7"/>
    <x v="8"/>
    <s v="Maurico Orellana"/>
    <x v="166"/>
    <x v="1"/>
    <x v="9"/>
    <x v="35"/>
    <s v="comienzo auditoria sin wes lec map; 183144_x000a_"/>
    <m/>
    <x v="0"/>
    <n v="3"/>
  </r>
  <r>
    <x v="7"/>
    <x v="27"/>
    <s v="Maurico Orellana"/>
    <x v="166"/>
    <x v="1"/>
    <x v="9"/>
    <x v="35"/>
    <s v="comienzo auditoria sin wes lec map; 70672_x000a_"/>
    <m/>
    <x v="0"/>
    <n v="3"/>
  </r>
  <r>
    <x v="7"/>
    <x v="27"/>
    <s v="Maurico Orellana"/>
    <x v="166"/>
    <x v="1"/>
    <x v="9"/>
    <x v="35"/>
    <s v="comienzo auditoria sin wes lec map; 11146_x000a_"/>
    <m/>
    <x v="0"/>
    <n v="3"/>
  </r>
  <r>
    <x v="7"/>
    <x v="10"/>
    <s v="Maurico Orellana"/>
    <x v="166"/>
    <x v="1"/>
    <x v="9"/>
    <x v="35"/>
    <s v="comienzo auditoria sin wes lec map; 16214_x000a_"/>
    <m/>
    <x v="0"/>
    <n v="3"/>
  </r>
  <r>
    <x v="7"/>
    <x v="10"/>
    <s v="Maurico Orellana"/>
    <x v="166"/>
    <x v="1"/>
    <x v="9"/>
    <x v="35"/>
    <s v="comienzo auditoria sin wes lec map; 7713_x000a_map wes; 9538x0.01m3"/>
    <m/>
    <x v="0"/>
    <n v="3"/>
  </r>
  <r>
    <x v="7"/>
    <x v="14"/>
    <s v="Maurico Orellana"/>
    <x v="166"/>
    <x v="1"/>
    <x v="9"/>
    <x v="35"/>
    <s v="comienzo auditoria sin wes lec map; 123197_x000a_map wes; 313312x0.01m3"/>
    <m/>
    <x v="0"/>
    <n v="3"/>
  </r>
  <r>
    <x v="7"/>
    <x v="38"/>
    <s v="Maurico Orellana"/>
    <x v="166"/>
    <x v="1"/>
    <x v="9"/>
    <x v="35"/>
    <s v="comienzo auditoria sin wes lec map; 29083_x000a_map wes; 158701x0.1m3"/>
    <m/>
    <x v="0"/>
    <n v="3"/>
  </r>
  <r>
    <x v="7"/>
    <x v="26"/>
    <s v="Maurico Orellana"/>
    <x v="166"/>
    <x v="1"/>
    <x v="9"/>
    <x v="35"/>
    <s v="comienzo auditoria sin wes lec map; 11370_x000a_map wes; 121471x0.1m3"/>
    <m/>
    <x v="0"/>
    <n v="3"/>
  </r>
  <r>
    <x v="7"/>
    <x v="12"/>
    <s v="Maurico Orellana"/>
    <x v="166"/>
    <x v="1"/>
    <x v="9"/>
    <x v="35"/>
    <s v="comienzo auditoria sin wes lec map; 23508_x000a_map wes; 8210x0.1m3"/>
    <m/>
    <x v="0"/>
    <n v="3"/>
  </r>
  <r>
    <x v="7"/>
    <x v="11"/>
    <s v="Maurico Orellana"/>
    <x v="167"/>
    <x v="1"/>
    <x v="9"/>
    <x v="36"/>
    <s v="termino auditoria con wes lec map; 16611_x000a_lec wes; 36820x0,1 14 % rendimiento"/>
    <m/>
    <x v="0"/>
    <n v="3"/>
  </r>
  <r>
    <x v="7"/>
    <x v="26"/>
    <s v="Maurico Orellana"/>
    <x v="167"/>
    <x v="1"/>
    <x v="9"/>
    <x v="36"/>
    <s v="termino auditoria con wes lec map; 11522_x000a_lec wes; 70812 122178x0,1 % rendimiento"/>
    <m/>
    <x v="0"/>
    <n v="3"/>
  </r>
  <r>
    <x v="7"/>
    <x v="28"/>
    <s v="Maurico Orellana"/>
    <x v="167"/>
    <x v="1"/>
    <x v="9"/>
    <x v="36"/>
    <s v="termino auditoria con wes lec map; 20297_x000a_lec wes; 70812 29,7% rendimiento"/>
    <m/>
    <x v="0"/>
    <n v="3"/>
  </r>
  <r>
    <x v="7"/>
    <x v="10"/>
    <s v="Maurico Orellana"/>
    <x v="167"/>
    <x v="1"/>
    <x v="9"/>
    <x v="36"/>
    <s v="termino auditoria con wes lec map; 7791_x000a_lec wes; 17252x0,01 9,7% rendimiento"/>
    <m/>
    <x v="0"/>
    <n v="3"/>
  </r>
  <r>
    <x v="7"/>
    <x v="29"/>
    <s v="Maurico Orellana"/>
    <x v="167"/>
    <x v="1"/>
    <x v="9"/>
    <x v="36"/>
    <s v="termino auditoria con wes lec map; 12339_x000a_lec wes; 4383x0,1 21.7% rendimiento"/>
    <m/>
    <x v="0"/>
    <n v="3"/>
  </r>
  <r>
    <x v="7"/>
    <x v="8"/>
    <s v="Maurico Orellana"/>
    <x v="167"/>
    <x v="1"/>
    <x v="9"/>
    <x v="36"/>
    <s v="termino auditoria con wes lec map; 28683_x000a_lec wes; 183380 12.7% rendimiento"/>
    <m/>
    <x v="0"/>
    <n v="3"/>
  </r>
  <r>
    <x v="7"/>
    <x v="27"/>
    <s v="Maurico Orellana"/>
    <x v="167"/>
    <x v="1"/>
    <x v="9"/>
    <x v="36"/>
    <m/>
    <m/>
    <x v="0"/>
    <n v="3"/>
  </r>
  <r>
    <x v="7"/>
    <x v="12"/>
    <s v="Maurico Orellana"/>
    <x v="167"/>
    <x v="1"/>
    <x v="9"/>
    <x v="36"/>
    <s v="termino auditoria sin wes, comienzo auditoria con wes _x000a_lec map; 23582 lec ultrasonido wes;8737x0,1m3_x000a_"/>
    <m/>
    <x v="0"/>
    <n v="3"/>
  </r>
  <r>
    <x v="7"/>
    <x v="12"/>
    <s v="Maurico Orellana"/>
    <x v="146"/>
    <x v="1"/>
    <x v="9"/>
    <x v="36"/>
    <s v="termino auditoria sin wes, comienzo auditoria con wes _x000a_lec map; 23582 lec ultrasonido wes;8737x0,1m3_x000a_"/>
    <m/>
    <x v="0"/>
    <n v="3"/>
  </r>
  <r>
    <x v="7"/>
    <x v="38"/>
    <s v="Maurico Orellana"/>
    <x v="146"/>
    <x v="1"/>
    <x v="9"/>
    <x v="36"/>
    <s v="termino auditoria sin wes, comienzo auditoria con wes _x000a_lec map; 11704 lec map wes; 37865_x000a_"/>
    <m/>
    <x v="0"/>
    <n v="3"/>
  </r>
  <r>
    <x v="7"/>
    <x v="38"/>
    <s v="Maurico Orellana"/>
    <x v="146"/>
    <x v="1"/>
    <x v="9"/>
    <x v="36"/>
    <s v="termino auditoria sin wes, comienzo auditoria con wes _x000a_lec map; 29167 lec ultrasonido; 159036x0,1m3_x000a_"/>
    <m/>
    <x v="0"/>
    <n v="3"/>
  </r>
  <r>
    <x v="7"/>
    <x v="14"/>
    <s v="Maurico Orellana"/>
    <x v="146"/>
    <x v="1"/>
    <x v="9"/>
    <x v="36"/>
    <s v="termino auditoria sin wes, comienzo auditoria con wes _x000a_lec map; 123235 lec ultrasonido; 315698x0,01m3_x000a_"/>
    <m/>
    <x v="0"/>
    <n v="3"/>
  </r>
  <r>
    <x v="7"/>
    <x v="10"/>
    <s v="Maurico Orellana"/>
    <x v="146"/>
    <x v="1"/>
    <x v="9"/>
    <x v="36"/>
    <s v="termino auditoria sin wes, comienzo auditoria con wes _x000a_lec map; 7754 lec ultrasonido; 13571x001,1m3_x000a_"/>
    <m/>
    <x v="0"/>
    <n v="3"/>
  </r>
  <r>
    <x v="7"/>
    <x v="29"/>
    <s v="Maurico Orellana"/>
    <x v="146"/>
    <x v="1"/>
    <x v="9"/>
    <x v="36"/>
    <s v="termino auditoria sin wes, comienzo auditoria con wes _x000a_lec map; 16428 lec ultrasonido; 35862x0,1m3_x000a_"/>
    <m/>
    <x v="0"/>
    <n v="3"/>
  </r>
  <r>
    <x v="7"/>
    <x v="29"/>
    <s v="Maurico Orellana"/>
    <x v="146"/>
    <x v="1"/>
    <x v="9"/>
    <x v="36"/>
    <s v="termino auditoria sin wes, comienzo auditoria con wes _x000a_lec map; 12267 lec ultrasonido; 3982x0,1m3_x000a_"/>
    <m/>
    <x v="0"/>
    <n v="3"/>
  </r>
  <r>
    <x v="7"/>
    <x v="27"/>
    <s v="Maurico Orellana"/>
    <x v="146"/>
    <x v="1"/>
    <x v="9"/>
    <x v="36"/>
    <s v="termino auditoria sin wes, comienzo auditoria con wes _x000a_lec map; 11252 _x000a_instalacion equipo de medicion ultrasonido+ cambio de placa wes por defecto._x000a_equipo 100% operativo."/>
    <m/>
    <x v="0"/>
    <n v="3"/>
  </r>
  <r>
    <x v="7"/>
    <x v="28"/>
    <s v="Maurico Orellana"/>
    <x v="146"/>
    <x v="1"/>
    <x v="9"/>
    <x v="36"/>
    <s v="termino auditoria sin wes, comienzo auditoria con wes _x000a_lec map; 20237 lec map wes ; 70754"/>
    <m/>
    <x v="0"/>
    <n v="3"/>
  </r>
  <r>
    <x v="7"/>
    <x v="8"/>
    <s v="Maurico Orellana"/>
    <x v="146"/>
    <x v="1"/>
    <x v="9"/>
    <x v="36"/>
    <s v="termino auditoria sin wes, comienzo auditoria con wes _x000a_lec map; 183270"/>
    <m/>
    <x v="0"/>
    <n v="3"/>
  </r>
  <r>
    <x v="7"/>
    <x v="26"/>
    <s v="Maurico Orellana"/>
    <x v="146"/>
    <x v="1"/>
    <x v="9"/>
    <x v="36"/>
    <s v="termino auditoria sin wes, comienzo auditoria con wes _x000a_lec map; 11455 lec ultrasonido 121843x0,1m3"/>
    <m/>
    <x v="0"/>
    <n v="3"/>
  </r>
  <r>
    <x v="7"/>
    <x v="9"/>
    <s v="Maurico Orellana"/>
    <x v="166"/>
    <x v="1"/>
    <x v="9"/>
    <x v="35"/>
    <s v="comienzo auditoria sin wes lec map; 37795_x000a_lec map wes;11631"/>
    <m/>
    <x v="0"/>
    <n v="3"/>
  </r>
  <r>
    <x v="0"/>
    <x v="22"/>
    <s v="Maurico Orellana"/>
    <x v="129"/>
    <x v="0"/>
    <x v="0"/>
    <x v="24"/>
    <s v="visita por desconexion de equipo se encuentra automatico diferencial abajo, cortando el suministro electrico a cir wes este es encendida dejando asi el equipo operativo."/>
    <m/>
    <x v="0"/>
    <n v="2"/>
  </r>
  <r>
    <x v="17"/>
    <x v="73"/>
    <s v="Maurico Orellana"/>
    <x v="143"/>
    <x v="0"/>
    <x v="10"/>
    <x v="18"/>
    <s v="retiro de artefacto de control hidrico cpa retiro de gabinete metalico, pedestal metalico."/>
    <m/>
    <x v="0"/>
    <n v="1"/>
  </r>
  <r>
    <x v="4"/>
    <x v="5"/>
    <s v="Maurico Orellana"/>
    <x v="142"/>
    <x v="1"/>
    <x v="1"/>
    <x v="5"/>
    <s v="matriz principal.- visita para regulacion caudal nocturna, fuga noche 2,6 m3 x hr regulacion nocturna a 14 m3 x hr. prederco equipo desconectado por falla de fuente switching esta es remplazada + actualizacion de codigo pickit"/>
    <m/>
    <x v="0"/>
    <n v="1"/>
  </r>
  <r>
    <x v="13"/>
    <x v="59"/>
    <s v="Maurico Orellana"/>
    <x v="129"/>
    <x v="6"/>
    <x v="8"/>
    <x v="18"/>
    <s v="Instalacion de cpa en matriz hidrica tupper equipo operativo."/>
    <m/>
    <x v="0"/>
    <n v="2"/>
  </r>
  <r>
    <x v="17"/>
    <x v="71"/>
    <s v="Maurico Orellana"/>
    <x v="130"/>
    <x v="0"/>
    <x v="10"/>
    <x v="18"/>
    <s v="retiro de cpa de punto de control simulacion empalme ok."/>
    <m/>
    <x v="0"/>
    <n v="2"/>
  </r>
  <r>
    <x v="17"/>
    <x v="72"/>
    <s v="Maurico Orellana"/>
    <x v="131"/>
    <x v="0"/>
    <x v="5"/>
    <x v="18"/>
    <s v="retiro de cpa en punto de control administracion"/>
    <m/>
    <x v="0"/>
    <n v="2"/>
  </r>
  <r>
    <x v="17"/>
    <x v="73"/>
    <s v="Maurico Orellana"/>
    <x v="132"/>
    <x v="0"/>
    <x v="10"/>
    <x v="18"/>
    <s v="retiro de sistema sir wes en punto de monitoreo carmen y artemio."/>
    <m/>
    <x v="0"/>
    <n v="1"/>
  </r>
  <r>
    <x v="0"/>
    <x v="21"/>
    <s v="Maurico Orellana"/>
    <x v="133"/>
    <x v="0"/>
    <x v="0"/>
    <x v="9"/>
    <s v="cambio de 2 potenciometros cambio de membrana en valvula defectuosa, tiempo de llenado de estanque 5:40 min"/>
    <m/>
    <x v="0"/>
    <n v="1"/>
  </r>
  <r>
    <x v="0"/>
    <x v="17"/>
    <s v="Maurico Orellana"/>
    <x v="133"/>
    <x v="0"/>
    <x v="0"/>
    <x v="9"/>
    <s v="en baño de mujeres se realizo el cambio de un potenciometro, regulacion de descarga 5:00 min bypass activada en valvula de control. baño de hombres cambio de valvula de control mas solenoide cambio de potenciometro (2) regulacion de descarga dejandose en 5:00 min, quipos dejados operativos"/>
    <m/>
    <x v="0"/>
    <n v="1"/>
  </r>
  <r>
    <x v="0"/>
    <x v="20"/>
    <s v="Maurico Orellana"/>
    <x v="168"/>
    <x v="0"/>
    <x v="0"/>
    <x v="9"/>
    <s v="revision de sistema sab baños, cambio de voltimetro por falla (no cortaba voltaje) este es rremplazado dejando asi el equipo operativo."/>
    <m/>
    <x v="0"/>
    <n v="1"/>
  </r>
  <r>
    <x v="0"/>
    <x v="13"/>
    <s v="Maurico Orellana"/>
    <x v="157"/>
    <x v="0"/>
    <x v="0"/>
    <x v="9"/>
    <s v="revision sistema sab baños hombres/mujeres sistema se deja operativo, se encuentra sensor de pulso fuera de map este es nuevamente instalado, equipo de monitoreo y control totalmente operativo."/>
    <m/>
    <x v="0"/>
    <n v="1"/>
  </r>
  <r>
    <x v="17"/>
    <x v="72"/>
    <s v="Maurico Orellana"/>
    <x v="133"/>
    <x v="0"/>
    <x v="5"/>
    <x v="18"/>
    <s v="retiro de tablero cir, en punto administracion y simulacion equipos, sin energia electrica."/>
    <m/>
    <x v="0"/>
    <n v="1"/>
  </r>
  <r>
    <x v="17"/>
    <x v="66"/>
    <s v="Maurico Orellana"/>
    <x v="169"/>
    <x v="1"/>
    <x v="1"/>
    <x v="5"/>
    <s v="regulacion nocturna en cpa impulsion, anteriormente en 12 m3 hora, actualmente se regula a 5m3 hora cambio de membrana en valvula de control baja. equipo queda opertivo."/>
    <m/>
    <x v="4"/>
    <n v="1"/>
  </r>
  <r>
    <x v="17"/>
    <x v="63"/>
    <s v="Maurico Orellana"/>
    <x v="170"/>
    <x v="0"/>
    <x v="4"/>
    <x v="7"/>
    <s v="visita por desconecion del equipo, se encuentra automatico desenergisado_x000a_(se encuentra abajo) este se vuelve a energisar quedando equipo _x000a_100% operativo."/>
    <m/>
    <x v="0"/>
    <n v="1"/>
  </r>
  <r>
    <x v="17"/>
    <x v="73"/>
    <s v="Maurico Orellana"/>
    <x v="29"/>
    <x v="0"/>
    <x v="1"/>
    <x v="12"/>
    <s v="instalacion de nuevo sensor de pulso por cambio de MAP"/>
    <m/>
    <x v="0"/>
    <n v="1"/>
  </r>
  <r>
    <x v="7"/>
    <x v="12"/>
    <s v="Maurico Orellana"/>
    <x v="171"/>
    <x v="1"/>
    <x v="7"/>
    <x v="22"/>
    <s v="instalacion sensor ultrasonico _x000a_lec ultrasonico 4x0,1 lec medidor 22294"/>
    <m/>
    <x v="0"/>
    <n v="1"/>
  </r>
  <r>
    <x v="7"/>
    <x v="11"/>
    <s v="Maurico Orellana"/>
    <x v="172"/>
    <x v="1"/>
    <x v="7"/>
    <x v="22"/>
    <s v="cambio de artefacto de medicion, instalacion ultrasonico_x000a_lec medidor 14020 lec ultrasonico 3x0,1m3_x000a_equipo operativo_x000a_"/>
    <m/>
    <x v="0"/>
    <n v="1"/>
  </r>
  <r>
    <x v="7"/>
    <x v="38"/>
    <s v="Maurico Orellana"/>
    <x v="173"/>
    <x v="1"/>
    <x v="7"/>
    <x v="22"/>
    <s v="cambio de artefacto de medicion, instalacion ultrasonico_x000a_lec medidor 28274 lec ultrasonico 10x0,1m3_x000a_equipo operativo_x000a_"/>
    <m/>
    <x v="0"/>
    <n v="1"/>
  </r>
  <r>
    <x v="7"/>
    <x v="29"/>
    <s v="Maurico Orellana"/>
    <x v="172"/>
    <x v="1"/>
    <x v="7"/>
    <x v="22"/>
    <s v="cambio de artefacto de medicion, instalacion ultrasonico_x000a_lec medidor 11518 lec ultrasonico 2x0,1m3_x000a_equipo operativo_x000a_"/>
    <m/>
    <x v="0"/>
    <n v="1"/>
  </r>
  <r>
    <x v="13"/>
    <x v="45"/>
    <s v="Maurico Orellana"/>
    <x v="174"/>
    <x v="1"/>
    <x v="1"/>
    <x v="5"/>
    <s v="regulacion cpa con maxima capasidad en caudal alta presion 90%_x000a_baja presion 70%, chequeo de arranque en en club hause ok."/>
    <m/>
    <x v="4"/>
    <n v="8"/>
  </r>
  <r>
    <x v="13"/>
    <x v="45"/>
    <s v="Anibal Aranda"/>
    <x v="175"/>
    <x v="1"/>
    <x v="1"/>
    <x v="5"/>
    <s v="nueva regulacion horaria, lectura medidor 124055x0,01"/>
    <m/>
    <x v="4"/>
    <n v="12"/>
  </r>
  <r>
    <x v="13"/>
    <x v="45"/>
    <s v="Anibal Aranda"/>
    <x v="175"/>
    <x v="1"/>
    <x v="1"/>
    <x v="5"/>
    <s v="consumo am supera umbral de regulacion , se pasa de baja a media presion _x000a_para sub sanar la condicion."/>
    <m/>
    <x v="4"/>
    <n v="12"/>
  </r>
  <r>
    <x v="13"/>
    <x v="45"/>
    <s v="Maurico Orellana"/>
    <x v="176"/>
    <x v="0"/>
    <x v="7"/>
    <x v="6"/>
    <s v="modificacion de reseptaculo y tranductores ultrasonico_x000a_equipo operativo."/>
    <m/>
    <x v="4"/>
    <n v="10"/>
  </r>
  <r>
    <x v="6"/>
    <x v="7"/>
    <s v="Anibal Aranda"/>
    <x v="177"/>
    <x v="3"/>
    <x v="8"/>
    <x v="18"/>
    <s v="instalacion sistema de monitoreo wes"/>
    <m/>
    <x v="4"/>
    <n v="8"/>
  </r>
  <r>
    <x v="6"/>
    <x v="7"/>
    <s v="Maurico Orellana"/>
    <x v="178"/>
    <x v="0"/>
    <x v="7"/>
    <x v="26"/>
    <s v="caudalimetro ultrasonico en falla por falta de silicona en tranductores_x000a_lectura 4723x0,01 Q:90 UP86 DN:86"/>
    <m/>
    <x v="4"/>
    <n v="9"/>
  </r>
  <r>
    <x v="6"/>
    <x v="7"/>
    <s v="Maurico Orellana"/>
    <x v="179"/>
    <x v="0"/>
    <x v="4"/>
    <x v="7"/>
    <s v="equipo desenergisado a causa de terseros, es normalisado._x000a_lec ultrasoico 173429x0,01m3"/>
    <m/>
    <x v="4"/>
    <n v="11"/>
  </r>
  <r>
    <x v="6"/>
    <x v="7"/>
    <s v="Maurico Orellana"/>
    <x v="180"/>
    <x v="0"/>
    <x v="3"/>
    <x v="6"/>
    <s v="equipo desconectado, problemas en desconfiguracion de interfas_x000a_se actualiza codigo y se reprograma placa, quedando equipo operativo."/>
    <m/>
    <x v="4"/>
    <n v="10"/>
  </r>
  <r>
    <x v="6"/>
    <x v="30"/>
    <s v="Anibal Aranda"/>
    <x v="181"/>
    <x v="0"/>
    <x v="1"/>
    <x v="5"/>
    <s v="se normalisabaño varones de media._x000a_capasitacion app wes."/>
    <m/>
    <x v="4"/>
    <n v="8"/>
  </r>
  <r>
    <x v="15"/>
    <x v="79"/>
    <s v="Anibal Aranda"/>
    <x v="95"/>
    <x v="1"/>
    <x v="1"/>
    <x v="15"/>
    <s v="visita de inspeccion a punto de monitoreo."/>
    <m/>
    <x v="3"/>
    <n v="2"/>
  </r>
  <r>
    <x v="15"/>
    <x v="80"/>
    <s v="Anibal Aranda"/>
    <x v="95"/>
    <x v="1"/>
    <x v="1"/>
    <x v="15"/>
    <s v="visita de inspeccion a punto de monitoreo."/>
    <m/>
    <x v="3"/>
    <n v="2"/>
  </r>
  <r>
    <x v="15"/>
    <x v="81"/>
    <s v="Anibal Aranda"/>
    <x v="95"/>
    <x v="1"/>
    <x v="1"/>
    <x v="15"/>
    <s v="visita de inspeccion a punto de monitoreo."/>
    <m/>
    <x v="3"/>
    <n v="2"/>
  </r>
  <r>
    <x v="15"/>
    <x v="82"/>
    <s v="Anibal Aranda"/>
    <x v="95"/>
    <x v="1"/>
    <x v="1"/>
    <x v="15"/>
    <s v="visita de inspeccion a punto de monitoreo."/>
    <m/>
    <x v="3"/>
    <n v="2"/>
  </r>
  <r>
    <x v="15"/>
    <x v="83"/>
    <s v="Anibal Aranda"/>
    <x v="95"/>
    <x v="1"/>
    <x v="1"/>
    <x v="15"/>
    <s v="visita de inspeccion a punto de monitoreo."/>
    <m/>
    <x v="3"/>
    <n v="2"/>
  </r>
  <r>
    <x v="11"/>
    <x v="58"/>
    <s v="Anibal Aranda"/>
    <x v="182"/>
    <x v="0"/>
    <x v="1"/>
    <x v="16"/>
    <s v="maquina wes con llave de emergencia activada desde el dia 23-06-2023_x000a_se encuentra solenoide sin funcionamiento coinside horario con problemas hidrico en baños_x000a_se cambia solenoide dejando equipo 100% operativo_x000a_"/>
    <m/>
    <x v="4"/>
    <n v="6"/>
  </r>
  <r>
    <x v="0"/>
    <x v="35"/>
    <s v="Anibal Aranda"/>
    <x v="183"/>
    <x v="0"/>
    <x v="2"/>
    <x v="6"/>
    <s v="interfas desconfigurada, por ende router no podia trabajar_x000a_con normalidad , este es reconfigurado quedando equipo 100% operativo"/>
    <m/>
    <x v="4"/>
    <n v="12"/>
  </r>
  <r>
    <x v="0"/>
    <x v="22"/>
    <s v="Maurico Orellana"/>
    <x v="183"/>
    <x v="0"/>
    <x v="2"/>
    <x v="37"/>
    <s v="se aplica bypass en valvula de control a causa de falla en micro prosesador_x000a_cambio de memoria y micro pick it mas gabado de ultimo codigo_x000a_equipo 100% operativo"/>
    <m/>
    <x v="4"/>
    <n v="12"/>
  </r>
  <r>
    <x v="7"/>
    <x v="27"/>
    <s v="Maurico Orellana"/>
    <x v="183"/>
    <x v="0"/>
    <x v="4"/>
    <x v="7"/>
    <s v="sistema desconectado por remodelacion de todo el edificio_x000a_se habilita un empalme independiente para sistema wes, eddificio _x000a_se regularizara dentro de 15 dias, caja electrica, diferencial y automatico_x000a_fue retirado por empresa constructora."/>
    <m/>
    <x v="4"/>
    <n v="12"/>
  </r>
  <r>
    <x v="17"/>
    <x v="67"/>
    <s v="Anibal Aranda"/>
    <x v="184"/>
    <x v="0"/>
    <x v="4"/>
    <x v="19"/>
    <s v="equipo desconectado por fuente dañada, se retiran dos fuentes, _x000a_se instala fuente de ultima generacion"/>
    <m/>
    <x v="4"/>
    <n v="8"/>
  </r>
  <r>
    <x v="17"/>
    <x v="66"/>
    <s v="Maurico Orellana"/>
    <x v="185"/>
    <x v="0"/>
    <x v="1"/>
    <x v="16"/>
    <s v="visita por activacion de llave bypass en cpa red sur; cable sulfatado _x000a_provoca desconexion de solenoide en valvula de control, se remplaza canalisado y cables_x000a_equipor 100% operativo."/>
    <m/>
    <x v="4"/>
    <n v="10"/>
  </r>
  <r>
    <x v="17"/>
    <x v="71"/>
    <s v="Anibal Aranda"/>
    <x v="186"/>
    <x v="1"/>
    <x v="9"/>
    <x v="36"/>
    <s v="fin auditoria con wes lectura 76083"/>
    <m/>
    <x v="4"/>
    <n v="9"/>
  </r>
  <r>
    <x v="17"/>
    <x v="73"/>
    <s v="Maurico Orellana"/>
    <x v="187"/>
    <x v="1"/>
    <x v="9"/>
    <x v="36"/>
    <s v="termino auditoria sin control_x000a_inicio auditoria con control lectura 225581"/>
    <m/>
    <x v="4"/>
    <n v="9"/>
  </r>
  <r>
    <x v="17"/>
    <x v="73"/>
    <s v="Maurico Orellana"/>
    <x v="187"/>
    <x v="1"/>
    <x v="9"/>
    <x v="36"/>
    <s v="termino auditoria con wes 24,4% rendimiento"/>
    <m/>
    <x v="4"/>
    <n v="9"/>
  </r>
  <r>
    <x v="17"/>
    <x v="72"/>
    <s v="Maurico Orellana"/>
    <x v="188"/>
    <x v="0"/>
    <x v="4"/>
    <x v="38"/>
    <s v="cambio de bateria solar, sistema 100% operativo"/>
    <m/>
    <x v="4"/>
    <n v="9"/>
  </r>
  <r>
    <x v="17"/>
    <x v="66"/>
    <s v="Maurico Orellana"/>
    <x v="189"/>
    <x v="0"/>
    <x v="1"/>
    <x v="16"/>
    <s v="visita por apertura de bypass en valvula de control por falta de _x000a_presion, esta es regulada quedando equipo 100% operativo"/>
    <m/>
    <x v="4"/>
    <n v="8"/>
  </r>
  <r>
    <x v="17"/>
    <x v="71"/>
    <s v="Maurico Orellana"/>
    <x v="190"/>
    <x v="1"/>
    <x v="1"/>
    <x v="35"/>
    <s v="comienzo auditoria sin wes Lec tura medidor; 75068"/>
    <m/>
    <x v="4"/>
    <n v="9"/>
  </r>
  <r>
    <x v="17"/>
    <x v="72"/>
    <s v="Maurico Orellana"/>
    <x v="190"/>
    <x v="1"/>
    <x v="1"/>
    <x v="35"/>
    <s v="comienzo auditoria sin wes Lec tura medidor; 163002"/>
    <m/>
    <x v="4"/>
    <n v="9"/>
  </r>
  <r>
    <x v="18"/>
    <x v="75"/>
    <s v="Anibal Aranda"/>
    <x v="191"/>
    <x v="0"/>
    <x v="3"/>
    <x v="11"/>
    <s v="max 232 quemada, se cambia dejando equipo conectado"/>
    <m/>
    <x v="4"/>
    <n v="12"/>
  </r>
  <r>
    <x v="4"/>
    <x v="5"/>
    <s v="Anibal Aranda"/>
    <x v="191"/>
    <x v="0"/>
    <x v="1"/>
    <x v="5"/>
    <s v="llave de regulacion nocturna corrida, se normaliza para tener 0,5 m3 _x000a_nocturno."/>
    <m/>
    <x v="4"/>
    <n v="12"/>
  </r>
  <r>
    <x v="17"/>
    <x v="72"/>
    <s v="Maurico Orellana"/>
    <x v="187"/>
    <x v="1"/>
    <x v="9"/>
    <x v="36"/>
    <s v="termino de auditoria con wes lec admn 163514 34% rendimiento , lec artemio 75437 sin rendimiento"/>
    <m/>
    <x v="4"/>
    <n v="9"/>
  </r>
  <r>
    <x v="17"/>
    <x v="72"/>
    <s v="Maurico Orellana"/>
    <x v="192"/>
    <x v="1"/>
    <x v="9"/>
    <x v="35"/>
    <s v="Comienzo de auditoria con wes"/>
    <m/>
    <x v="4"/>
    <n v="9"/>
  </r>
  <r>
    <x v="17"/>
    <x v="72"/>
    <s v="Anibal Aranda"/>
    <x v="193"/>
    <x v="1"/>
    <x v="9"/>
    <x v="36"/>
    <s v="termino de auditoria sin wes comienzo de auditoria con wes lec de administracion 163311 lec de simulacion 75252"/>
    <m/>
    <x v="4"/>
    <n v="9"/>
  </r>
  <r>
    <x v="0"/>
    <x v="20"/>
    <s v="Maurico Orellana"/>
    <x v="194"/>
    <x v="0"/>
    <x v="1"/>
    <x v="8"/>
    <s v="Cambio de valvula control cpa equipo se deja ooperativo"/>
    <m/>
    <x v="4"/>
    <n v="12"/>
  </r>
  <r>
    <x v="17"/>
    <x v="73"/>
    <s v="Maurico Orellana"/>
    <x v="191"/>
    <x v="1"/>
    <x v="2"/>
    <x v="39"/>
    <s v="Punto artemio actualizacion de codigo, carmen fuente de switching quemada, requiere cammbio"/>
    <m/>
    <x v="4"/>
    <n v="12"/>
  </r>
  <r>
    <x v="17"/>
    <x v="73"/>
    <s v="Maurico Orellana"/>
    <x v="191"/>
    <x v="0"/>
    <x v="4"/>
    <x v="19"/>
    <s v="Cambio de fuente 220v a 12v, dia 13-12-2024 cambio de MAP, por lo que se requiere cambio de sensor de pulso acorde al modelo sensus"/>
    <m/>
    <x v="4"/>
    <n v="12"/>
  </r>
  <r>
    <x v="0"/>
    <x v="35"/>
    <s v="Maurico Orellana"/>
    <x v="195"/>
    <x v="0"/>
    <x v="1"/>
    <x v="29"/>
    <s v="Reparacion de fuga hidrica, salida del cpa empalme al colegio, cambio de solenoide 2 valvulas de control se deja el equipo totalmente operativo."/>
    <m/>
    <x v="4"/>
    <n v="12"/>
  </r>
  <r>
    <x v="17"/>
    <x v="68"/>
    <s v="Maurico Orellana"/>
    <x v="175"/>
    <x v="1"/>
    <x v="9"/>
    <x v="36"/>
    <s v="termino de auditoria con wes, lec matriz principal - 694648, lec sala de impulsion 629484"/>
    <m/>
    <x v="4"/>
    <n v="12"/>
  </r>
  <r>
    <x v="17"/>
    <x v="73"/>
    <s v="Maurico Orellana"/>
    <x v="190"/>
    <x v="1"/>
    <x v="9"/>
    <x v="35"/>
    <s v="Comienzo de audioria sin wes, lec 225483"/>
    <m/>
    <x v="4"/>
    <n v="9"/>
  </r>
  <r>
    <x v="17"/>
    <x v="65"/>
    <s v="Maurico Orellana"/>
    <x v="196"/>
    <x v="0"/>
    <x v="1"/>
    <x v="12"/>
    <s v="Modulo - retiro de sensor de pulso sensus y recuperacion de data, ovalo calle 14, Fusible quemado y placa apagada, este se cambia por un fusible nuevo dejando asi el equipo totalmente ooperativo."/>
    <m/>
    <x v="4"/>
    <n v="10"/>
  </r>
  <r>
    <x v="17"/>
    <x v="61"/>
    <s v="Anibal Aranda"/>
    <x v="175"/>
    <x v="1"/>
    <x v="9"/>
    <x v="36"/>
    <s v="Fin de auditoria con control 442775"/>
    <m/>
    <x v="4"/>
    <n v="12"/>
  </r>
  <r>
    <x v="17"/>
    <x v="62"/>
    <s v="Anibal Aranda"/>
    <x v="175"/>
    <x v="1"/>
    <x v="9"/>
    <x v="36"/>
    <s v="Fin de auditoria con control"/>
    <m/>
    <x v="4"/>
    <n v="12"/>
  </r>
  <r>
    <x v="17"/>
    <x v="61"/>
    <s v="Anibal Aranda"/>
    <x v="197"/>
    <x v="1"/>
    <x v="9"/>
    <x v="36"/>
    <s v="Fin Auditoria Normalizacion cpa wes, lectura a.a 441798, lectura wes 280773"/>
    <m/>
    <x v="4"/>
    <n v="12"/>
  </r>
  <r>
    <x v="17"/>
    <x v="65"/>
    <s v="Anibal Aranda"/>
    <x v="197"/>
    <x v="1"/>
    <x v="9"/>
    <x v="36"/>
    <s v="Fin auditoria wes, 100% 300 LxM"/>
    <m/>
    <x v="4"/>
    <n v="12"/>
  </r>
  <r>
    <x v="17"/>
    <x v="62"/>
    <s v="Maurico Orellana"/>
    <x v="197"/>
    <x v="1"/>
    <x v="9"/>
    <x v="35"/>
    <s v="Incio Auditoria visita revicion de medidor, se encuentra sensor de pulso fuera de posicion, comienzo de auditoria sin wes lec 448944"/>
    <m/>
    <x v="4"/>
    <n v="12"/>
  </r>
  <r>
    <x v="17"/>
    <x v="62"/>
    <s v="Maurico Orellana"/>
    <x v="197"/>
    <x v="1"/>
    <x v="9"/>
    <x v="35"/>
    <s v="comienzo de auditora con wes lec 448944"/>
    <m/>
    <x v="4"/>
    <n v="12"/>
  </r>
  <r>
    <x v="17"/>
    <x v="74"/>
    <s v="Maurico Orellana"/>
    <x v="197"/>
    <x v="1"/>
    <x v="9"/>
    <x v="35"/>
    <s v="Comienzo de audioria con wes matriz principal lec 694008 impulsion lec 629587"/>
    <m/>
    <x v="4"/>
    <n v="12"/>
  </r>
  <r>
    <x v="17"/>
    <x v="65"/>
    <s v="Maurico Orellana"/>
    <x v="175"/>
    <x v="1"/>
    <x v="9"/>
    <x v="36"/>
    <s v="termino de auditoria con wess Lec: .m principal 601395. lec ovalo novoche 629102"/>
    <m/>
    <x v="4"/>
    <n v="12"/>
  </r>
  <r>
    <x v="17"/>
    <x v="84"/>
    <s v="Maurico Orellana"/>
    <x v="198"/>
    <x v="0"/>
    <x v="0"/>
    <x v="40"/>
    <s v="desconexion por ruido electrico, esta es configurada y puesta en linea. es. del carmen, corte de luz, corta el suministro de agua, provocando asi la ativacion de llave de emergencia por terceros, luego esta es regularizada por wes y normalizada ."/>
    <m/>
    <x v="4"/>
    <n v="12"/>
  </r>
  <r>
    <x v="17"/>
    <x v="73"/>
    <s v="Maurico Orellana"/>
    <x v="199"/>
    <x v="0"/>
    <x v="3"/>
    <x v="41"/>
    <s v="Visita por desconexion, placa de comunicacion en mal estado, no funciona, esta es remplazada quedando asi el equipo conectado . activacion de codigo en procesador."/>
    <m/>
    <x v="4"/>
    <n v="12"/>
  </r>
  <r>
    <x v="17"/>
    <x v="61"/>
    <s v="Maurico Orellana"/>
    <x v="181"/>
    <x v="0"/>
    <x v="1"/>
    <x v="16"/>
    <s v="Solenoide valvula Baja presion en mal estado, esta es remplazada quedando equipo 100% operativo."/>
    <m/>
    <x v="4"/>
    <n v="8"/>
  </r>
  <r>
    <x v="17"/>
    <x v="72"/>
    <s v="Maurico Orellana"/>
    <x v="200"/>
    <x v="1"/>
    <x v="1"/>
    <x v="5"/>
    <s v="Regulacion 100% 04:00 - 01:00, 10% 01:00 - 04:00 para ambos equipos, lectura de administracion 173597, simulacion - 079547"/>
    <m/>
    <x v="4"/>
    <n v="11"/>
  </r>
  <r>
    <x v="17"/>
    <x v="62"/>
    <s v="Maurico Orellana"/>
    <x v="200"/>
    <x v="1"/>
    <x v="1"/>
    <x v="5"/>
    <s v="actualiacion de regulacion verano, 06:00 a 23:00 100% - 23:00 a 23:59 , 00:01 a 06:00 - 10%"/>
    <m/>
    <x v="4"/>
    <n v="11"/>
  </r>
  <r>
    <x v="17"/>
    <x v="65"/>
    <s v="Maurico Orellana"/>
    <x v="201"/>
    <x v="0"/>
    <x v="0"/>
    <x v="0"/>
    <s v="Desconexion por placa pegada esta es reiniciada volviendo a la normalidad, cambio en funcionamiento de valvula se desabilita alta y se activa baja equipo operativo."/>
    <m/>
    <x v="4"/>
    <n v="8"/>
  </r>
  <r>
    <x v="4"/>
    <x v="85"/>
    <s v="Maurico Orellana"/>
    <x v="202"/>
    <x v="0"/>
    <x v="0"/>
    <x v="14"/>
    <s v="Cambio de memoria, actualizacion de codigo en procesador equipo 100% operativo"/>
    <m/>
    <x v="0"/>
    <n v="1"/>
  </r>
  <r>
    <x v="4"/>
    <x v="86"/>
    <s v="Maurico Orellana"/>
    <x v="202"/>
    <x v="0"/>
    <x v="5"/>
    <x v="18"/>
    <s v="retiro de puntos de monitoreo wes edificio princ. reutilizacion, 6v pozo, Lav. vehiculos."/>
    <m/>
    <x v="0"/>
    <n v="1"/>
  </r>
  <r>
    <x v="8"/>
    <x v="25"/>
    <s v="Maurico Orellana"/>
    <x v="203"/>
    <x v="0"/>
    <x v="1"/>
    <x v="7"/>
    <s v="Llave bypass se encuentra activada desde dia 04-01-2025 a raiz de intervencion de terceros, equipo 100% operativo."/>
    <m/>
    <x v="0"/>
    <n v="1"/>
  </r>
  <r>
    <x v="17"/>
    <x v="66"/>
    <s v="Maurico Orellana"/>
    <x v="203"/>
    <x v="0"/>
    <x v="1"/>
    <x v="5"/>
    <s v="Apertura de llave de emergencia por falta de agua en horario nocturno se realiza regulacion insitu con funcionarios de unidad, se detecta una bomba de alimentacion en mal estado, no se encuentra alimentando el baño que esta en frente a la oficina del jefe interno. Por lo tanto se aumenta el caudal nocturno a 159 LxM, Red impulsioin; apertura llave de emergencia esta es regulada a 160 LxM nocturno"/>
    <m/>
    <x v="0"/>
    <n v="1"/>
  </r>
  <r>
    <x v="17"/>
    <x v="62"/>
    <s v="Maurico Orellana"/>
    <x v="204"/>
    <x v="1"/>
    <x v="9"/>
    <x v="23"/>
    <s v="Lectura de validacion de sensor de pulso Lec; 481151 13:29 hrs"/>
    <m/>
    <x v="0"/>
    <n v="1"/>
  </r>
  <r>
    <x v="10"/>
    <x v="46"/>
    <s v="Maurico Orellana"/>
    <x v="175"/>
    <x v="0"/>
    <x v="0"/>
    <x v="0"/>
    <s v="placa pegada esta es reiniciada, Actualizacion de codigo en procesador equipo conectado y monitoreando, modulo D regulacion noct 9 LxM"/>
    <m/>
    <x v="4"/>
    <n v="12"/>
  </r>
  <r>
    <x v="17"/>
    <x v="66"/>
    <s v="Maurico Orellana"/>
    <x v="204"/>
    <x v="1"/>
    <x v="1"/>
    <x v="5"/>
    <s v="regulacion red impulsion dia 650 LxM noche 180 LxM 07:00 - 23:00 regulacion red sur dia 650 LxM noche 110 LxM 07:00 - 23:00"/>
    <m/>
    <x v="0"/>
    <n v="1"/>
  </r>
  <r>
    <x v="17"/>
    <x v="67"/>
    <s v="Maurico Orellana"/>
    <x v="205"/>
    <x v="1"/>
    <x v="1"/>
    <x v="5"/>
    <s v="sala de impulsion corte hidrico nocturno desde las 22:00 a las 07:00."/>
    <m/>
    <x v="0"/>
    <n v="1"/>
  </r>
  <r>
    <x v="17"/>
    <x v="66"/>
    <s v="Maurico Orellana"/>
    <x v="205"/>
    <x v="1"/>
    <x v="1"/>
    <x v="5"/>
    <s v="Consumo actual 256 LxM consumo se regula al 50% para privilegiar llenado de estanque."/>
    <m/>
    <x v="0"/>
    <n v="1"/>
  </r>
  <r>
    <x v="10"/>
    <x v="46"/>
    <s v="Maurico Orellana"/>
    <x v="204"/>
    <x v="0"/>
    <x v="0"/>
    <x v="14"/>
    <s v="Memoria en falla, esta es remplazada por una memoria nueva, se deja el equipo operativo"/>
    <m/>
    <x v="0"/>
    <n v="1"/>
  </r>
  <r>
    <x v="10"/>
    <x v="87"/>
    <s v="Maurico Orellana"/>
    <x v="204"/>
    <x v="0"/>
    <x v="3"/>
    <x v="21"/>
    <s v="Router pegado este se reinicia y vuelve el internet, equipo conectado"/>
    <m/>
    <x v="0"/>
    <n v="1"/>
  </r>
  <r>
    <x v="0"/>
    <x v="1"/>
    <s v="Gabriel Prieto"/>
    <x v="206"/>
    <x v="1"/>
    <x v="9"/>
    <x v="35"/>
    <s v="comienzo auditoria con wes lec 272483"/>
    <m/>
    <x v="4"/>
    <n v="12"/>
  </r>
  <r>
    <x v="0"/>
    <x v="13"/>
    <s v="Gabriel Prieto"/>
    <x v="206"/>
    <x v="1"/>
    <x v="9"/>
    <x v="35"/>
    <s v="comienzo auditoria con wes lec 335485"/>
    <m/>
    <x v="4"/>
    <n v="12"/>
  </r>
  <r>
    <x v="0"/>
    <x v="22"/>
    <s v="Gabriel Prieto"/>
    <x v="206"/>
    <x v="1"/>
    <x v="9"/>
    <x v="35"/>
    <s v="comienzo auditoria con wes lec 138166"/>
    <m/>
    <x v="4"/>
    <n v="12"/>
  </r>
  <r>
    <x v="0"/>
    <x v="22"/>
    <s v="Gabriel Prieto"/>
    <x v="206"/>
    <x v="1"/>
    <x v="9"/>
    <x v="35"/>
    <s v="comienzo auditoria con wes lec 83767"/>
    <m/>
    <x v="4"/>
    <n v="12"/>
  </r>
  <r>
    <x v="0"/>
    <x v="22"/>
    <s v="Gabriel Prieto"/>
    <x v="206"/>
    <x v="1"/>
    <x v="9"/>
    <x v="35"/>
    <s v="comienzo auditoria con wes lec 70885"/>
    <m/>
    <x v="4"/>
    <n v="12"/>
  </r>
  <r>
    <x v="0"/>
    <x v="0"/>
    <s v="Gabriel Prieto"/>
    <x v="206"/>
    <x v="1"/>
    <x v="9"/>
    <x v="32"/>
    <s v="Auditoria con wes Lec 53838"/>
    <m/>
    <x v="4"/>
    <n v="12"/>
  </r>
  <r>
    <x v="0"/>
    <x v="23"/>
    <s v="Gabriel Prieto"/>
    <x v="206"/>
    <x v="1"/>
    <x v="9"/>
    <x v="32"/>
    <s v="Auditoria con wes Lec 127351"/>
    <m/>
    <x v="4"/>
    <n v="12"/>
  </r>
  <r>
    <x v="0"/>
    <x v="20"/>
    <s v="Maurico Orellana"/>
    <x v="206"/>
    <x v="1"/>
    <x v="9"/>
    <x v="32"/>
    <s v="Auditoria con wes Lec 72389"/>
    <m/>
    <x v="4"/>
    <n v="12"/>
  </r>
  <r>
    <x v="0"/>
    <x v="21"/>
    <s v="Gabriel Prieto"/>
    <x v="206"/>
    <x v="1"/>
    <x v="9"/>
    <x v="32"/>
    <s v="Auditoria con wes Lec 88640, se realiza cambio de una solenoide"/>
    <m/>
    <x v="4"/>
    <n v="12"/>
  </r>
  <r>
    <x v="0"/>
    <x v="18"/>
    <s v="Gabriel Prieto"/>
    <x v="206"/>
    <x v="1"/>
    <x v="9"/>
    <x v="32"/>
    <s v="Auditoria con wes Lec 021895"/>
    <m/>
    <x v="4"/>
    <n v="12"/>
  </r>
  <r>
    <x v="0"/>
    <x v="18"/>
    <s v="Gabriel Prieto"/>
    <x v="206"/>
    <x v="1"/>
    <x v="9"/>
    <x v="32"/>
    <s v="Auditoria con wes Lec 58010"/>
    <m/>
    <x v="4"/>
    <n v="12"/>
  </r>
  <r>
    <x v="0"/>
    <x v="19"/>
    <s v="Gabriel Prieto"/>
    <x v="206"/>
    <x v="1"/>
    <x v="9"/>
    <x v="32"/>
    <s v="Auditoria con wes Lec 143467"/>
    <m/>
    <x v="4"/>
    <n v="12"/>
  </r>
  <r>
    <x v="0"/>
    <x v="16"/>
    <s v="Gabriel Prieto"/>
    <x v="206"/>
    <x v="1"/>
    <x v="9"/>
    <x v="32"/>
    <s v="Auditoria con wes Lec 1711"/>
    <m/>
    <x v="4"/>
    <n v="12"/>
  </r>
  <r>
    <x v="0"/>
    <x v="48"/>
    <s v="Gabriel Prieto"/>
    <x v="206"/>
    <x v="1"/>
    <x v="9"/>
    <x v="32"/>
    <s v="Auditoria con wes Lec 2208x0,01 m3"/>
    <m/>
    <x v="4"/>
    <n v="12"/>
  </r>
  <r>
    <x v="7"/>
    <x v="27"/>
    <s v="Maurico Orellana"/>
    <x v="206"/>
    <x v="1"/>
    <x v="9"/>
    <x v="32"/>
    <s v="Auditoria con wes Lec 8778"/>
    <m/>
    <x v="4"/>
    <n v="12"/>
  </r>
  <r>
    <x v="7"/>
    <x v="14"/>
    <s v="Gabriel Prieto"/>
    <x v="206"/>
    <x v="1"/>
    <x v="9"/>
    <x v="32"/>
    <s v="Auditoria con wes Lec 122486"/>
    <m/>
    <x v="4"/>
    <n v="12"/>
  </r>
  <r>
    <x v="7"/>
    <x v="26"/>
    <s v="Maurico Orellana"/>
    <x v="206"/>
    <x v="1"/>
    <x v="9"/>
    <x v="32"/>
    <s v="Auditoria con wes Lec 9024"/>
    <m/>
    <x v="4"/>
    <n v="12"/>
  </r>
  <r>
    <x v="7"/>
    <x v="12"/>
    <s v="Maurico Orellana"/>
    <x v="206"/>
    <x v="1"/>
    <x v="9"/>
    <x v="32"/>
    <s v="Auditoria con wes Lec 21646"/>
    <m/>
    <x v="4"/>
    <n v="12"/>
  </r>
  <r>
    <x v="7"/>
    <x v="9"/>
    <s v="Maurico Orellana"/>
    <x v="206"/>
    <x v="1"/>
    <x v="9"/>
    <x v="32"/>
    <s v="Auditoria con wes Lec 36187"/>
    <m/>
    <x v="4"/>
    <n v="12"/>
  </r>
  <r>
    <x v="0"/>
    <x v="13"/>
    <s v="Maurico Orellana"/>
    <x v="207"/>
    <x v="1"/>
    <x v="9"/>
    <x v="32"/>
    <s v="Auditoria sin wes Lec, 272508"/>
    <m/>
    <x v="4"/>
    <n v="12"/>
  </r>
  <r>
    <x v="0"/>
    <x v="13"/>
    <s v="Maurico Orellana"/>
    <x v="207"/>
    <x v="1"/>
    <x v="9"/>
    <x v="35"/>
    <s v="comienzo de auditoria sin wes Lec, 235603"/>
    <m/>
    <x v="4"/>
    <n v="12"/>
  </r>
  <r>
    <x v="0"/>
    <x v="35"/>
    <s v="Maurico Orellana"/>
    <x v="207"/>
    <x v="1"/>
    <x v="9"/>
    <x v="35"/>
    <s v="comienzo de auditoria sin wes Lec, 138224."/>
    <m/>
    <x v="4"/>
    <n v="12"/>
  </r>
  <r>
    <x v="0"/>
    <x v="15"/>
    <s v="Maurico Orellana"/>
    <x v="207"/>
    <x v="1"/>
    <x v="9"/>
    <x v="35"/>
    <s v="comienzo de auditoria sin wes Lec, 83814"/>
    <m/>
    <x v="4"/>
    <n v="12"/>
  </r>
  <r>
    <x v="0"/>
    <x v="22"/>
    <s v="Maurico Orellana"/>
    <x v="207"/>
    <x v="1"/>
    <x v="9"/>
    <x v="35"/>
    <s v="comienzo de auditoria sin wes Lec, 70895"/>
    <m/>
    <x v="4"/>
    <n v="12"/>
  </r>
  <r>
    <x v="0"/>
    <x v="0"/>
    <s v="Maurico Orellana"/>
    <x v="207"/>
    <x v="1"/>
    <x v="9"/>
    <x v="35"/>
    <s v="comienzo de auditoria sin wes Lec, 53863"/>
    <m/>
    <x v="4"/>
    <n v="12"/>
  </r>
  <r>
    <x v="0"/>
    <x v="23"/>
    <s v="Maurico Orellana"/>
    <x v="207"/>
    <x v="1"/>
    <x v="9"/>
    <x v="35"/>
    <s v="comienzo de auditoria sin wes Lec, 127427"/>
    <m/>
    <x v="4"/>
    <n v="12"/>
  </r>
  <r>
    <x v="0"/>
    <x v="20"/>
    <s v="Maurico Orellana"/>
    <x v="207"/>
    <x v="1"/>
    <x v="9"/>
    <x v="35"/>
    <s v="comienzo de auditoria sin wes Lec, 72642"/>
    <m/>
    <x v="4"/>
    <n v="12"/>
  </r>
  <r>
    <x v="0"/>
    <x v="21"/>
    <s v="Maurico Orellana"/>
    <x v="207"/>
    <x v="1"/>
    <x v="9"/>
    <x v="35"/>
    <s v="comienzo de auditoria sin wes Lec, 88820"/>
    <m/>
    <x v="4"/>
    <n v="12"/>
  </r>
  <r>
    <x v="0"/>
    <x v="17"/>
    <s v="Maurico Orellana"/>
    <x v="207"/>
    <x v="1"/>
    <x v="9"/>
    <x v="35"/>
    <s v="comienzo de auditoria sin wes Lec, 22021"/>
    <m/>
    <x v="4"/>
    <n v="12"/>
  </r>
  <r>
    <x v="0"/>
    <x v="18"/>
    <s v="Maurico Orellana"/>
    <x v="207"/>
    <x v="1"/>
    <x v="9"/>
    <x v="35"/>
    <s v="comienzo de auditoria sin wes Lec, 58044"/>
    <m/>
    <x v="4"/>
    <n v="12"/>
  </r>
  <r>
    <x v="0"/>
    <x v="19"/>
    <s v="Anibal Aranda"/>
    <x v="207"/>
    <x v="1"/>
    <x v="9"/>
    <x v="35"/>
    <s v="comienzo de auditoria sin wes Lec, 143487."/>
    <m/>
    <x v="4"/>
    <n v="12"/>
  </r>
  <r>
    <x v="0"/>
    <x v="48"/>
    <s v="Anibal Aranda"/>
    <x v="207"/>
    <x v="1"/>
    <x v="9"/>
    <x v="35"/>
    <s v="comienzo de auditoria sin wes Lec, 1718"/>
    <m/>
    <x v="4"/>
    <n v="12"/>
  </r>
  <r>
    <x v="0"/>
    <x v="48"/>
    <s v="Anibal Aranda"/>
    <x v="207"/>
    <x v="1"/>
    <x v="9"/>
    <x v="35"/>
    <s v="comienzo de auditoria sin wes Lec, 4258x0,01m3."/>
    <m/>
    <x v="4"/>
    <n v="12"/>
  </r>
  <r>
    <x v="7"/>
    <x v="27"/>
    <s v="Maurico Orellana"/>
    <x v="207"/>
    <x v="1"/>
    <x v="9"/>
    <x v="35"/>
    <s v="comienzo de auditoria sin wes Lec, 8828"/>
    <m/>
    <x v="4"/>
    <n v="12"/>
  </r>
  <r>
    <x v="7"/>
    <x v="14"/>
    <s v="Maurico Orellana"/>
    <x v="207"/>
    <x v="1"/>
    <x v="9"/>
    <x v="35"/>
    <s v="comienzo de auditoria sin wes Lec, 122509"/>
    <m/>
    <x v="4"/>
    <n v="12"/>
  </r>
  <r>
    <x v="7"/>
    <x v="26"/>
    <s v="Maurico Orellana"/>
    <x v="207"/>
    <x v="1"/>
    <x v="9"/>
    <x v="35"/>
    <s v="comienzo de auditoria sin wes Lec, 9118, se encuentra llave de emergencia abierta, sin dar aviso u notificacion."/>
    <m/>
    <x v="4"/>
    <n v="12"/>
  </r>
  <r>
    <x v="7"/>
    <x v="12"/>
    <s v="Maurico Orellana"/>
    <x v="207"/>
    <x v="1"/>
    <x v="9"/>
    <x v="35"/>
    <s v="comienzo de auditoria sin wes Lec, 21722."/>
    <m/>
    <x v="4"/>
    <n v="12"/>
  </r>
  <r>
    <x v="7"/>
    <x v="9"/>
    <s v="Maurico Orellana"/>
    <x v="207"/>
    <x v="1"/>
    <x v="9"/>
    <x v="35"/>
    <s v="comienzo de auditoria sin wes Lec, 36250."/>
    <m/>
    <x v="4"/>
    <n v="12"/>
  </r>
  <r>
    <x v="0"/>
    <x v="1"/>
    <s v="Maurico Orellana"/>
    <x v="208"/>
    <x v="1"/>
    <x v="9"/>
    <x v="35"/>
    <s v="comienzo de auditoria con wes. Lec 272535."/>
    <m/>
    <x v="4"/>
    <n v="12"/>
  </r>
  <r>
    <x v="0"/>
    <x v="13"/>
    <s v="Anibal Aranda"/>
    <x v="208"/>
    <x v="1"/>
    <x v="9"/>
    <x v="35"/>
    <s v="comienzo de auditoria con wes. 19 a 9 pm corte, Lec 235870."/>
    <m/>
    <x v="4"/>
    <n v="12"/>
  </r>
  <r>
    <x v="0"/>
    <x v="35"/>
    <s v="Anibal Aranda"/>
    <x v="208"/>
    <x v="1"/>
    <x v="9"/>
    <x v="35"/>
    <s v="comienzo de auditoria con wes. Lec 138392"/>
    <m/>
    <x v="4"/>
    <n v="12"/>
  </r>
  <r>
    <x v="0"/>
    <x v="15"/>
    <s v="Anibal Aranda"/>
    <x v="208"/>
    <x v="1"/>
    <x v="9"/>
    <x v="35"/>
    <s v="comienzo de auditoria con wes. Lec 083852"/>
    <m/>
    <x v="4"/>
    <n v="12"/>
  </r>
  <r>
    <x v="0"/>
    <x v="22"/>
    <s v="Maurico Orellana"/>
    <x v="208"/>
    <x v="1"/>
    <x v="1"/>
    <x v="8"/>
    <s v="mantenimiento valvulas de CPA, comienzo de auditoria sin wes. Lec 70908"/>
    <m/>
    <x v="4"/>
    <n v="12"/>
  </r>
  <r>
    <x v="0"/>
    <x v="0"/>
    <s v="Maurico Orellana"/>
    <x v="208"/>
    <x v="1"/>
    <x v="9"/>
    <x v="35"/>
    <s v="Comienzo de auditoria con wes"/>
    <m/>
    <x v="4"/>
    <n v="12"/>
  </r>
  <r>
    <x v="0"/>
    <x v="23"/>
    <s v="Maurico Orellana"/>
    <x v="208"/>
    <x v="1"/>
    <x v="9"/>
    <x v="35"/>
    <s v="Comienzo de auditoria con wes"/>
    <m/>
    <x v="4"/>
    <n v="12"/>
  </r>
  <r>
    <x v="0"/>
    <x v="20"/>
    <s v="Maurico Orellana"/>
    <x v="208"/>
    <x v="1"/>
    <x v="9"/>
    <x v="35"/>
    <s v="Comienzo de auditoria con wes"/>
    <m/>
    <x v="4"/>
    <n v="12"/>
  </r>
  <r>
    <x v="0"/>
    <x v="21"/>
    <s v="Anibal Aranda"/>
    <x v="208"/>
    <x v="1"/>
    <x v="9"/>
    <x v="35"/>
    <s v="Comienzo de auditoria con wes"/>
    <m/>
    <x v="4"/>
    <n v="12"/>
  </r>
  <r>
    <x v="0"/>
    <x v="17"/>
    <s v="Anibal Aranda"/>
    <x v="208"/>
    <x v="1"/>
    <x v="9"/>
    <x v="35"/>
    <s v="Comienzo de auditoria con wes, Baño de damas presenta filtracion de agua, abajo del estanque."/>
    <m/>
    <x v="4"/>
    <n v="12"/>
  </r>
  <r>
    <x v="0"/>
    <x v="18"/>
    <s v="Anibal Aranda"/>
    <x v="208"/>
    <x v="1"/>
    <x v="9"/>
    <x v="36"/>
    <s v="fin auditoria sin wes, Lec 58245."/>
    <m/>
    <x v="4"/>
    <n v="12"/>
  </r>
  <r>
    <x v="0"/>
    <x v="19"/>
    <s v="Anibal Aranda"/>
    <x v="208"/>
    <x v="1"/>
    <x v="9"/>
    <x v="36"/>
    <s v="fin auditoria sin wes"/>
    <m/>
    <x v="4"/>
    <n v="12"/>
  </r>
  <r>
    <x v="7"/>
    <x v="27"/>
    <s v="Maurico Orellana"/>
    <x v="208"/>
    <x v="1"/>
    <x v="9"/>
    <x v="36"/>
    <s v="fin auditoria sin wes_x000a_lec 8932 rendimiento 51.92%"/>
    <m/>
    <x v="4"/>
    <n v="12"/>
  </r>
  <r>
    <x v="7"/>
    <x v="26"/>
    <s v="Maurico Orellana"/>
    <x v="208"/>
    <x v="1"/>
    <x v="9"/>
    <x v="36"/>
    <s v="fin auditoria sin wes_x000a_lec 9184"/>
    <m/>
    <x v="4"/>
    <n v="12"/>
  </r>
  <r>
    <x v="7"/>
    <x v="9"/>
    <s v="Maurico Orellana"/>
    <x v="208"/>
    <x v="1"/>
    <x v="9"/>
    <x v="36"/>
    <s v="fin auditoria sin wes_x000a_lec 36291"/>
    <m/>
    <x v="4"/>
    <n v="12"/>
  </r>
  <r>
    <x v="7"/>
    <x v="12"/>
    <s v="Maurico Orellana"/>
    <x v="208"/>
    <x v="1"/>
    <x v="9"/>
    <x v="36"/>
    <s v="fin auditoria con wes 9,8% rendimiento_x000a_lec 21806"/>
    <m/>
    <x v="4"/>
    <n v="12"/>
  </r>
  <r>
    <x v="17"/>
    <x v="72"/>
    <s v="Anibal Aranda"/>
    <x v="193"/>
    <x v="1"/>
    <x v="9"/>
    <x v="36"/>
    <s v="Termino de auditoria sin wes (Administracion), Comienxo de auditoria con wes (simulacion), Lec Administracion; 163311, Lec simulacion; 75252."/>
    <m/>
    <x v="4"/>
    <n v="9"/>
  </r>
  <r>
    <x v="6"/>
    <x v="30"/>
    <s v="Anibal Aranda"/>
    <x v="181"/>
    <x v="1"/>
    <x v="1"/>
    <x v="7"/>
    <s v="Se normaliza baño varones Media, capacitacion app wes."/>
    <m/>
    <x v="4"/>
    <n v="8"/>
  </r>
  <r>
    <x v="17"/>
    <x v="65"/>
    <s v="Maurico Orellana"/>
    <x v="201"/>
    <x v="0"/>
    <x v="0"/>
    <x v="0"/>
    <s v="Desconexion por placa &quot;pegada&quot; esta es reiniciada volviendo a la normalizacion. Cambio en funcionamiento de valvula se estabiliza alta y se activa baja equipo operativo."/>
    <m/>
    <x v="4"/>
    <n v="8"/>
  </r>
  <r>
    <x v="17"/>
    <x v="62"/>
    <s v="Maurico Orellana"/>
    <x v="200"/>
    <x v="1"/>
    <x v="1"/>
    <x v="5"/>
    <s v="Activacion regulacion de verano; 06:00 a 23:00 - 100%, 23:00 a 23:59 - 10%, 00:01 - 06:00 - 10%"/>
    <m/>
    <x v="4"/>
    <n v="11"/>
  </r>
  <r>
    <x v="17"/>
    <x v="72"/>
    <s v="Maurico Orellana"/>
    <x v="200"/>
    <x v="1"/>
    <x v="9"/>
    <x v="36"/>
    <s v="Regulacion 100% 04:00 - 01:00 para ambos, 10% 01:00 - 04:00 equipos, Lectura administracion 173597 / Lec; Simulacion 079547."/>
    <m/>
    <x v="4"/>
    <n v="11"/>
  </r>
  <r>
    <x v="17"/>
    <x v="61"/>
    <s v="Maurico Orellana"/>
    <x v="181"/>
    <x v="0"/>
    <x v="1"/>
    <x v="16"/>
    <s v="Solenoide de valvula de baja presion en mal estado, esta es remplazada quedando el equipo ooperativo."/>
    <m/>
    <x v="4"/>
    <n v="8"/>
  </r>
  <r>
    <x v="6"/>
    <x v="7"/>
    <s v="Maurico Orellana"/>
    <x v="209"/>
    <x v="1"/>
    <x v="2"/>
    <x v="3"/>
    <s v="Equipo desconectado, problema de interfaz de conexión. actualización de código, equipo queda operativo."/>
    <m/>
    <x v="4"/>
    <n v="11"/>
  </r>
  <r>
    <x v="6"/>
    <x v="7"/>
    <s v="Anibal Aranda"/>
    <x v="179"/>
    <x v="0"/>
    <x v="4"/>
    <x v="28"/>
    <s v="Equipo des energizado.. se normaliza."/>
    <m/>
    <x v="4"/>
    <n v="11"/>
  </r>
  <r>
    <x v="6"/>
    <x v="7"/>
    <s v="Anibal Aranda"/>
    <x v="178"/>
    <x v="0"/>
    <x v="7"/>
    <x v="26"/>
    <s v="Q. 90 / UP 86,2 / DN 6,1 / Caudalímetro en falla por falta de silicona ultrasónica. Lec 4723x0,01m3."/>
    <m/>
    <x v="4"/>
    <n v="9"/>
  </r>
  <r>
    <x v="6"/>
    <x v="7"/>
    <s v="Anibal Aranda"/>
    <x v="177"/>
    <x v="3"/>
    <x v="8"/>
    <x v="18"/>
    <s v="Instalación sistema de monitoreo wes."/>
    <m/>
    <x v="4"/>
    <n v="8"/>
  </r>
  <r>
    <x v="17"/>
    <x v="73"/>
    <s v="Maurico Orellana"/>
    <x v="199"/>
    <x v="0"/>
    <x v="3"/>
    <x v="6"/>
    <s v="Visita por desconexión; placa de comunicación no funciona esta es programada; quedando equipo operativo, activación de código en procesador."/>
    <m/>
    <x v="4"/>
    <n v="12"/>
  </r>
  <r>
    <x v="17"/>
    <x v="73"/>
    <s v="Maurico Orellana"/>
    <x v="198"/>
    <x v="0"/>
    <x v="0"/>
    <x v="40"/>
    <s v="Artemio: Desconexión por ruido eléctrico, esta es configurada y puesta en línea. Carmen; corte de luz corta suministro de agua llave de emergencia es archivado; esta es regulada y normalizada."/>
    <m/>
    <x v="4"/>
    <n v="12"/>
  </r>
  <r>
    <x v="17"/>
    <x v="65"/>
    <s v="Maurico Orellana"/>
    <x v="175"/>
    <x v="1"/>
    <x v="9"/>
    <x v="36"/>
    <s v="Termino de auditoria con wes, Lec. Principal; 601395. Lec ovalo calle 14; 629102."/>
    <m/>
    <x v="4"/>
    <n v="12"/>
  </r>
  <r>
    <x v="17"/>
    <x v="68"/>
    <s v="Maurico Orellana"/>
    <x v="197"/>
    <x v="1"/>
    <x v="9"/>
    <x v="35"/>
    <s v="Comienzo de auditoria con wes Matriz principal Lec; 694008, Impulsión Lec; 629587."/>
    <m/>
    <x v="4"/>
    <n v="12"/>
  </r>
  <r>
    <x v="17"/>
    <x v="62"/>
    <s v="Maurico Orellana"/>
    <x v="197"/>
    <x v="1"/>
    <x v="9"/>
    <x v="35"/>
    <s v="Comienzo de auditoria con wes, LEC 448944."/>
    <m/>
    <x v="4"/>
    <n v="12"/>
  </r>
  <r>
    <x v="17"/>
    <x v="62"/>
    <s v="Maurico Orellana"/>
    <x v="197"/>
    <x v="1"/>
    <x v="9"/>
    <x v="35"/>
    <s v="Visita revisión medidor, se encuentra sensor de pulso fuera de posición. comienzo de auditoria sin wes lec; 448944."/>
    <m/>
    <x v="4"/>
    <n v="12"/>
  </r>
  <r>
    <x v="17"/>
    <x v="72"/>
    <s v="Maurico Orellana"/>
    <x v="199"/>
    <x v="0"/>
    <x v="1"/>
    <x v="10"/>
    <s v="sistema detecta &quot;0&quot; consumo en red, llave de paso se encuentra cerrada, sin consumo hídrico a causa de corte de luz nocturno posible manipulación de llave de corte principal, este es regularizada abasteciendo con agua."/>
    <m/>
    <x v="4"/>
    <n v="12"/>
  </r>
  <r>
    <x v="17"/>
    <x v="61"/>
    <s v="Maurico Orellana"/>
    <x v="197"/>
    <x v="1"/>
    <x v="9"/>
    <x v="36"/>
    <s v="Normalización CPA wes, Lectura A.A 441798, Lectura wes 280773."/>
    <m/>
    <x v="4"/>
    <n v="12"/>
  </r>
  <r>
    <x v="17"/>
    <x v="62"/>
    <s v="Maurico Orellana"/>
    <x v="175"/>
    <x v="1"/>
    <x v="9"/>
    <x v="36"/>
    <s v="Fin de auditoria con control."/>
    <m/>
    <x v="4"/>
    <n v="12"/>
  </r>
  <r>
    <x v="17"/>
    <x v="61"/>
    <s v="Maurico Orellana"/>
    <x v="175"/>
    <x v="1"/>
    <x v="9"/>
    <x v="36"/>
    <s v="Fin de auditoria."/>
    <m/>
    <x v="4"/>
    <n v="12"/>
  </r>
  <r>
    <x v="5"/>
    <x v="6"/>
    <s v="Maurico Orellana"/>
    <x v="210"/>
    <x v="1"/>
    <x v="9"/>
    <x v="32"/>
    <s v="visita por validación de sistema, lectura de medidor; 14044."/>
    <m/>
    <x v="4"/>
    <n v="9"/>
  </r>
  <r>
    <x v="17"/>
    <x v="65"/>
    <s v="Maurico Orellana"/>
    <x v="190"/>
    <x v="0"/>
    <x v="0"/>
    <x v="28"/>
    <s v="Modulo - patio sensor de pulso sensus, recuperación de data. Ovalo Calle 14 - Fusible quemado y placa apagada este es remplazado dejando el equipo operativo."/>
    <m/>
    <x v="4"/>
    <n v="9"/>
  </r>
  <r>
    <x v="17"/>
    <x v="73"/>
    <s v="Maurico Orellana"/>
    <x v="196"/>
    <x v="1"/>
    <x v="9"/>
    <x v="35"/>
    <s v="Comienzo de auditoria sin Wes. Lec de medidor; 225484."/>
    <m/>
    <x v="4"/>
    <n v="10"/>
  </r>
  <r>
    <x v="17"/>
    <x v="74"/>
    <s v="Maurico Orellana"/>
    <x v="175"/>
    <x v="1"/>
    <x v="9"/>
    <x v="36"/>
    <s v="termino de auditoria con wes, Lec matriz principal; 694648, Lec sala de impulsión; 629484."/>
    <m/>
    <x v="4"/>
    <n v="12"/>
  </r>
  <r>
    <x v="13"/>
    <x v="45"/>
    <s v="Anibal Aranda"/>
    <x v="175"/>
    <x v="1"/>
    <x v="1"/>
    <x v="5"/>
    <s v="Consumo am supera umbral de regulación, se pasa de baja a media presión para subsanar la condición."/>
    <m/>
    <x v="4"/>
    <n v="12"/>
  </r>
  <r>
    <x v="13"/>
    <x v="45"/>
    <s v="Anibal Aranda"/>
    <x v="211"/>
    <x v="1"/>
    <x v="1"/>
    <x v="5"/>
    <s v="Nueva regulación de horario, lectura de medidor; 124055x0,01."/>
    <m/>
    <x v="4"/>
    <n v="11"/>
  </r>
  <r>
    <x v="13"/>
    <x v="45"/>
    <s v="Maurico Orellana"/>
    <x v="174"/>
    <x v="0"/>
    <x v="1"/>
    <x v="5"/>
    <s v="Regulación de cpa con máxima capacidad en caudal alta presión 90% baja presión 70% chequeo de arranque en club house."/>
    <m/>
    <x v="4"/>
    <n v="8"/>
  </r>
  <r>
    <x v="11"/>
    <x v="58"/>
    <s v="Maurico Orellana"/>
    <x v="182"/>
    <x v="0"/>
    <x v="1"/>
    <x v="16"/>
    <s v="Maquina wes con llave de emergencia activada desde 23-06-23, se encuentra solenoide de baja presión sin funcionamiento coincide horario de problema hídrico en baños, se cambia dejando el equipo totalmente operativo."/>
    <m/>
    <x v="4"/>
    <n v="6"/>
  </r>
  <r>
    <x v="13"/>
    <x v="45"/>
    <s v="Maurico Orellana"/>
    <x v="176"/>
    <x v="0"/>
    <x v="1"/>
    <x v="12"/>
    <s v="modificación de sensor y receptáculo ultrasónico, equipo queda totalmente operativo."/>
    <m/>
    <x v="4"/>
    <n v="10"/>
  </r>
  <r>
    <x v="15"/>
    <x v="88"/>
    <s v="Anibal Aranda"/>
    <x v="95"/>
    <x v="7"/>
    <x v="1"/>
    <x v="18"/>
    <s v="regulación de cpa- -21:00&gt;06:00 baja presión al 50%"/>
    <m/>
    <x v="3"/>
    <n v="2"/>
  </r>
  <r>
    <x v="15"/>
    <x v="56"/>
    <s v="Anibal Aranda"/>
    <x v="212"/>
    <x v="7"/>
    <x v="2"/>
    <x v="18"/>
    <s v="sistema sin señal 3g, sistema reparado comunicando."/>
    <m/>
    <x v="3"/>
    <n v="2"/>
  </r>
  <r>
    <x v="15"/>
    <x v="54"/>
    <s v="Anibal Aranda"/>
    <x v="212"/>
    <x v="7"/>
    <x v="2"/>
    <x v="18"/>
    <s v="sistema sin señal 3g, sistema reparado comunicando."/>
    <m/>
    <x v="3"/>
    <n v="2"/>
  </r>
  <r>
    <x v="15"/>
    <x v="88"/>
    <s v="Anibal Aranda"/>
    <x v="212"/>
    <x v="7"/>
    <x v="2"/>
    <x v="18"/>
    <m/>
    <m/>
    <x v="3"/>
    <n v="2"/>
  </r>
  <r>
    <x v="15"/>
    <x v="88"/>
    <s v="Anibal Aranda"/>
    <x v="213"/>
    <x v="7"/>
    <x v="1"/>
    <x v="18"/>
    <s v="regulación sistema cpa, 07:00&gt;14:00 90% 46 LxM_x000a_14:00&gt;21:00 60% 30 LxM_x000a_21:00&gt;07:00 25% 13 LxM"/>
    <m/>
    <x v="3"/>
    <n v="3"/>
  </r>
  <r>
    <x v="10"/>
    <x v="55"/>
    <s v="Maurico Orellana"/>
    <x v="214"/>
    <x v="0"/>
    <x v="0"/>
    <x v="14"/>
    <s v="deposito - cambio de memoria actualizacion codigo pick it Modulo D-reset chip equipo queda conectado y con control Modulo E - reset router equipo conectado ABC - actualizacion codigo PICK."/>
    <m/>
    <x v="4"/>
    <n v="10"/>
  </r>
  <r>
    <x v="10"/>
    <x v="41"/>
    <s v="Maurico Orellana"/>
    <x v="196"/>
    <x v="1"/>
    <x v="2"/>
    <x v="3"/>
    <s v="actualizacion de Pick it mas programacion"/>
    <m/>
    <x v="4"/>
    <n v="10"/>
  </r>
  <r>
    <x v="10"/>
    <x v="41"/>
    <s v="Maurico Orellana"/>
    <x v="175"/>
    <x v="0"/>
    <x v="0"/>
    <x v="0"/>
    <s v="Placa pegada esta es reiniciada, actualizacion de codigo en prosecador. equipo conectado y funcionando, Modulo D; regulacion noct 9xL"/>
    <m/>
    <x v="4"/>
    <n v="12"/>
  </r>
  <r>
    <x v="18"/>
    <x v="75"/>
    <s v="Anibal Aranda"/>
    <x v="215"/>
    <x v="1"/>
    <x v="9"/>
    <x v="23"/>
    <s v="visita ureta cox, desconexion de puntos estanque cisterna id no corresponde y es actualizado, sistema conectado y monitoreando 100% operativo, lec medidor u.s. 9,6m3 Lec; medidor casino - 22509, Lec medidor ureta cox - 307200, Lec medidor san nicolas 131800."/>
    <m/>
    <x v="4"/>
    <n v="8"/>
  </r>
  <r>
    <x v="18"/>
    <x v="89"/>
    <s v="Anibal Aranda"/>
    <x v="184"/>
    <x v="3"/>
    <x v="8"/>
    <x v="18"/>
    <s v="Instalacion CIR de monitoreo. ureta COX"/>
    <m/>
    <x v="4"/>
    <n v="8"/>
  </r>
  <r>
    <x v="18"/>
    <x v="89"/>
    <s v="Anibal Aranda"/>
    <x v="216"/>
    <x v="0"/>
    <x v="3"/>
    <x v="42"/>
    <s v="Actualizacion de ID para comunicacion APP wes Lecturas: san nicolas 131849, taller MTTO 9,6, ureta cox 307232, Casino; 22513."/>
    <m/>
    <x v="4"/>
    <n v="8"/>
  </r>
  <r>
    <x v="18"/>
    <x v="89"/>
    <s v="Anibal Aranda"/>
    <x v="217"/>
    <x v="3"/>
    <x v="8"/>
    <x v="18"/>
    <s v="Instalacion 3 equipos CIR, casino: 022485. san nicolas: 131636 MTTO: +55x0,01 m3 / 14m3 100 LT."/>
    <m/>
    <x v="4"/>
    <n v="8"/>
  </r>
  <r>
    <x v="12"/>
    <x v="78"/>
    <s v="Anibal Aranda"/>
    <x v="218"/>
    <x v="1"/>
    <x v="2"/>
    <x v="3"/>
    <s v="Actualizacion de codigo pick it de todos los puntos de monitoreo, estanque C contabliza m3 de forma erronea. por motivo de humedad en empalme de sensor pscina - cambio de placa, por regulador de voltaje en buen estado."/>
    <m/>
    <x v="4"/>
    <n v="10"/>
  </r>
  <r>
    <x v="4"/>
    <x v="5"/>
    <s v="Anibal Aranda"/>
    <x v="211"/>
    <x v="1"/>
    <x v="9"/>
    <x v="35"/>
    <s v="inicio de auditoria Con wes. Lec; 097612"/>
    <m/>
    <x v="4"/>
    <n v="11"/>
  </r>
  <r>
    <x v="4"/>
    <x v="5"/>
    <s v="Anibal Aranda"/>
    <x v="175"/>
    <x v="1"/>
    <x v="9"/>
    <x v="36"/>
    <s v="Segunda lectura de auditoria 4/11 - 6/11 se normaliza programacion cpa."/>
    <m/>
    <x v="4"/>
    <n v="12"/>
  </r>
  <r>
    <x v="4"/>
    <x v="90"/>
    <s v="Maurico Orellana"/>
    <x v="219"/>
    <x v="1"/>
    <x v="9"/>
    <x v="18"/>
    <s v="Comienzo de auditoria sin wes."/>
    <m/>
    <x v="4"/>
    <n v="11"/>
  </r>
  <r>
    <x v="4"/>
    <x v="5"/>
    <s v="Maurico Orellana"/>
    <x v="196"/>
    <x v="1"/>
    <x v="2"/>
    <x v="3"/>
    <s v="M principal actualizacion de codigo pick it, Lav. Maq. Equipo desconectado cambio de ozax 232 sistema queda operativo."/>
    <m/>
    <x v="4"/>
    <n v="10"/>
  </r>
  <r>
    <x v="4"/>
    <x v="34"/>
    <s v="Maurico Orellana"/>
    <x v="191"/>
    <x v="0"/>
    <x v="4"/>
    <x v="19"/>
    <s v="Cambio de fuente 220-24v equipo operativo."/>
    <m/>
    <x v="4"/>
    <n v="12"/>
  </r>
  <r>
    <x v="4"/>
    <x v="90"/>
    <s v="Anibal Aranda"/>
    <x v="198"/>
    <x v="1"/>
    <x v="2"/>
    <x v="3"/>
    <s v="Se actulizo el codigo Pick it, cambio de memoria, causa raiz memoria en mal estado, se deja el equipo operativo."/>
    <m/>
    <x v="4"/>
    <n v="12"/>
  </r>
  <r>
    <x v="7"/>
    <x v="38"/>
    <s v="Maurico Orellana"/>
    <x v="208"/>
    <x v="1"/>
    <x v="3"/>
    <x v="6"/>
    <s v="Desconexion falla de interfaz esta es reprogramada equipo operativo."/>
    <m/>
    <x v="4"/>
    <n v="12"/>
  </r>
  <r>
    <x v="7"/>
    <x v="14"/>
    <s v="Maurico Orellana"/>
    <x v="208"/>
    <x v="1"/>
    <x v="9"/>
    <x v="36"/>
    <s v="fin de auditoria sin wes. Lec; 122532."/>
    <m/>
    <x v="4"/>
    <n v="12"/>
  </r>
  <r>
    <x v="7"/>
    <x v="28"/>
    <s v="Anibal Aranda"/>
    <x v="208"/>
    <x v="0"/>
    <x v="4"/>
    <x v="25"/>
    <s v="desconexion de sistema por desatiblizacion de empalme por empresa electrica, sistema se empalma despues (aguas abajo) de interruptor difenrencial, equipo queda operativo."/>
    <m/>
    <x v="4"/>
    <n v="12"/>
  </r>
  <r>
    <x v="7"/>
    <x v="10"/>
    <s v="Anibal Aranda"/>
    <x v="211"/>
    <x v="1"/>
    <x v="9"/>
    <x v="35"/>
    <s v="Comienzo de auditoria sin wes. Lec; 5876."/>
    <m/>
    <x v="4"/>
    <n v="11"/>
  </r>
  <r>
    <x v="7"/>
    <x v="38"/>
    <s v="Anibal Aranda"/>
    <x v="220"/>
    <x v="1"/>
    <x v="9"/>
    <x v="36"/>
    <s v="fin de auditoria Lec; 27092."/>
    <m/>
    <x v="4"/>
    <n v="11"/>
  </r>
  <r>
    <x v="7"/>
    <x v="10"/>
    <s v="Anibal Aranda"/>
    <x v="220"/>
    <x v="1"/>
    <x v="9"/>
    <x v="36"/>
    <s v="fin de auditoria Lec; 5986 perdida de aguas andinas, 15453x0,01 perdida de wes."/>
    <m/>
    <x v="4"/>
    <n v="11"/>
  </r>
  <r>
    <x v="7"/>
    <x v="29"/>
    <s v="Anibal Aranda"/>
    <x v="220"/>
    <x v="1"/>
    <x v="9"/>
    <x v="36"/>
    <s v="fin de auditoria Lec; 10275."/>
    <m/>
    <x v="4"/>
    <n v="11"/>
  </r>
  <r>
    <x v="7"/>
    <x v="11"/>
    <s v="Anibal Aranda"/>
    <x v="220"/>
    <x v="1"/>
    <x v="9"/>
    <x v="36"/>
    <s v="fin de auditoria Lec; 10796."/>
    <m/>
    <x v="4"/>
    <n v="11"/>
  </r>
  <r>
    <x v="7"/>
    <x v="27"/>
    <s v="Anibal Aranda"/>
    <x v="220"/>
    <x v="1"/>
    <x v="9"/>
    <x v="36"/>
    <s v="fin de auditoria Lec; 8386."/>
    <m/>
    <x v="4"/>
    <n v="11"/>
  </r>
  <r>
    <x v="7"/>
    <x v="8"/>
    <s v="Anibal Aranda"/>
    <x v="220"/>
    <x v="1"/>
    <x v="9"/>
    <x v="36"/>
    <s v="Lectura final auditoria. Lec; 178262."/>
    <m/>
    <x v="4"/>
    <n v="11"/>
  </r>
  <r>
    <x v="7"/>
    <x v="14"/>
    <s v="Anibal Aranda"/>
    <x v="221"/>
    <x v="1"/>
    <x v="9"/>
    <x v="36"/>
    <s v="Normalizacion del CPA, Lec; 122120."/>
    <m/>
    <x v="4"/>
    <n v="11"/>
  </r>
  <r>
    <x v="7"/>
    <x v="38"/>
    <s v="Anibal Aranda"/>
    <x v="221"/>
    <x v="1"/>
    <x v="9"/>
    <x v="36"/>
    <s v="Normalizacion del SAB, Normalizacion del CPA, Lec; 026992."/>
    <m/>
    <x v="4"/>
    <n v="11"/>
  </r>
  <r>
    <x v="7"/>
    <x v="28"/>
    <s v="Anibal Aranda"/>
    <x v="221"/>
    <x v="0"/>
    <x v="1"/>
    <x v="7"/>
    <s v="Llave de emergencia activada por guardia. Inspectora solicita al guardia tenga el baño con estanque para evitar apertura de llave. Lec; 068300."/>
    <m/>
    <x v="4"/>
    <n v="11"/>
  </r>
  <r>
    <x v="7"/>
    <x v="27"/>
    <s v="Anibal Aranda"/>
    <x v="221"/>
    <x v="0"/>
    <x v="3"/>
    <x v="24"/>
    <s v="equipo se reconecta quedando en linea, se realiza regulacion de equipo lec; 008296."/>
    <m/>
    <x v="4"/>
    <n v="11"/>
  </r>
  <r>
    <x v="7"/>
    <x v="38"/>
    <s v="Anibal Aranda"/>
    <x v="211"/>
    <x v="1"/>
    <x v="9"/>
    <x v="35"/>
    <s v="Comienzo de auditoria sin wes lectura 026719."/>
    <m/>
    <x v="4"/>
    <n v="11"/>
  </r>
  <r>
    <x v="7"/>
    <x v="12"/>
    <s v="Anibal Aranda"/>
    <x v="211"/>
    <x v="1"/>
    <x v="9"/>
    <x v="35"/>
    <s v="Comienzo de auditoria sin wes lectura 020475."/>
    <m/>
    <x v="4"/>
    <n v="11"/>
  </r>
  <r>
    <x v="7"/>
    <x v="9"/>
    <s v="Anibal Aranda"/>
    <x v="211"/>
    <x v="1"/>
    <x v="9"/>
    <x v="35"/>
    <s v="Comienzo de auditoria sin wes lectura 035246."/>
    <m/>
    <x v="4"/>
    <n v="11"/>
  </r>
  <r>
    <x v="7"/>
    <x v="10"/>
    <s v="Anibal Aranda"/>
    <x v="221"/>
    <x v="1"/>
    <x v="9"/>
    <x v="35"/>
    <s v="Comienzo de auditoria con wes lec 5934."/>
    <m/>
    <x v="4"/>
    <n v="11"/>
  </r>
  <r>
    <x v="7"/>
    <x v="8"/>
    <s v="Anibal Aranda"/>
    <x v="211"/>
    <x v="1"/>
    <x v="9"/>
    <x v="35"/>
    <s v="Comienzo de auditoria sin wes lec 178056."/>
    <m/>
    <x v="4"/>
    <n v="11"/>
  </r>
  <r>
    <x v="7"/>
    <x v="10"/>
    <s v="Anibal Aranda"/>
    <x v="211"/>
    <x v="1"/>
    <x v="9"/>
    <x v="35"/>
    <s v="Comienzo de auditoria sin wes lec 69190."/>
    <m/>
    <x v="4"/>
    <n v="11"/>
  </r>
  <r>
    <x v="7"/>
    <x v="10"/>
    <s v="Maurico Orellana"/>
    <x v="211"/>
    <x v="1"/>
    <x v="9"/>
    <x v="35"/>
    <s v="Comienzo de auditoria sin wes lec de medidor 5877, lectura de medidor ultrasonido 4241x0,01."/>
    <m/>
    <x v="4"/>
    <n v="11"/>
  </r>
  <r>
    <x v="7"/>
    <x v="9"/>
    <s v="Maurico Orellana"/>
    <x v="221"/>
    <x v="1"/>
    <x v="9"/>
    <x v="35"/>
    <s v="Comienzo de auditoria con wes lec. 35279"/>
    <m/>
    <x v="4"/>
    <n v="11"/>
  </r>
  <r>
    <x v="7"/>
    <x v="14"/>
    <s v="Maurico Orellana"/>
    <x v="211"/>
    <x v="1"/>
    <x v="9"/>
    <x v="35"/>
    <s v="Comienzo de auditoria sin wes lec. 122087."/>
    <m/>
    <x v="4"/>
    <n v="11"/>
  </r>
  <r>
    <x v="7"/>
    <x v="11"/>
    <s v="Maurico Orellana"/>
    <x v="211"/>
    <x v="1"/>
    <x v="9"/>
    <x v="35"/>
    <s v="Comienzo de auditoria sin wes lec. 10536."/>
    <m/>
    <x v="4"/>
    <n v="11"/>
  </r>
  <r>
    <x v="7"/>
    <x v="28"/>
    <s v="Maurico Orellana"/>
    <x v="220"/>
    <x v="1"/>
    <x v="9"/>
    <x v="36"/>
    <s v="Termino de auditoria con wes lec 68384. 23,64% de rendimiento, se realizo una actualizacion de codigo Pick it."/>
    <m/>
    <x v="4"/>
    <n v="11"/>
  </r>
  <r>
    <x v="7"/>
    <x v="14"/>
    <s v="Maurico Orellana"/>
    <x v="220"/>
    <x v="1"/>
    <x v="9"/>
    <x v="36"/>
    <s v="Termino de auditoria, sin rendimiento lec 122175."/>
    <m/>
    <x v="4"/>
    <n v="11"/>
  </r>
  <r>
    <x v="7"/>
    <x v="9"/>
    <s v="Maurico Orellana"/>
    <x v="220"/>
    <x v="1"/>
    <x v="9"/>
    <x v="36"/>
    <s v="Termino de auditoria con wes, sin rendimiento. Lec 35340, llave de emergencia se encuentra abierta."/>
    <m/>
    <x v="4"/>
    <n v="11"/>
  </r>
  <r>
    <x v="7"/>
    <x v="27"/>
    <s v="Maurico Orellana"/>
    <x v="222"/>
    <x v="1"/>
    <x v="9"/>
    <x v="35"/>
    <s v="Conmienzo de auditoria sin wes Lec. 8741."/>
    <m/>
    <x v="4"/>
    <n v="12"/>
  </r>
  <r>
    <x v="7"/>
    <x v="14"/>
    <s v="Anibal Aranda"/>
    <x v="222"/>
    <x v="1"/>
    <x v="9"/>
    <x v="35"/>
    <s v="Conmienzo de auditoria con wes Lec. 122455"/>
    <m/>
    <x v="4"/>
    <n v="12"/>
  </r>
  <r>
    <x v="7"/>
    <x v="26"/>
    <s v="Anibal Aranda"/>
    <x v="221"/>
    <x v="1"/>
    <x v="9"/>
    <x v="35"/>
    <s v="Conmienzo de auditoria con wes Lec. 8936"/>
    <m/>
    <x v="4"/>
    <n v="11"/>
  </r>
  <r>
    <x v="7"/>
    <x v="8"/>
    <s v="Anibal Aranda"/>
    <x v="221"/>
    <x v="1"/>
    <x v="9"/>
    <x v="35"/>
    <s v="Conmienzo de auditoria con wes Lec. 178192"/>
    <m/>
    <x v="4"/>
    <n v="11"/>
  </r>
  <r>
    <x v="7"/>
    <x v="29"/>
    <s v="Anibal Aranda"/>
    <x v="221"/>
    <x v="1"/>
    <x v="9"/>
    <x v="35"/>
    <s v="Conmienzo de auditoria con wes Lec. 10183"/>
    <m/>
    <x v="4"/>
    <n v="11"/>
  </r>
  <r>
    <x v="7"/>
    <x v="11"/>
    <s v="Anibal Aranda"/>
    <x v="221"/>
    <x v="1"/>
    <x v="9"/>
    <x v="35"/>
    <s v="Conmienzo de auditoria con wes Lec. 10677"/>
    <m/>
    <x v="4"/>
    <n v="11"/>
  </r>
  <r>
    <x v="7"/>
    <x v="12"/>
    <s v="Anibal Aranda"/>
    <x v="175"/>
    <x v="0"/>
    <x v="0"/>
    <x v="7"/>
    <s v="renovacion de tuberia y cables cir cpa equipo conectado y controlando, equipo se deja operativo."/>
    <m/>
    <x v="4"/>
    <n v="12"/>
  </r>
  <r>
    <x v="7"/>
    <x v="27"/>
    <s v="Anibal Aranda"/>
    <x v="222"/>
    <x v="1"/>
    <x v="9"/>
    <x v="35"/>
    <s v="Comienzo de auditoria sin wes lec 874."/>
    <m/>
    <x v="4"/>
    <n v="12"/>
  </r>
  <r>
    <x v="7"/>
    <x v="9"/>
    <s v="Anibal Aranda"/>
    <x v="222"/>
    <x v="1"/>
    <x v="9"/>
    <x v="35"/>
    <s v="Comienzo de auditoria con wes Lec 36046"/>
    <m/>
    <x v="4"/>
    <n v="12"/>
  </r>
  <r>
    <x v="7"/>
    <x v="26"/>
    <s v="Maurico Orellana"/>
    <x v="211"/>
    <x v="1"/>
    <x v="9"/>
    <x v="35"/>
    <s v="Comienzo de auditoria sin wes Lec 8082."/>
    <m/>
    <x v="4"/>
    <n v="11"/>
  </r>
  <r>
    <x v="7"/>
    <x v="29"/>
    <s v="Maurico Orellana"/>
    <x v="211"/>
    <x v="1"/>
    <x v="9"/>
    <x v="35"/>
    <s v="Comienzo de auditoria sin wes Lec 10051."/>
    <m/>
    <x v="4"/>
    <n v="11"/>
  </r>
  <r>
    <x v="7"/>
    <x v="27"/>
    <s v="Maurico Orellana"/>
    <x v="211"/>
    <x v="1"/>
    <x v="9"/>
    <x v="35"/>
    <s v="Comienzo de auditoria sin wes Lec 8200."/>
    <m/>
    <x v="4"/>
    <n v="11"/>
  </r>
  <r>
    <x v="7"/>
    <x v="28"/>
    <s v="Anibal Aranda"/>
    <x v="223"/>
    <x v="0"/>
    <x v="1"/>
    <x v="1"/>
    <s v="Cambio de 2 solenoides en valvula de alta mas un cambiode membrana en valvula de baja."/>
    <m/>
    <x v="4"/>
    <n v="11"/>
  </r>
  <r>
    <x v="7"/>
    <x v="10"/>
    <s v="Anibal Aranda"/>
    <x v="224"/>
    <x v="0"/>
    <x v="7"/>
    <x v="43"/>
    <s v="Cambio de equipo electronico ultrasonico equipo midiendo correctamente. Lec 0,13 m3 equipo queda operativo."/>
    <m/>
    <x v="4"/>
    <n v="11"/>
  </r>
  <r>
    <x v="7"/>
    <x v="26"/>
    <s v="Anibal Aranda"/>
    <x v="225"/>
    <x v="1"/>
    <x v="1"/>
    <x v="5"/>
    <s v="Regulación del capa, nocturno 10% = 06:30-18:00 90%, 18:00-23:59 50% (lunes a jueves). NOCTURNO 10% = 06:30 - 16:30 90%, 16:00 - 23:59 50%. (viernes)."/>
    <m/>
    <x v="4"/>
    <n v="11"/>
  </r>
  <r>
    <x v="7"/>
    <x v="14"/>
    <s v="Anibal Aranda"/>
    <x v="225"/>
    <x v="1"/>
    <x v="1"/>
    <x v="5"/>
    <s v="Regulación del cpa, nocturno 10% = 06:30-18:00 90%, 18:00-23:59 50% (lunes a jueves). NOCTURNO 10% = 06:30 - 16:30 90%, 16:00 - 23:59 50%. (viernes). se realizo un cambio de solenoide (1)."/>
    <m/>
    <x v="4"/>
    <n v="11"/>
  </r>
  <r>
    <x v="7"/>
    <x v="10"/>
    <s v="Anibal Aranda"/>
    <x v="225"/>
    <x v="1"/>
    <x v="1"/>
    <x v="5"/>
    <s v="Regulación del cpa, nocturno 10% = 06:30-18:00 90%, 18:00-23:59 50% (lunes a jueves). NOCTURNO 10% = 06:30 - 16:30 90%, 16:00 - 23:59 50%. (viernes). se realizo un cambio de solenoide (1)."/>
    <m/>
    <x v="4"/>
    <n v="11"/>
  </r>
  <r>
    <x v="8"/>
    <x v="25"/>
    <s v="Maurico Orellana"/>
    <x v="226"/>
    <x v="0"/>
    <x v="1"/>
    <x v="16"/>
    <s v="Activación de llave de emergencia en válvula de alta presión. cambio de solenoide en válvula. solenoide en mal estado."/>
    <m/>
    <x v="4"/>
    <n v="12"/>
  </r>
  <r>
    <x v="8"/>
    <x v="25"/>
    <s v="Maurico Orellana"/>
    <x v="227"/>
    <x v="0"/>
    <x v="1"/>
    <x v="7"/>
    <s v="Visita por apertura de llaves bypass en válvula de control, esta es normalizada y queda el sistema con control. equipo totalmente operativo."/>
    <m/>
    <x v="4"/>
    <n v="10"/>
  </r>
  <r>
    <x v="8"/>
    <x v="25"/>
    <s v="Maurico Orellana"/>
    <x v="228"/>
    <x v="0"/>
    <x v="1"/>
    <x v="16"/>
    <s v="Cambio de ambas solenoides (2) en válvulas de control. Equipo queda totalmente operativo. alta presión 06:00-17:00 - 06:00-16:00 (alta) - Baja presión 17:00 - 19:30 baja 16:00 - 19:30."/>
    <m/>
    <x v="4"/>
    <n v="11"/>
  </r>
  <r>
    <x v="3"/>
    <x v="4"/>
    <s v="Maurico Orellana"/>
    <x v="229"/>
    <x v="0"/>
    <x v="0"/>
    <x v="14"/>
    <s v="Apertura de llave bypass, chequeo de placa electrónica, se realizo un cambio de memoria, actualización de código pick it. chequeo de voltajes y solenoide. sistema habilitado 24 hrs por elecciones domingo 27 activado desde día miércoles 23-10-24. equipo dejado totalmente operativo."/>
    <m/>
    <x v="4"/>
    <n v="10"/>
  </r>
  <r>
    <x v="3"/>
    <x v="4"/>
    <s v="Maurico Orellana"/>
    <x v="227"/>
    <x v="0"/>
    <x v="0"/>
    <x v="19"/>
    <s v="Por problemas de control en cpa, se realiza el cambio de placa WES y fuente de 220v-12v. equipo queda operativo"/>
    <m/>
    <x v="4"/>
    <n v="10"/>
  </r>
  <r>
    <x v="0"/>
    <x v="22"/>
    <s v="Anibal Aranda"/>
    <x v="222"/>
    <x v="0"/>
    <x v="1"/>
    <x v="8"/>
    <s v="CPA con ambas válvulas malas, requieren un cambio. Planificación previa CORMO."/>
    <m/>
    <x v="4"/>
    <n v="12"/>
  </r>
  <r>
    <x v="0"/>
    <x v="17"/>
    <s v="Anibal Aranda"/>
    <x v="222"/>
    <x v="0"/>
    <x v="1"/>
    <x v="8"/>
    <s v="CPA con válvula de baja presión mala, es realizado el cambio de la válvula, dejando el equipo operativo."/>
    <m/>
    <x v="4"/>
    <n v="12"/>
  </r>
  <r>
    <x v="0"/>
    <x v="19"/>
    <s v="Maurico Orellana"/>
    <x v="222"/>
    <x v="1"/>
    <x v="9"/>
    <x v="35"/>
    <s v="Comienzo de auditoria con wes, Lec. 143442"/>
    <m/>
    <x v="4"/>
    <n v="12"/>
  </r>
  <r>
    <x v="0"/>
    <x v="0"/>
    <s v="Maurico Orellana"/>
    <x v="230"/>
    <x v="3"/>
    <x v="8"/>
    <x v="18"/>
    <s v="Instalación de equipo monitoreo wes, canalización, empalme eléctrico; falta sensor de pulso."/>
    <m/>
    <x v="4"/>
    <n v="11"/>
  </r>
  <r>
    <x v="0"/>
    <x v="23"/>
    <s v="Maurico Orellana"/>
    <x v="231"/>
    <x v="1"/>
    <x v="1"/>
    <x v="5"/>
    <s v="Reprogramación; 12-10-24 servel."/>
    <m/>
    <x v="4"/>
    <n v="10"/>
  </r>
  <r>
    <x v="0"/>
    <x v="18"/>
    <s v="Anibal Aranda"/>
    <x v="231"/>
    <x v="1"/>
    <x v="1"/>
    <x v="5"/>
    <s v="Regularización de CPA post elecciones, sistema queda operativo."/>
    <m/>
    <x v="4"/>
    <n v="10"/>
  </r>
  <r>
    <x v="0"/>
    <x v="15"/>
    <s v="Anibal Aranda"/>
    <x v="231"/>
    <x v="1"/>
    <x v="1"/>
    <x v="5"/>
    <s v="Regularización de CPA post elecciones, sistema queda operativo."/>
    <m/>
    <x v="4"/>
    <n v="10"/>
  </r>
  <r>
    <x v="0"/>
    <x v="35"/>
    <s v="Anibal Aranda"/>
    <x v="231"/>
    <x v="0"/>
    <x v="1"/>
    <x v="7"/>
    <s v="Visita para regularización no es llevada a cabo a causa de una inundación en el CPA, debido a una filtración proveniente de medidor de agua potable, cormup debe gestionar la reparación con Aguas Andinas."/>
    <m/>
    <x v="4"/>
    <n v="10"/>
  </r>
  <r>
    <x v="0"/>
    <x v="13"/>
    <s v="Anibal Aranda"/>
    <x v="231"/>
    <x v="1"/>
    <x v="1"/>
    <x v="5"/>
    <s v="Normalización de sistema CPA post elecciones. sistema operativo."/>
    <m/>
    <x v="4"/>
    <n v="10"/>
  </r>
  <r>
    <x v="0"/>
    <x v="1"/>
    <s v="Anibal Aranda"/>
    <x v="231"/>
    <x v="1"/>
    <x v="1"/>
    <x v="5"/>
    <s v="Normalización de sistema CPA post elecciones. sistema operativo."/>
    <m/>
    <x v="4"/>
    <n v="10"/>
  </r>
  <r>
    <x v="0"/>
    <x v="23"/>
    <s v="Maurico Orellana"/>
    <x v="231"/>
    <x v="1"/>
    <x v="1"/>
    <x v="5"/>
    <s v="Normalización de sistema CPA post elecciones. sistema operativo."/>
    <m/>
    <x v="4"/>
    <n v="10"/>
  </r>
  <r>
    <x v="0"/>
    <x v="15"/>
    <s v="Maurico Orellana"/>
    <x v="227"/>
    <x v="0"/>
    <x v="1"/>
    <x v="7"/>
    <s v="Apertura bypass en horario am, se asegura apertura de 06:40 a 06:00 am. Equipo operativo."/>
    <m/>
    <x v="4"/>
    <n v="10"/>
  </r>
  <r>
    <x v="0"/>
    <x v="17"/>
    <s v="Maurico Orellana"/>
    <x v="231"/>
    <x v="1"/>
    <x v="1"/>
    <x v="5"/>
    <s v="Regulación de sistema cpa post elecciones. Equipo operativo"/>
    <m/>
    <x v="4"/>
    <n v="10"/>
  </r>
  <r>
    <x v="0"/>
    <x v="21"/>
    <s v="Maurico Orellana"/>
    <x v="231"/>
    <x v="1"/>
    <x v="1"/>
    <x v="5"/>
    <s v="Regulacion de sistema cpa post elecciones. Equipo operativo"/>
    <m/>
    <x v="4"/>
    <n v="10"/>
  </r>
  <r>
    <x v="0"/>
    <x v="19"/>
    <s v="Maurico Orellana"/>
    <x v="231"/>
    <x v="1"/>
    <x v="1"/>
    <x v="5"/>
    <s v="Normalizacion de cpa post elecciones, equipo operativo."/>
    <m/>
    <x v="4"/>
    <n v="10"/>
  </r>
  <r>
    <x v="0"/>
    <x v="15"/>
    <s v="Anibal Aranda"/>
    <x v="178"/>
    <x v="1"/>
    <x v="2"/>
    <x v="15"/>
    <s v="Visita por cambio de horario para dia sabado 07-09-24. Lechidrica 06:30 cierrre 20:00 hrs."/>
    <m/>
    <x v="4"/>
    <n v="9"/>
  </r>
  <r>
    <x v="0"/>
    <x v="23"/>
    <s v="Anibal Aranda"/>
    <x v="178"/>
    <x v="1"/>
    <x v="2"/>
    <x v="15"/>
    <s v="Visita por cambio de horario, de adelanta 1 hora reloj de sistema wes. equipo operativo."/>
    <m/>
    <x v="4"/>
    <n v="9"/>
  </r>
  <r>
    <x v="0"/>
    <x v="18"/>
    <s v="Anibal Aranda"/>
    <x v="222"/>
    <x v="1"/>
    <x v="9"/>
    <x v="35"/>
    <s v="Comienzo de auditoria con wes lec. 57966, cambio de ambas solenoides (2)."/>
    <m/>
    <x v="4"/>
    <n v="12"/>
  </r>
  <r>
    <x v="0"/>
    <x v="20"/>
    <s v="Maurico Orellana"/>
    <x v="222"/>
    <x v="1"/>
    <x v="9"/>
    <x v="35"/>
    <s v="Comienzo de auditoria con wes lec. 72189, cambio de membrana y cambio de solenoides."/>
    <m/>
    <x v="4"/>
    <n v="12"/>
  </r>
  <r>
    <x v="0"/>
    <x v="16"/>
    <s v="Maurico Orellana"/>
    <x v="232"/>
    <x v="0"/>
    <x v="11"/>
    <x v="44"/>
    <s v="Rotura de 2 cañerias a causa de frustracion y canalizacion de tuberia electrica, estas ya fueron reparadas y probadas."/>
    <m/>
    <x v="4"/>
    <n v="11"/>
  </r>
  <r>
    <x v="0"/>
    <x v="16"/>
    <s v="Maurico Orellana"/>
    <x v="222"/>
    <x v="1"/>
    <x v="9"/>
    <x v="32"/>
    <s v="Validacion wes lectura 01698"/>
    <m/>
    <x v="4"/>
    <n v="12"/>
  </r>
  <r>
    <x v="0"/>
    <x v="23"/>
    <s v="Maurico Orellana"/>
    <x v="222"/>
    <x v="1"/>
    <x v="9"/>
    <x v="36"/>
    <s v="Activacion cpa wes, Lectura 127306"/>
    <m/>
    <x v="4"/>
    <n v="12"/>
  </r>
  <r>
    <x v="0"/>
    <x v="15"/>
    <s v="Anibal Aranda"/>
    <x v="222"/>
    <x v="1"/>
    <x v="9"/>
    <x v="36"/>
    <s v="Activacion cpa wes"/>
    <m/>
    <x v="4"/>
    <n v="12"/>
  </r>
  <r>
    <x v="0"/>
    <x v="35"/>
    <s v="Anibal Aranda"/>
    <x v="222"/>
    <x v="1"/>
    <x v="9"/>
    <x v="36"/>
    <s v="Activacion cpa wes"/>
    <m/>
    <x v="4"/>
    <n v="12"/>
  </r>
  <r>
    <x v="0"/>
    <x v="1"/>
    <s v="Anibal Aranda"/>
    <x v="222"/>
    <x v="1"/>
    <x v="9"/>
    <x v="36"/>
    <s v="Activacion cpa wes, Lec 872460"/>
    <m/>
    <x v="4"/>
    <n v="12"/>
  </r>
  <r>
    <x v="0"/>
    <x v="48"/>
    <s v="Anibal Aranda"/>
    <x v="222"/>
    <x v="1"/>
    <x v="9"/>
    <x v="23"/>
    <s v="validacion data, lectura 5x0,01 m3"/>
    <m/>
    <x v="4"/>
    <n v="12"/>
  </r>
  <r>
    <x v="0"/>
    <x v="21"/>
    <s v="Anibal Aranda"/>
    <x v="222"/>
    <x v="1"/>
    <x v="9"/>
    <x v="36"/>
    <s v="activacion cpa lec MAP 88469"/>
    <m/>
    <x v="4"/>
    <n v="12"/>
  </r>
  <r>
    <x v="0"/>
    <x v="13"/>
    <s v="Maurico Orellana"/>
    <x v="233"/>
    <x v="0"/>
    <x v="1"/>
    <x v="7"/>
    <s v="se activa bypass en ambas valvulas de control por falta de presion hidrica en establecimiento aguas andinas, no entrega suficiente presion hidrica."/>
    <m/>
    <x v="4"/>
    <n v="4"/>
  </r>
  <r>
    <x v="0"/>
    <x v="48"/>
    <s v="Maurico Orellana"/>
    <x v="234"/>
    <x v="1"/>
    <x v="9"/>
    <x v="36"/>
    <s v="finalización instalación sistema wes lec ultrasoico 7074x0,01"/>
    <m/>
    <x v="4"/>
    <n v="11"/>
  </r>
  <r>
    <x v="0"/>
    <x v="16"/>
    <s v="Anibal Aranda"/>
    <x v="235"/>
    <x v="1"/>
    <x v="9"/>
    <x v="36"/>
    <s v="finalización instalación sistema wes lec MAP 1652,2"/>
    <m/>
    <x v="4"/>
    <n v="11"/>
  </r>
  <r>
    <x v="0"/>
    <x v="18"/>
    <s v="Anibal Aranda"/>
    <x v="236"/>
    <x v="1"/>
    <x v="9"/>
    <x v="36"/>
    <s v="finalisacion actulisacion sistema wes lec MAP 57637"/>
    <m/>
    <x v="4"/>
    <n v="11"/>
  </r>
  <r>
    <x v="0"/>
    <x v="21"/>
    <s v="Anibal Aranda"/>
    <x v="237"/>
    <x v="1"/>
    <x v="9"/>
    <x v="35"/>
    <s v="lec map 86494"/>
    <m/>
    <x v="4"/>
    <n v="11"/>
  </r>
  <r>
    <x v="0"/>
    <x v="13"/>
    <s v="Maurico Orellana"/>
    <x v="237"/>
    <x v="0"/>
    <x v="1"/>
    <x v="12"/>
    <s v="renovacion de sistema cir, canalisacion de cableado sensor de pulso mas solenoide_x000a_equipo 100% operativo, lec map 233541"/>
    <m/>
    <x v="4"/>
    <n v="11"/>
  </r>
  <r>
    <x v="0"/>
    <x v="35"/>
    <s v="Maurico Orellana"/>
    <x v="235"/>
    <x v="1"/>
    <x v="9"/>
    <x v="36"/>
    <s v="finalización actualización cir_x000a_lec map 137800"/>
    <m/>
    <x v="4"/>
    <n v="11"/>
  </r>
  <r>
    <x v="0"/>
    <x v="17"/>
    <s v="Maurico Orellana"/>
    <x v="236"/>
    <x v="1"/>
    <x v="2"/>
    <x v="3"/>
    <s v="actualización sistema de monitoreo + control cpa, chequeo de solenoides_x000a_lectura validacion 2412"/>
    <m/>
    <x v="4"/>
    <n v="11"/>
  </r>
  <r>
    <x v="0"/>
    <x v="1"/>
    <s v="Anibal Aranda"/>
    <x v="230"/>
    <x v="1"/>
    <x v="0"/>
    <x v="45"/>
    <s v="finalización up grade wes lec validacion 272307"/>
    <m/>
    <x v="4"/>
    <n v="11"/>
  </r>
  <r>
    <x v="0"/>
    <x v="22"/>
    <s v="Anibal Aranda"/>
    <x v="238"/>
    <x v="1"/>
    <x v="0"/>
    <x v="45"/>
    <s v="finalización up grade wes lec validacion 70835"/>
    <m/>
    <x v="4"/>
    <n v="11"/>
  </r>
  <r>
    <x v="0"/>
    <x v="19"/>
    <s v="Anibal Aranda"/>
    <x v="179"/>
    <x v="1"/>
    <x v="0"/>
    <x v="45"/>
    <s v="finalización up grade wes"/>
    <m/>
    <x v="4"/>
    <n v="11"/>
  </r>
  <r>
    <x v="0"/>
    <x v="15"/>
    <s v="Maurico Orellana"/>
    <x v="238"/>
    <x v="1"/>
    <x v="0"/>
    <x v="45"/>
    <s v="finalización up grade wes"/>
    <m/>
    <x v="4"/>
    <n v="11"/>
  </r>
  <r>
    <x v="6"/>
    <x v="0"/>
    <s v="Maurico Orellana"/>
    <x v="230"/>
    <x v="0"/>
    <x v="1"/>
    <x v="12"/>
    <s v="instalacion sesnsor de pulso"/>
    <m/>
    <x v="4"/>
    <n v="11"/>
  </r>
  <r>
    <x v="17"/>
    <x v="66"/>
    <s v="Anibal Aranda"/>
    <x v="239"/>
    <x v="0"/>
    <x v="1"/>
    <x v="5"/>
    <s v="regulacion cpa con maxima capasidad de caudal, altra presion 90%_x000a_baja presion 70% chequeo de caudales ok."/>
    <m/>
    <x v="4"/>
    <n v="12"/>
  </r>
  <r>
    <x v="13"/>
    <x v="45"/>
    <s v="Maurico Orellana"/>
    <x v="174"/>
    <x v="0"/>
    <x v="1"/>
    <x v="5"/>
    <s v="regulacion cpa con maxima capasidad de caudal, altra presion 90%_x000a_baja presion 70% chequeo de caudales ok."/>
    <m/>
    <x v="4"/>
    <n v="8"/>
  </r>
  <r>
    <x v="7"/>
    <x v="26"/>
    <s v="Maurico Orellana"/>
    <x v="240"/>
    <x v="0"/>
    <x v="1"/>
    <x v="5"/>
    <s v="llamado de establesimiento por baja presion , se modifica horario de apertura _x000a_antes 07:00am y se actualiza apertura a las 06:00am."/>
    <m/>
    <x v="4"/>
    <n v="7"/>
  </r>
  <r>
    <x v="7"/>
    <x v="12"/>
    <s v="Maurico Orellana"/>
    <x v="241"/>
    <x v="0"/>
    <x v="3"/>
    <x v="6"/>
    <s v="revicion de equipo por desconexion, se recomienda renovacion de router."/>
    <m/>
    <x v="4"/>
    <n v="7"/>
  </r>
  <r>
    <x v="15"/>
    <x v="88"/>
    <s v="Anibal Aranda"/>
    <x v="242"/>
    <x v="7"/>
    <x v="4"/>
    <x v="18"/>
    <s v="cambio de fuente de poder, chequeo de sistema._x000a_22/03/21; 23/03/21 visitas"/>
    <s v="solenoide de alta presion dañada, se realiza cambio de solenoide en valvula quedando operativo"/>
    <x v="3"/>
    <n v="3"/>
  </r>
  <r>
    <x v="4"/>
    <x v="91"/>
    <s v="Maurico Orellana"/>
    <x v="243"/>
    <x v="0"/>
    <x v="0"/>
    <x v="6"/>
    <s v="equipo desconectado, este es reiniciado y empalmado a placa wes_x000a_para su reinicio"/>
    <m/>
    <x v="4"/>
    <n v="8"/>
  </r>
  <r>
    <x v="4"/>
    <x v="32"/>
    <s v="Maurico Orellana"/>
    <x v="244"/>
    <x v="0"/>
    <x v="3"/>
    <x v="6"/>
    <s v="desconexion por desconfiguracion , esta es regularizada _x000a_equipo operativo."/>
    <m/>
    <x v="4"/>
    <n v="7"/>
  </r>
  <r>
    <x v="4"/>
    <x v="32"/>
    <s v="Maurico Orellana"/>
    <x v="244"/>
    <x v="0"/>
    <x v="3"/>
    <x v="6"/>
    <s v="desconexion por desconfiguracion , esta es regularizada _x000a_equipo operativo."/>
    <m/>
    <x v="4"/>
    <n v="7"/>
  </r>
  <r>
    <x v="4"/>
    <x v="5"/>
    <s v="Maurico Orellana"/>
    <x v="244"/>
    <x v="0"/>
    <x v="0"/>
    <x v="40"/>
    <s v="ruido en placa provoca desconfiguracion, check de memoria ok._x000a_se requiere cambio de membrana en ambas valvulas de control"/>
    <m/>
    <x v="4"/>
    <n v="7"/>
  </r>
  <r>
    <x v="0"/>
    <x v="20"/>
    <s v="Maurico Orellana"/>
    <x v="240"/>
    <x v="0"/>
    <x v="4"/>
    <x v="28"/>
    <s v="activacion bypass por corte electrico e l comuna._x000a_esta es regularizada chequeo de corte en valvulas ok."/>
    <m/>
    <x v="4"/>
    <n v="7"/>
  </r>
  <r>
    <x v="0"/>
    <x v="21"/>
    <s v="Maurico Orellana"/>
    <x v="240"/>
    <x v="0"/>
    <x v="1"/>
    <x v="7"/>
    <s v="regurarisacion bypass en valvula de control."/>
    <m/>
    <x v="4"/>
    <n v="7"/>
  </r>
  <r>
    <x v="0"/>
    <x v="20"/>
    <s v="Maurico Orellana"/>
    <x v="245"/>
    <x v="1"/>
    <x v="9"/>
    <x v="35"/>
    <s v="comienzo auditoria con control wes lec. 61029"/>
    <m/>
    <x v="4"/>
    <n v="7"/>
  </r>
  <r>
    <x v="0"/>
    <x v="20"/>
    <s v="Maurico Orellana"/>
    <x v="241"/>
    <x v="1"/>
    <x v="9"/>
    <x v="36"/>
    <s v="termino auditoria lec mdidor 61232 46% rendimiento."/>
    <m/>
    <x v="4"/>
    <n v="7"/>
  </r>
  <r>
    <x v="0"/>
    <x v="20"/>
    <s v="Maurico Orellana"/>
    <x v="241"/>
    <x v="1"/>
    <x v="9"/>
    <x v="36"/>
    <s v="termino auditoria lec mdidor 61232 46% rendimiento."/>
    <m/>
    <x v="4"/>
    <n v="7"/>
  </r>
  <r>
    <x v="0"/>
    <x v="20"/>
    <s v="Maurico Orellana"/>
    <x v="241"/>
    <x v="1"/>
    <x v="9"/>
    <x v="35"/>
    <s v="comienzo auditoria son wes lec. 60586"/>
    <m/>
    <x v="4"/>
    <n v="7"/>
  </r>
  <r>
    <x v="0"/>
    <x v="19"/>
    <s v="Maurico Orellana"/>
    <x v="240"/>
    <x v="0"/>
    <x v="1"/>
    <x v="16"/>
    <s v="corte hidrico se debe a solenoide en mal estado, esta es remplazada _x000a_equipo 100% operativo."/>
    <m/>
    <x v="4"/>
    <n v="7"/>
  </r>
  <r>
    <x v="17"/>
    <x v="73"/>
    <s v="Maurico Orellana"/>
    <x v="246"/>
    <x v="0"/>
    <x v="0"/>
    <x v="14"/>
    <s v="desconfiguracion horaria por duido en placa. se realiza testeo de memoria, _x000a_chequeo de voltajes. sistema conectado y cpa operativo."/>
    <m/>
    <x v="4"/>
    <n v="7"/>
  </r>
  <r>
    <x v="17"/>
    <x v="92"/>
    <s v="Maurico Orellana"/>
    <x v="247"/>
    <x v="0"/>
    <x v="1"/>
    <x v="16"/>
    <s v="valvula de alta con problemas en solenoide, se remplaza solenoide quedando 100%_x000a_operativo"/>
    <m/>
    <x v="4"/>
    <n v="6"/>
  </r>
  <r>
    <x v="17"/>
    <x v="62"/>
    <s v="Maurico Orellana"/>
    <x v="248"/>
    <x v="0"/>
    <x v="4"/>
    <x v="28"/>
    <s v="desconexion y activacion de bypass por cortes electricos prolongados,_x000a_se regula caudal nocturno a 170 lxm, equipo 100% operativo."/>
    <m/>
    <x v="4"/>
    <n v="8"/>
  </r>
  <r>
    <x v="17"/>
    <x v="66"/>
    <s v="Maurico Orellana"/>
    <x v="249"/>
    <x v="0"/>
    <x v="1"/>
    <x v="7"/>
    <s v="urto de solenoide en valvula de control baja, esta es repuesta e instalada _x000a_se normaliza sistema cpa."/>
    <m/>
    <x v="4"/>
    <n v="7"/>
  </r>
  <r>
    <x v="17"/>
    <x v="66"/>
    <s v="Maurico Orellana"/>
    <x v="244"/>
    <x v="0"/>
    <x v="1"/>
    <x v="16"/>
    <s v="visita por membrana defectuosa, ambas membranas en las estado , 1 solenoide en mal estado _x000a_se considera cambio de membranas en valvulas de control."/>
    <m/>
    <x v="4"/>
    <n v="7"/>
  </r>
  <r>
    <x v="17"/>
    <x v="66"/>
    <s v="Maurico Orellana"/>
    <x v="244"/>
    <x v="0"/>
    <x v="1"/>
    <x v="1"/>
    <s v="cambio de membrana en valvula de control, equipo 100% operativo"/>
    <m/>
    <x v="4"/>
    <n v="7"/>
  </r>
  <r>
    <x v="17"/>
    <x v="65"/>
    <s v="Maurico Orellana"/>
    <x v="250"/>
    <x v="0"/>
    <x v="4"/>
    <x v="19"/>
    <s v="cambio de fuente de poder, cambio de placa wes, cambio de solenoide,_x000a_equipo 100% operativo"/>
    <m/>
    <x v="4"/>
    <n v="7"/>
  </r>
  <r>
    <x v="17"/>
    <x v="63"/>
    <s v="Maurico Orellana"/>
    <x v="251"/>
    <x v="0"/>
    <x v="4"/>
    <x v="19"/>
    <s v="desconexion por ruido electrico, cambio de fuente switching, chequeo de voltajes ok,_x000a_equipo 100% operativo."/>
    <m/>
    <x v="4"/>
    <n v="7"/>
  </r>
  <r>
    <x v="13"/>
    <x v="93"/>
    <s v="Anibal Aranda"/>
    <x v="252"/>
    <x v="0"/>
    <x v="7"/>
    <x v="26"/>
    <s v="tranductor up sin gel ultrasonico, se repara condicion dejando equipo operativo."/>
    <m/>
    <x v="4"/>
    <n v="5"/>
  </r>
  <r>
    <x v="13"/>
    <x v="45"/>
    <s v="Anibal Aranda"/>
    <x v="253"/>
    <x v="0"/>
    <x v="0"/>
    <x v="14"/>
    <s v="error en memoria externa, integrado defectuoso, se realiza cambio dejando equipo operativo"/>
    <m/>
    <x v="4"/>
    <n v="7"/>
  </r>
  <r>
    <x v="10"/>
    <x v="41"/>
    <s v="Anibal Aranda"/>
    <x v="254"/>
    <x v="0"/>
    <x v="3"/>
    <x v="46"/>
    <s v="cable de red agunsa dañado en canalisacion, se decide dejar router agunsa _x000a_dentro del gabinete wes para proteger router y asegurar la conectividad"/>
    <m/>
    <x v="4"/>
    <n v="8"/>
  </r>
  <r>
    <x v="4"/>
    <x v="5"/>
    <s v="Maurico Orellana"/>
    <x v="254"/>
    <x v="0"/>
    <x v="1"/>
    <x v="1"/>
    <s v="normalisacion de sistema, recuperacion de membrana ok, regulacion nocturna _x000a_19lxm, equipo 100% operativo"/>
    <m/>
    <x v="4"/>
    <n v="8"/>
  </r>
  <r>
    <x v="0"/>
    <x v="23"/>
    <s v="Anibal Aranda"/>
    <x v="248"/>
    <x v="0"/>
    <x v="1"/>
    <x v="5"/>
    <s v="visita por reprogramacion horaria, relos adelantado 1 hora se _x000a_normalisa, equipo 100% operativo."/>
    <m/>
    <x v="4"/>
    <n v="8"/>
  </r>
  <r>
    <x v="0"/>
    <x v="20"/>
    <s v="Anibal Aranda"/>
    <x v="255"/>
    <x v="0"/>
    <x v="1"/>
    <x v="7"/>
    <s v="activacion de bypass por corte de luz en comuna"/>
    <m/>
    <x v="4"/>
    <n v="8"/>
  </r>
  <r>
    <x v="0"/>
    <x v="21"/>
    <s v="Anibal Aranda"/>
    <x v="255"/>
    <x v="0"/>
    <x v="1"/>
    <x v="7"/>
    <s v="activacion de bypass por corte de luz en comuna"/>
    <m/>
    <x v="4"/>
    <n v="8"/>
  </r>
  <r>
    <x v="0"/>
    <x v="1"/>
    <s v="Anibal Aranda"/>
    <x v="255"/>
    <x v="0"/>
    <x v="1"/>
    <x v="7"/>
    <s v="activacion de bypass por corte de luz en comuna"/>
    <m/>
    <x v="4"/>
    <n v="8"/>
  </r>
  <r>
    <x v="17"/>
    <x v="84"/>
    <s v="Maurico Orellana"/>
    <x v="256"/>
    <x v="0"/>
    <x v="3"/>
    <x v="21"/>
    <s v="equipo desconectado, este es reiniciado, quedando en linea, 100% operativo"/>
    <m/>
    <x v="4"/>
    <n v="7"/>
  </r>
  <r>
    <x v="17"/>
    <x v="74"/>
    <s v="Maurico Orellana"/>
    <x v="177"/>
    <x v="0"/>
    <x v="1"/>
    <x v="5"/>
    <s v="normalisacion control nocturno cpa, 50ltxmin"/>
    <m/>
    <x v="4"/>
    <n v="8"/>
  </r>
  <r>
    <x v="17"/>
    <x v="94"/>
    <s v="Anibal Aranda"/>
    <x v="256"/>
    <x v="0"/>
    <x v="4"/>
    <x v="19"/>
    <s v="cambio de fuente switching, cambio de pick+reloj+memoria que fueron _x000a_dañados por fuente antigua"/>
    <m/>
    <x v="4"/>
    <n v="7"/>
  </r>
  <r>
    <x v="17"/>
    <x v="94"/>
    <s v="Anibal Aranda"/>
    <x v="256"/>
    <x v="0"/>
    <x v="4"/>
    <x v="19"/>
    <s v="cambio de fuente switching, cambio de pick+reloj+memoria que fueron _x000a_dañados por fuente antigua"/>
    <m/>
    <x v="4"/>
    <n v="7"/>
  </r>
  <r>
    <x v="17"/>
    <x v="95"/>
    <s v="Maurico Orellana"/>
    <x v="256"/>
    <x v="0"/>
    <x v="4"/>
    <x v="7"/>
    <s v="automaticos de gabinete esforpen abajo, se normaliza y queda operativo"/>
    <m/>
    <x v="4"/>
    <n v="7"/>
  </r>
  <r>
    <x v="17"/>
    <x v="92"/>
    <s v="Maurico Orellana"/>
    <x v="256"/>
    <x v="0"/>
    <x v="4"/>
    <x v="38"/>
    <s v="bateria solar con carga baja, queda cargando sin conexion por 72hrs"/>
    <m/>
    <x v="4"/>
    <n v="7"/>
  </r>
  <r>
    <x v="17"/>
    <x v="92"/>
    <s v="Maurico Orellana"/>
    <x v="248"/>
    <x v="0"/>
    <x v="4"/>
    <x v="38"/>
    <s v="reconexion a bateria (13.1v) se programa interas de 15 min para recuperacion de data._x000a_equipo 100% operativo"/>
    <m/>
    <x v="4"/>
    <n v="8"/>
  </r>
  <r>
    <x v="17"/>
    <x v="94"/>
    <s v="Maurico Orellana"/>
    <x v="248"/>
    <x v="0"/>
    <x v="4"/>
    <x v="28"/>
    <s v="punto caido por baja de automatico, cambio de empalme soluciona el problema raiz_x000a_equipo 100% operativo"/>
    <m/>
    <x v="4"/>
    <n v="8"/>
  </r>
  <r>
    <x v="17"/>
    <x v="66"/>
    <s v="Anibal Aranda"/>
    <x v="257"/>
    <x v="0"/>
    <x v="1"/>
    <x v="1"/>
    <s v="valvula de alta y baja presion no sierra, se requiere camcio de membrana."/>
    <m/>
    <x v="4"/>
    <n v="7"/>
  </r>
  <r>
    <x v="17"/>
    <x v="61"/>
    <s v="Maurico Orellana"/>
    <x v="250"/>
    <x v="0"/>
    <x v="1"/>
    <x v="5"/>
    <s v="regulacion alta presion 980lxm_x000a_regulacion baja preion 780lxm."/>
    <m/>
    <x v="4"/>
    <n v="7"/>
  </r>
  <r>
    <x v="15"/>
    <x v="88"/>
    <s v="Anibal Aranda"/>
    <x v="258"/>
    <x v="7"/>
    <x v="1"/>
    <x v="18"/>
    <s v="cambio de modem por problemas de enlase."/>
    <m/>
    <x v="3"/>
    <n v="4"/>
  </r>
  <r>
    <x v="15"/>
    <x v="88"/>
    <s v="Anibal Aranda"/>
    <x v="259"/>
    <x v="7"/>
    <x v="0"/>
    <x v="18"/>
    <m/>
    <m/>
    <x v="3"/>
    <n v="6"/>
  </r>
  <r>
    <x v="6"/>
    <x v="30"/>
    <s v="Maurico Orellana"/>
    <x v="260"/>
    <x v="3"/>
    <x v="8"/>
    <x v="18"/>
    <s v="instalacion punto de monitoreo, gabinete cir + placa wes+ router tp link+ sensor de pulso._x000a_"/>
    <m/>
    <x v="4"/>
    <n v="6"/>
  </r>
  <r>
    <x v="17"/>
    <x v="61"/>
    <s v="Maurico Orellana"/>
    <x v="260"/>
    <x v="0"/>
    <x v="0"/>
    <x v="14"/>
    <s v="ruido en placa provoca desconfiguraciin de horarios, se realiza cambio de memoria _x000a_y confuguracion de horarios."/>
    <m/>
    <x v="4"/>
    <n v="6"/>
  </r>
  <r>
    <x v="4"/>
    <x v="96"/>
    <s v="Maurico Orellana"/>
    <x v="261"/>
    <x v="0"/>
    <x v="1"/>
    <x v="7"/>
    <s v="sensor de pulso fuera de postura, este es reinstalado. equipo operativo."/>
    <m/>
    <x v="4"/>
    <n v="6"/>
  </r>
  <r>
    <x v="4"/>
    <x v="33"/>
    <s v="Maurico Orellana"/>
    <x v="261"/>
    <x v="0"/>
    <x v="0"/>
    <x v="40"/>
    <s v="SISTEMA CON RUIDO EN PLACA CAUSA CAMBIOS DE HORARIO E ID_x000a_CHEQUEO DE MEMORIA ARROJA CERO ERROR. PLACA PUESTA EN LINEA"/>
    <m/>
    <x v="4"/>
    <n v="6"/>
  </r>
  <r>
    <x v="4"/>
    <x v="5"/>
    <s v="Maurico Orellana"/>
    <x v="262"/>
    <x v="0"/>
    <x v="3"/>
    <x v="6"/>
    <s v="equipos desconectados; lav.maquinaria/ proderco/jcb/M.principal_x000a_todos los puntos son puesto en linea._x000a_M. principal, cambio de empalme, alimentado desde placa wes 9v_x000a_proderco, cambio de empalme, alimentado desde placa wes 9v."/>
    <m/>
    <x v="4"/>
    <n v="5"/>
  </r>
  <r>
    <x v="4"/>
    <x v="5"/>
    <s v="Anibal Aranda"/>
    <x v="263"/>
    <x v="1"/>
    <x v="1"/>
    <x v="5"/>
    <s v="en base al consumo constante de 5m3hora se regula a la baja, a 3m3xhora _x000a_maximo en periodo nocturno"/>
    <m/>
    <x v="4"/>
    <n v="5"/>
  </r>
  <r>
    <x v="17"/>
    <x v="65"/>
    <s v="Anibal Aranda"/>
    <x v="264"/>
    <x v="0"/>
    <x v="0"/>
    <x v="0"/>
    <s v="placa pegada por fuente, se realiza reinicio de sistema, se programa cambio _x000a_para reparacion final."/>
    <m/>
    <x v="4"/>
    <n v="4"/>
  </r>
  <r>
    <x v="17"/>
    <x v="65"/>
    <s v="Anibal Aranda"/>
    <x v="265"/>
    <x v="0"/>
    <x v="1"/>
    <x v="1"/>
    <s v="membrana desformada, se realiza complra de repuesto para planificar cambio."/>
    <m/>
    <x v="4"/>
    <n v="4"/>
  </r>
  <r>
    <x v="17"/>
    <x v="65"/>
    <s v="Anibal Aranda"/>
    <x v="262"/>
    <x v="0"/>
    <x v="1"/>
    <x v="1"/>
    <s v="cambio de membrana en valvula de baja, cambio de memoria en cir"/>
    <m/>
    <x v="4"/>
    <n v="5"/>
  </r>
  <r>
    <x v="17"/>
    <x v="61"/>
    <s v="Maurico Orellana"/>
    <x v="266"/>
    <x v="0"/>
    <x v="1"/>
    <x v="5"/>
    <s v="regulscion de baja presion; de 780lxm a 680lxm"/>
    <m/>
    <x v="4"/>
    <n v="6"/>
  </r>
  <r>
    <x v="17"/>
    <x v="64"/>
    <s v="Maurico Orellana"/>
    <x v="267"/>
    <x v="0"/>
    <x v="3"/>
    <x v="6"/>
    <s v="punto desconectado, cambio de empalme de router, conectado actualmente a placa wes."/>
    <m/>
    <x v="4"/>
    <n v="6"/>
  </r>
  <r>
    <x v="17"/>
    <x v="63"/>
    <s v="Maurico Orellana"/>
    <x v="267"/>
    <x v="0"/>
    <x v="3"/>
    <x v="6"/>
    <s v="punto desconectado, cambio de empalme de router, conectado actualmente a placa wes."/>
    <m/>
    <x v="4"/>
    <n v="6"/>
  </r>
  <r>
    <x v="17"/>
    <x v="64"/>
    <s v="Maurico Orellana"/>
    <x v="233"/>
    <x v="0"/>
    <x v="3"/>
    <x v="6"/>
    <s v="sistema desconectado por ruido en placa,chequo de memoria arroja 0 defecto,_x000a_esta es reconfigurada quedando 100% operativa."/>
    <m/>
    <x v="4"/>
    <n v="4"/>
  </r>
  <r>
    <x v="17"/>
    <x v="63"/>
    <s v="Maurico Orellana"/>
    <x v="233"/>
    <x v="0"/>
    <x v="1"/>
    <x v="12"/>
    <s v="SENSOR DE PULSO REMOVIDO POR VIBRACION EN CPA, ESTE ES FIJADO CON TORNILLO"/>
    <m/>
    <x v="4"/>
    <n v="4"/>
  </r>
  <r>
    <x v="12"/>
    <x v="97"/>
    <s v="Anibal Aranda"/>
    <x v="268"/>
    <x v="1"/>
    <x v="1"/>
    <x v="47"/>
    <s v="retiro de gabinete wes+ placa de establecimiento _x000a_validacion datos punto teatro 0,1% de error app wes vs map."/>
    <m/>
    <x v="4"/>
    <n v="3"/>
  </r>
  <r>
    <x v="12"/>
    <x v="97"/>
    <s v="Anibal Aranda"/>
    <x v="268"/>
    <x v="0"/>
    <x v="4"/>
    <x v="19"/>
    <s v="cambio de fuente switching para puntos de monitoreo _x000a_elementary 91217/teatro 5689/high school 32034"/>
    <m/>
    <x v="4"/>
    <n v="3"/>
  </r>
  <r>
    <x v="7"/>
    <x v="8"/>
    <s v="Maurico Orellana"/>
    <x v="269"/>
    <x v="0"/>
    <x v="4"/>
    <x v="48"/>
    <s v="cir con problemas en cargador solar este es remplazado quedando 100% operativo_x000a_solenoide en mal estado es remplazada quedando equipo cpa 100% operativo."/>
    <m/>
    <x v="4"/>
    <n v="3"/>
  </r>
  <r>
    <x v="0"/>
    <x v="21"/>
    <s v="Maurico Orellana"/>
    <x v="270"/>
    <x v="0"/>
    <x v="1"/>
    <x v="1"/>
    <s v="valvula desfectuosa, cambio de membrana en valvula de control quedando 100% operativa."/>
    <m/>
    <x v="4"/>
    <n v="3"/>
  </r>
  <r>
    <x v="0"/>
    <x v="22"/>
    <s v="Maurico Orellana"/>
    <x v="270"/>
    <x v="1"/>
    <x v="11"/>
    <x v="49"/>
    <s v="restauracion de camara cpa, recontruccion en ladrillo e instalacion de tapa camara _x000a_reinstalacion sistema cir, placa y fuente switching"/>
    <m/>
    <x v="4"/>
    <n v="3"/>
  </r>
  <r>
    <x v="0"/>
    <x v="21"/>
    <s v="Maurico Orellana"/>
    <x v="271"/>
    <x v="0"/>
    <x v="1"/>
    <x v="50"/>
    <s v="visita por no descarga de estanque sab baño varones, llave de paso en mal estado_x000a_impide paso de agua por agripamiento, esta es manipulada hasta lograr un mayor caudal,_x000a_se solicita cambio de tuberia"/>
    <m/>
    <x v="4"/>
    <n v="4"/>
  </r>
  <r>
    <x v="10"/>
    <x v="41"/>
    <s v="Maurico Orellana"/>
    <x v="269"/>
    <x v="0"/>
    <x v="1"/>
    <x v="7"/>
    <s v="visita por corte electrico provoca corte de agua, activacion de bypass, _x000a_se regulariza bypas y se regula caudal nocturno a 5lxm"/>
    <m/>
    <x v="4"/>
    <n v="3"/>
  </r>
  <r>
    <x v="10"/>
    <x v="41"/>
    <s v="Maurico Orellana"/>
    <x v="272"/>
    <x v="0"/>
    <x v="1"/>
    <x v="12"/>
    <s v="visita por problemas de lectura, sensor de pulso removido por vivraciones _x000a_de cpa, este es fijado con tornillo quedando 100% operativo"/>
    <m/>
    <x v="4"/>
    <n v="2"/>
  </r>
  <r>
    <x v="17"/>
    <x v="94"/>
    <s v="Maurico Orellana"/>
    <x v="272"/>
    <x v="0"/>
    <x v="4"/>
    <x v="28"/>
    <s v="cir sin energia 220v a causa de automatico caido por corte electrico,_x000a_este es normalisado sistema 100% operativo"/>
    <m/>
    <x v="4"/>
    <n v="2"/>
  </r>
  <r>
    <x v="3"/>
    <x v="4"/>
    <s v="Maurico Orellana"/>
    <x v="273"/>
    <x v="0"/>
    <x v="3"/>
    <x v="6"/>
    <s v="visita por desconexion, desconfiguracion horaria proboca desconexion de equipo_x000a_chequeo de memoria y reconfiguracion equipo 100% operativo"/>
    <m/>
    <x v="4"/>
    <n v="2"/>
  </r>
  <r>
    <x v="0"/>
    <x v="13"/>
    <s v="Maurico Orellana"/>
    <x v="274"/>
    <x v="0"/>
    <x v="1"/>
    <x v="5"/>
    <s v="extencion horaria 07:00 a 22:30 lunes a domingo por obras en establecimiento"/>
    <m/>
    <x v="5"/>
    <n v="1"/>
  </r>
  <r>
    <x v="0"/>
    <x v="21"/>
    <s v="Maurico Orellana"/>
    <x v="274"/>
    <x v="0"/>
    <x v="1"/>
    <x v="5"/>
    <s v="extencion horaria de 07:00 a 22:30 de lunes a domingo por obras en el establecimiento"/>
    <m/>
    <x v="5"/>
    <n v="1"/>
  </r>
  <r>
    <x v="15"/>
    <x v="88"/>
    <s v="Anibal Aranda"/>
    <x v="275"/>
    <x v="7"/>
    <x v="1"/>
    <x v="18"/>
    <s v="camara de medidor inundada lo que genera herror de lectura en medidor, se desagua camara para dejar operativo el sistema,_x000a_en revicion si pertenese a una fuga en tuberias pvc o si fue por efecto de aguas lluvias."/>
    <m/>
    <x v="3"/>
    <n v="7"/>
  </r>
  <r>
    <x v="15"/>
    <x v="88"/>
    <s v="Anibal Aranda"/>
    <x v="276"/>
    <x v="7"/>
    <x v="1"/>
    <x v="18"/>
    <m/>
    <m/>
    <x v="3"/>
    <n v="7"/>
  </r>
  <r>
    <x v="17"/>
    <x v="61"/>
    <s v="Maurico Orellana"/>
    <x v="277"/>
    <x v="0"/>
    <x v="1"/>
    <x v="12"/>
    <s v="visita por no visualisacion de pulso, esto se debe a la vibracion hidrica en tuberias _x000a_sensor de pulso se pone en posicion y se coloca tornillo de fijacion."/>
    <m/>
    <x v="4"/>
    <n v="2"/>
  </r>
  <r>
    <x v="17"/>
    <x v="61"/>
    <s v="Maurico Orellana"/>
    <x v="278"/>
    <x v="1"/>
    <x v="11"/>
    <x v="49"/>
    <s v="remodelacion tapa de camara cpa aplicacion de liquido _x000a_deswoxidante a pernos y tuercas."/>
    <m/>
    <x v="4"/>
    <n v="2"/>
  </r>
  <r>
    <x v="7"/>
    <x v="8"/>
    <s v="Maurico Orellana"/>
    <x v="279"/>
    <x v="0"/>
    <x v="4"/>
    <x v="28"/>
    <s v="revisión a sistema se detecta transformador solar en mal estado, se pide remplazar fusilera _x000a_y fusible quemado."/>
    <m/>
    <x v="4"/>
    <n v="2"/>
  </r>
  <r>
    <x v="7"/>
    <x v="27"/>
    <s v="Maurico Orellana"/>
    <x v="279"/>
    <x v="1"/>
    <x v="1"/>
    <x v="15"/>
    <s v="chequeo cpa, valvulas de control ok."/>
    <m/>
    <x v="4"/>
    <n v="2"/>
  </r>
  <r>
    <x v="7"/>
    <x v="28"/>
    <s v="Maurico Orellana"/>
    <x v="279"/>
    <x v="1"/>
    <x v="1"/>
    <x v="15"/>
    <s v="chequeo de cir ok, chequeo de cpa, cambio de solenoide en valvula de baja _x000a_sistema 100% operativo."/>
    <m/>
    <x v="4"/>
    <n v="2"/>
  </r>
  <r>
    <x v="7"/>
    <x v="11"/>
    <s v="Maurico Orellana"/>
    <x v="279"/>
    <x v="1"/>
    <x v="0"/>
    <x v="15"/>
    <s v="chequeo cir y cpa, sistema 100% operativo"/>
    <m/>
    <x v="4"/>
    <n v="2"/>
  </r>
  <r>
    <x v="7"/>
    <x v="10"/>
    <s v="Maurico Orellana"/>
    <x v="279"/>
    <x v="0"/>
    <x v="0"/>
    <x v="28"/>
    <s v="cir con control remoto suelto provoca corte electrico desenergisando placa_x000a_esta es regularizada equipo 100% operativo"/>
    <m/>
    <x v="4"/>
    <n v="2"/>
  </r>
  <r>
    <x v="7"/>
    <x v="38"/>
    <s v="Maurico Orellana"/>
    <x v="279"/>
    <x v="0"/>
    <x v="4"/>
    <x v="28"/>
    <s v="se solisita cambio de bateria u nuevo empalme electrico _x000a_sab en buenas condiciones funcionamiento 100% operativo"/>
    <m/>
    <x v="4"/>
    <n v="2"/>
  </r>
  <r>
    <x v="7"/>
    <x v="26"/>
    <s v="Maurico Orellana"/>
    <x v="279"/>
    <x v="0"/>
    <x v="0"/>
    <x v="15"/>
    <s v="chequeo cir y cpa 100% operativo"/>
    <m/>
    <x v="4"/>
    <n v="2"/>
  </r>
  <r>
    <x v="7"/>
    <x v="12"/>
    <s v="Maurico Orellana"/>
    <x v="279"/>
    <x v="0"/>
    <x v="0"/>
    <x v="15"/>
    <s v="sistema 100% operativo chequeo cir y cpa 100% operativo._x000a_sistema sab es retirado de baño de establecimiento"/>
    <m/>
    <x v="4"/>
    <n v="2"/>
  </r>
  <r>
    <x v="7"/>
    <x v="9"/>
    <s v="Maurico Orellana"/>
    <x v="279"/>
    <x v="0"/>
    <x v="0"/>
    <x v="14"/>
    <s v="sistema desconfigurado a causa de memoria defectuosa , se cambia memoria _x000a_quedando sistema 100% operativo."/>
    <m/>
    <x v="4"/>
    <n v="2"/>
  </r>
  <r>
    <x v="0"/>
    <x v="18"/>
    <s v="Maurico Orellana"/>
    <x v="280"/>
    <x v="0"/>
    <x v="4"/>
    <x v="28"/>
    <s v="se solicita cambio de fuente switching y cambio de empalme por problemas reiterativos _x000a_de corte electrico en linea _x000a_sab baño varones en buen estado, baño damas placa no hace el corte electrico, se requiere cambio _x000a_de potenciometro"/>
    <m/>
    <x v="4"/>
    <n v="2"/>
  </r>
  <r>
    <x v="0"/>
    <x v="0"/>
    <s v="Maurico Orellana"/>
    <x v="280"/>
    <x v="1"/>
    <x v="0"/>
    <x v="15"/>
    <s v="sistema sab baño damas 100% operativo_x000a_baño de varones chequeo de valvulas y solenoide ok, sensor de movimiento en _x000a_mal estado se solisita recambio."/>
    <m/>
    <x v="4"/>
    <n v="2"/>
  </r>
  <r>
    <x v="0"/>
    <x v="22"/>
    <s v="Maurico Orellana"/>
    <x v="280"/>
    <x v="1"/>
    <x v="0"/>
    <x v="15"/>
    <s v="se solicita renovsr sistrema cir, placa fuente switching + revicion de cpa _x000a_( valvulas de control antiguas)"/>
    <m/>
    <x v="4"/>
    <n v="2"/>
  </r>
  <r>
    <x v="0"/>
    <x v="22"/>
    <s v="Maurico Orellana"/>
    <x v="280"/>
    <x v="1"/>
    <x v="0"/>
    <x v="15"/>
    <s v="sistema sab 100% operativo, cpa 100% operativo _x000a_cpa 100% operativo"/>
    <m/>
    <x v="4"/>
    <n v="2"/>
  </r>
  <r>
    <x v="6"/>
    <x v="30"/>
    <s v="Maurico Orellana"/>
    <x v="280"/>
    <x v="1"/>
    <x v="0"/>
    <x v="15"/>
    <s v="sistema sab 100% operativo, cpa 100% operativo _x000a_cpa 100% operativo"/>
    <m/>
    <x v="4"/>
    <n v="2"/>
  </r>
  <r>
    <x v="0"/>
    <x v="35"/>
    <s v="Maurico Orellana"/>
    <x v="280"/>
    <x v="1"/>
    <x v="0"/>
    <x v="15"/>
    <s v="sistema sab 100% operativo, placa desconfigurada, se solicita cambio de fuente swiching _x000a_cpa inundado por fuga en valvula de control, se solicita cambio de ambas valvulas de contro"/>
    <m/>
    <x v="4"/>
    <n v="2"/>
  </r>
  <r>
    <x v="0"/>
    <x v="1"/>
    <s v="Maurico Orellana"/>
    <x v="280"/>
    <x v="1"/>
    <x v="1"/>
    <x v="51"/>
    <s v="revicion sistema cpa y cir 100% operativo_x000a_se remplaza solenoide por mal funcionamiento."/>
    <m/>
    <x v="4"/>
    <n v="2"/>
  </r>
  <r>
    <x v="0"/>
    <x v="13"/>
    <s v="Maurico Orellana"/>
    <x v="280"/>
    <x v="1"/>
    <x v="4"/>
    <x v="15"/>
    <s v="revicion sistema cpa y cir 100% operativo_x000a_revicion sistema sab 100% operativo"/>
    <m/>
    <x v="4"/>
    <n v="2"/>
  </r>
  <r>
    <x v="0"/>
    <x v="15"/>
    <s v="Maurico Orellana"/>
    <x v="277"/>
    <x v="1"/>
    <x v="4"/>
    <x v="15"/>
    <s v="revicion sistema cpa y cir 100% operativo_x000a_revicion sistema sab 100% operativo"/>
    <m/>
    <x v="4"/>
    <n v="2"/>
  </r>
  <r>
    <x v="0"/>
    <x v="23"/>
    <s v="Maurico Orellana"/>
    <x v="277"/>
    <x v="0"/>
    <x v="0"/>
    <x v="15"/>
    <s v="revicion cpa y cir ok, sistema sab 100% ooperativo, ruido en placa desconfigurada, _x000a_memoria es reprogramada se solicita cambio de fuente switching."/>
    <m/>
    <x v="4"/>
    <n v="2"/>
  </r>
  <r>
    <x v="0"/>
    <x v="20"/>
    <s v="Maurico Orellana"/>
    <x v="277"/>
    <x v="1"/>
    <x v="0"/>
    <x v="15"/>
    <s v="chequeo cir y cpa ok, sistema sab 100% operativo"/>
    <m/>
    <x v="4"/>
    <n v="2"/>
  </r>
  <r>
    <x v="0"/>
    <x v="19"/>
    <s v="Maurico Orellana"/>
    <x v="280"/>
    <x v="0"/>
    <x v="4"/>
    <x v="19"/>
    <s v="sistema cpa y valvulas de control ok, sistema cir requiere cambio de fuente switching,_x000a_por ruidos en placa, esta es reprogramada y pesta en linea, sistema cir100% operativo_x000a_"/>
    <m/>
    <x v="4"/>
    <n v="2"/>
  </r>
  <r>
    <x v="4"/>
    <x v="5"/>
    <s v="Maurico Orellana"/>
    <x v="281"/>
    <x v="0"/>
    <x v="1"/>
    <x v="5"/>
    <s v="normalisacion equipo cpa regulacion; nocturna 0,6m3x hora 00:01-06:00_x000a_se programa de 3:00 a 4:00 maxima presion para evaluar nivel de fuga."/>
    <m/>
    <x v="5"/>
    <n v="12"/>
  </r>
  <r>
    <x v="0"/>
    <x v="21"/>
    <s v="Maurico Orellana"/>
    <x v="280"/>
    <x v="1"/>
    <x v="0"/>
    <x v="15"/>
    <s v="sistema chequeo sab 100% operativo._x000a_sistema chequeo cir ok, cpa con 1 valvula de operativa y valvula 2 con problemas de funcionamiento _x000a_se soliita cambio de valvula u membrana."/>
    <m/>
    <x v="4"/>
    <n v="2"/>
  </r>
  <r>
    <x v="17"/>
    <x v="68"/>
    <s v="Maurico Orellana"/>
    <x v="282"/>
    <x v="0"/>
    <x v="1"/>
    <x v="5"/>
    <s v="regulacion sistema hidrico cpa lec; 556724_x000a_"/>
    <m/>
    <x v="4"/>
    <n v="2"/>
  </r>
  <r>
    <x v="17"/>
    <x v="74"/>
    <s v="Maurico Orellana"/>
    <x v="283"/>
    <x v="1"/>
    <x v="11"/>
    <x v="49"/>
    <s v="remodelacion tapa de camara y mantencion desixiante a pernos y tuercas."/>
    <m/>
    <x v="4"/>
    <n v="2"/>
  </r>
  <r>
    <x v="17"/>
    <x v="67"/>
    <s v="Anibal Aranda"/>
    <x v="284"/>
    <x v="0"/>
    <x v="1"/>
    <x v="7"/>
    <s v="visita por corte electrico en unidad se revisaron todo los equipos _x000a_asegurando el correcto funcionamiento"/>
    <m/>
    <x v="5"/>
    <n v="12"/>
  </r>
  <r>
    <x v="4"/>
    <x v="5"/>
    <s v="Anibal Aranda"/>
    <x v="284"/>
    <x v="0"/>
    <x v="1"/>
    <x v="5"/>
    <s v="regulacion nocturna de 0,5m3 a 0,8m3 programacion especial fin de año 2023."/>
    <m/>
    <x v="5"/>
    <n v="12"/>
  </r>
  <r>
    <x v="4"/>
    <x v="32"/>
    <s v="Anibal Aranda"/>
    <x v="285"/>
    <x v="0"/>
    <x v="0"/>
    <x v="14"/>
    <s v="memoria dañada provoca error de programacion , se cambia memoria y se normaliza equipo"/>
    <m/>
    <x v="4"/>
    <n v="1"/>
  </r>
  <r>
    <x v="4"/>
    <x v="90"/>
    <s v="Maurico Orellana"/>
    <x v="286"/>
    <x v="0"/>
    <x v="1"/>
    <x v="7"/>
    <s v="llave bypass activada por falta de agua en periodo nocturno, esta es regulada a 12lxm nocturno._x000a_modificacion horaria, programaion de dia lunes queda para toda la semana."/>
    <m/>
    <x v="4"/>
    <n v="3"/>
  </r>
  <r>
    <x v="4"/>
    <x v="90"/>
    <s v="Maurico Orellana"/>
    <x v="286"/>
    <x v="0"/>
    <x v="1"/>
    <x v="7"/>
    <s v="llave bypass activada por falta de agua en periodo nocturno, esta es regulada a 16,6lxm nocturno."/>
    <m/>
    <x v="4"/>
    <n v="3"/>
  </r>
  <r>
    <x v="4"/>
    <x v="90"/>
    <s v="Maurico Orellana"/>
    <x v="277"/>
    <x v="0"/>
    <x v="1"/>
    <x v="7"/>
    <s v="llave bypass activada por falta de agua en periodo nocturno, esta es regulada a 16,6lxm nocturno."/>
    <m/>
    <x v="4"/>
    <n v="2"/>
  </r>
  <r>
    <x v="4"/>
    <x v="90"/>
    <s v="Maurico Orellana"/>
    <x v="277"/>
    <x v="0"/>
    <x v="1"/>
    <x v="12"/>
    <s v="app marcando 0 en grafico; se visita terreno encontrando cable sulfatado en linea de canalisacion _x000a_sensor de pulso, este es reparado equipo monitoriando 100% operativo _x000a_"/>
    <m/>
    <x v="4"/>
    <n v="2"/>
  </r>
  <r>
    <x v="4"/>
    <x v="5"/>
    <s v="Maurico Orellana"/>
    <x v="277"/>
    <x v="0"/>
    <x v="1"/>
    <x v="7"/>
    <s v="visita por apertura llave de emergencia dia sabado 24-02-2024 esta es regularizada _x000a_a 14 a 16 lxm nocturno."/>
    <m/>
    <x v="4"/>
    <n v="2"/>
  </r>
  <r>
    <x v="17"/>
    <x v="63"/>
    <s v="Anibal Aranda"/>
    <x v="287"/>
    <x v="0"/>
    <x v="1"/>
    <x v="7"/>
    <s v="visita por apertura llave emergencia, esta es regularizada a 13 lxm nocturno_x000a_equipo 100% opertativo"/>
    <m/>
    <x v="4"/>
    <n v="3"/>
  </r>
  <r>
    <x v="17"/>
    <x v="62"/>
    <s v="Anibal Aranda"/>
    <x v="288"/>
    <x v="0"/>
    <x v="1"/>
    <x v="7"/>
    <s v="fin auditoria con wes; sabado 28-01-24; se activa protocolo de emergencia por corte _x000a_electrico, el equipo de mantencion notifica que el quipo electrogeno no tiene partida _x000a_automatica lo que proboca el corte hidrico."/>
    <m/>
    <x v="4"/>
    <n v="1"/>
  </r>
  <r>
    <x v="17"/>
    <x v="62"/>
    <s v="Anibal Aranda"/>
    <x v="289"/>
    <x v="0"/>
    <x v="1"/>
    <x v="5"/>
    <s v="regulacion nocturna y diurna ajustado. dia 900lxm noct. 100lxm"/>
    <m/>
    <x v="4"/>
    <n v="1"/>
  </r>
  <r>
    <x v="17"/>
    <x v="63"/>
    <s v="Maurico Orellana"/>
    <x v="290"/>
    <x v="0"/>
    <x v="1"/>
    <x v="5"/>
    <s v="visita por activacion de bypass, se visita punto no encontrando anomalidad en sistema _x000a_chequeo de pertura y bcierre de valvula de control, cheque funcionamiento solenoide _x000a_cir y cpa 100% operatrivo, cambio de pick it."/>
    <m/>
    <x v="4"/>
    <n v="4"/>
  </r>
  <r>
    <x v="17"/>
    <x v="84"/>
    <s v="Maurico Orellana"/>
    <x v="291"/>
    <x v="0"/>
    <x v="3"/>
    <x v="52"/>
    <s v="visita por desconexion; se realiza actualisacion de pick it, cambio de empalme alimentacion _x000a_amplimax 24v actualmente alimentado de fuente switching24v punto monitoriando _x000a_100% operativo."/>
    <m/>
    <x v="4"/>
    <n v="4"/>
  </r>
  <r>
    <x v="17"/>
    <x v="12"/>
    <s v="Maurico Orellana"/>
    <x v="292"/>
    <x v="0"/>
    <x v="1"/>
    <x v="16"/>
    <s v="visita por activacion llave bypass, esta es regularizada, corte de agua se debe a _x000a_soleniude en mal estado, esta es remplazada equipo 100% opertativo"/>
    <m/>
    <x v="4"/>
    <n v="4"/>
  </r>
  <r>
    <x v="7"/>
    <x v="12"/>
    <s v="Maurico Orellana"/>
    <x v="293"/>
    <x v="0"/>
    <x v="0"/>
    <x v="14"/>
    <s v="desconexion por desconfiguracion de memoria, no que no afecta disponibilidad hidrica _x000a_se realiza chequeo de memoria, sin defecto. Punto conectado cpa y cir 100% operativo"/>
    <m/>
    <x v="4"/>
    <n v="3"/>
  </r>
  <r>
    <x v="7"/>
    <x v="26"/>
    <s v="Maurico Orellana"/>
    <x v="293"/>
    <x v="0"/>
    <x v="1"/>
    <x v="5"/>
    <s v="visita por baja presion en las mañanas, se realizan pruebas de presion no teniendo _x000a_resultado positivo se presume &quot;fuga existente&quot; por despresurisacion de caudal."/>
    <m/>
    <x v="4"/>
    <n v="3"/>
  </r>
  <r>
    <x v="15"/>
    <x v="88"/>
    <s v="Cristian Sepulveda"/>
    <x v="294"/>
    <x v="7"/>
    <x v="3"/>
    <x v="18"/>
    <m/>
    <m/>
    <x v="3"/>
    <n v="7"/>
  </r>
  <r>
    <x v="0"/>
    <x v="21"/>
    <s v="Maurico Orellana"/>
    <x v="277"/>
    <x v="0"/>
    <x v="1"/>
    <x v="5"/>
    <s v="cambio de funciones en valvulas de control., valvula de baja pasa a ser alta presion,_x000a_horario de apertura hidrica, 07:00, cierre hidrico 23:00hrs._x000a_"/>
    <m/>
    <x v="4"/>
    <n v="2"/>
  </r>
  <r>
    <x v="4"/>
    <x v="5"/>
    <s v="Maurico Orellana"/>
    <x v="277"/>
    <x v="0"/>
    <x v="1"/>
    <x v="7"/>
    <s v="visita por apertura llave de emergencia, dia sabado 24-02-2024_x000a_esta es regularizada de 14-16lxm nocturno"/>
    <m/>
    <x v="4"/>
    <n v="2"/>
  </r>
  <r>
    <x v="4"/>
    <x v="5"/>
    <s v="Maurico Orellana"/>
    <x v="287"/>
    <x v="0"/>
    <x v="1"/>
    <x v="7"/>
    <s v="visita por apertura llave de emergencia, esta es regulada a 13lxm_x000a_nocturno, equipo 100% operativo."/>
    <m/>
    <x v="4"/>
    <n v="3"/>
  </r>
  <r>
    <x v="17"/>
    <x v="68"/>
    <s v="Anibal Aranda"/>
    <x v="288"/>
    <x v="1"/>
    <x v="9"/>
    <x v="36"/>
    <s v="fin auditoria con wes medidor AA; 606228 medidor wes; 548619, auditoria en cpa requiere repeticion _x000a_en impulsion por trabajos realizador en semana sin wes (corte de agua)"/>
    <m/>
    <x v="4"/>
    <n v="1"/>
  </r>
  <r>
    <x v="17"/>
    <x v="62"/>
    <s v="Anibal Aranda"/>
    <x v="295"/>
    <x v="1"/>
    <x v="1"/>
    <x v="5"/>
    <s v="se programa con nocturna y valvula de baja cumpliendo las funciones de alta con 900lxm_x000a_maximo entregado por la sanitaria sacyr.; lectura medidor 136777"/>
    <s v="valvula de alta requiere cambio de membrana"/>
    <x v="4"/>
    <n v="1"/>
  </r>
  <r>
    <x v="17"/>
    <x v="67"/>
    <s v="Anibal Aranda"/>
    <x v="296"/>
    <x v="0"/>
    <x v="1"/>
    <x v="5"/>
    <s v="programacion cpa wes baja presion 00:01-06:00_x000a_06:00-10:00/12:00-24:00/17:00-23:59 alta presion 1250lxm_x000a_10:00-12:00/14:00-17:00 media presion 850lxm"/>
    <m/>
    <x v="4"/>
    <n v="1"/>
  </r>
  <r>
    <x v="17"/>
    <x v="67"/>
    <s v="Anibal Aranda"/>
    <x v="297"/>
    <x v="0"/>
    <x v="1"/>
    <x v="5"/>
    <s v="se normaliza equipo, baja presion desde las 00:01- 06:00 200lxm_x000a_alta presion desde las 06:00- 23:59 650lxm"/>
    <m/>
    <x v="5"/>
    <n v="12"/>
  </r>
  <r>
    <x v="17"/>
    <x v="68"/>
    <s v="Anibal Aranda"/>
    <x v="297"/>
    <x v="0"/>
    <x v="3"/>
    <x v="11"/>
    <s v="max 232 quemada, esta es remplazada."/>
    <m/>
    <x v="5"/>
    <n v="12"/>
  </r>
  <r>
    <x v="17"/>
    <x v="61"/>
    <s v="Anibal Aranda"/>
    <x v="280"/>
    <x v="1"/>
    <x v="1"/>
    <x v="35"/>
    <s v="auditoria sin wes miercoles a jueves / auditoria con wes jueves a viernes _x000a_lectura AA; 261303 /lectura wes; 068062"/>
    <m/>
    <x v="4"/>
    <n v="2"/>
  </r>
  <r>
    <x v="17"/>
    <x v="61"/>
    <s v="Anibal Aranda"/>
    <x v="298"/>
    <x v="0"/>
    <x v="1"/>
    <x v="5"/>
    <s v="se regula meia presion a alta presion de 09:00 a 16:00 _x000a_por falta de agua en torre 3"/>
    <m/>
    <x v="5"/>
    <n v="12"/>
  </r>
  <r>
    <x v="17"/>
    <x v="73"/>
    <s v="Maurico Orellana"/>
    <x v="299"/>
    <x v="0"/>
    <x v="1"/>
    <x v="7"/>
    <s v="vista por activacion de bypass, sistema regularizadon _x000a_equipo 100% operativo"/>
    <m/>
    <x v="4"/>
    <n v="2"/>
  </r>
  <r>
    <x v="7"/>
    <x v="29"/>
    <s v="Maurico Orellana"/>
    <x v="300"/>
    <x v="0"/>
    <x v="1"/>
    <x v="7"/>
    <s v="regulacion de sistema cpa, sistema 100% operativo."/>
    <m/>
    <x v="4"/>
    <n v="3"/>
  </r>
  <r>
    <x v="7"/>
    <x v="12"/>
    <s v="Maurico Orellana"/>
    <x v="301"/>
    <x v="0"/>
    <x v="1"/>
    <x v="7"/>
    <s v="por motivos de remodelacion en 2 baños del establecimiento se retiran _x000a_2 sensores de movimiento 1 placa sab 1 transformador de 220v a 12v_x000a_1 transformador de 220v a 24v"/>
    <m/>
    <x v="4"/>
    <n v="2"/>
  </r>
  <r>
    <x v="0"/>
    <x v="23"/>
    <s v="Maurico Orellana"/>
    <x v="302"/>
    <x v="0"/>
    <x v="1"/>
    <x v="5"/>
    <s v="visita por fuga hidrica en valvula de control sistema sab,_x000a_fuga reparada, sistema sab 100% operativo"/>
    <m/>
    <x v="4"/>
    <n v="3"/>
  </r>
  <r>
    <x v="0"/>
    <x v="19"/>
    <s v="Maurico Orellana"/>
    <x v="302"/>
    <x v="0"/>
    <x v="1"/>
    <x v="5"/>
    <s v="reprogramacion horaria corte hidrico a las 23:59_x000a_cambio de valvula de control+solenoide en baño varones _x000a_sistema sab 100% operativo."/>
    <m/>
    <x v="4"/>
    <n v="3"/>
  </r>
  <r>
    <x v="0"/>
    <x v="13"/>
    <s v="Maurico Orellana"/>
    <x v="302"/>
    <x v="0"/>
    <x v="1"/>
    <x v="5"/>
    <s v="visita por falta de presion en linea hidrica, cambio de membrana y solenoide en _x000a_valvula de control (mejora caudal en punto critico ( cocina)_x000a_regulacion caudal sab baños damas ok. estanque secundario co problemas de vaciado_x000a_se informa a marcelo carrasco para su reparacion."/>
    <m/>
    <x v="4"/>
    <n v="3"/>
  </r>
  <r>
    <x v="0"/>
    <x v="23"/>
    <s v="Maurico Orellana"/>
    <x v="300"/>
    <x v="0"/>
    <x v="0"/>
    <x v="5"/>
    <s v="modificacion corte hidrico a las 23:00hrs_x000a_equipo 100% operativo"/>
    <m/>
    <x v="4"/>
    <n v="3"/>
  </r>
  <r>
    <x v="0"/>
    <x v="21"/>
    <s v="Maurico Orellana"/>
    <x v="300"/>
    <x v="0"/>
    <x v="0"/>
    <x v="5"/>
    <s v="regularisacion sistema cpa, apertura hidrica 07:00, corte hidrico 23:00,_x000a_equipo 100%operativo"/>
    <m/>
    <x v="4"/>
    <n v="3"/>
  </r>
  <r>
    <x v="17"/>
    <x v="65"/>
    <s v="Maurico Orellana"/>
    <x v="268"/>
    <x v="0"/>
    <x v="4"/>
    <x v="28"/>
    <s v="sistema con automatico caido a causa de corte electrico externo, chequeo de voltajes,_x000a_cir y cpa 100% operativo"/>
    <m/>
    <x v="4"/>
    <n v="3"/>
  </r>
  <r>
    <x v="15"/>
    <x v="88"/>
    <s v="Anibal Aranda"/>
    <x v="294"/>
    <x v="7"/>
    <x v="1"/>
    <x v="18"/>
    <m/>
    <m/>
    <x v="3"/>
    <n v="7"/>
  </r>
  <r>
    <x v="15"/>
    <x v="88"/>
    <s v="Anibal Aranda"/>
    <x v="303"/>
    <x v="7"/>
    <x v="0"/>
    <x v="18"/>
    <s v="placa de monitoreo defectuosa, se realiza cambio de esta quedando punto monitoreando al 100%"/>
    <m/>
    <x v="3"/>
    <n v="12"/>
  </r>
  <r>
    <x v="4"/>
    <x v="5"/>
    <s v="Maurico Orellana"/>
    <x v="286"/>
    <x v="0"/>
    <x v="1"/>
    <x v="5"/>
    <s v="nueva regulacion nocturna por reclamos de guardias que trabajan durante la noche,_x000a_16.6lxm equipo 100% operativo"/>
    <m/>
    <x v="4"/>
    <n v="3"/>
  </r>
  <r>
    <x v="4"/>
    <x v="5"/>
    <s v="Maurico Orellana"/>
    <x v="268"/>
    <x v="0"/>
    <x v="1"/>
    <x v="5"/>
    <s v="visita por activacion de bypass, esta es nuevamente regulada a 12 lxm nocturno,_x000a_modificacion horaria programacion de lunes se mantiene hasta el domingo"/>
    <m/>
    <x v="4"/>
    <n v="3"/>
  </r>
  <r>
    <x v="4"/>
    <x v="5"/>
    <s v="Anibal Aranda"/>
    <x v="304"/>
    <x v="0"/>
    <x v="1"/>
    <x v="5"/>
    <s v="normalisacion control hidrico nocturno , 08m3 hora"/>
    <m/>
    <x v="4"/>
    <n v="2"/>
  </r>
  <r>
    <x v="17"/>
    <x v="67"/>
    <s v="Maurico Orellana"/>
    <x v="273"/>
    <x v="0"/>
    <x v="1"/>
    <x v="1"/>
    <s v="valvula de control no cierra por causa de membrana desformada, se cambia de valvula_x000a_y se pone puesta en marcha de valvula secundaria apertura horaria 07:00-21:00 cierre"/>
    <m/>
    <x v="4"/>
    <n v="2"/>
  </r>
  <r>
    <x v="17"/>
    <x v="66"/>
    <s v="Maurico Orellana"/>
    <x v="273"/>
    <x v="0"/>
    <x v="1"/>
    <x v="7"/>
    <s v="llave by pass abierta, se normaliza condicion en horario de apertura 07:00-21:00"/>
    <m/>
    <x v="4"/>
    <n v="2"/>
  </r>
  <r>
    <x v="17"/>
    <x v="66"/>
    <s v="Anibal Aranda"/>
    <x v="273"/>
    <x v="0"/>
    <x v="1"/>
    <x v="7"/>
    <s v="llave by pass abierta, se normaliza condicion."/>
    <m/>
    <x v="4"/>
    <n v="2"/>
  </r>
  <r>
    <x v="17"/>
    <x v="67"/>
    <s v="Anibal Aranda"/>
    <x v="273"/>
    <x v="0"/>
    <x v="2"/>
    <x v="37"/>
    <s v="equipo wes en falta de pick se mejora condicion dejando el equipo 100% operativo"/>
    <m/>
    <x v="4"/>
    <n v="2"/>
  </r>
  <r>
    <x v="17"/>
    <x v="62"/>
    <s v="Maurico Orellana"/>
    <x v="268"/>
    <x v="0"/>
    <x v="1"/>
    <x v="7"/>
    <s v="personal de mantencion manipula llaves de cpa con la intencion de realizar corte hidrico_x000a_para reparar fuga existente en modulos, se regula caudal nocturno equipo 100% operativo"/>
    <m/>
    <x v="4"/>
    <n v="3"/>
  </r>
  <r>
    <x v="0"/>
    <x v="0"/>
    <s v="Maurico Orellana"/>
    <x v="305"/>
    <x v="0"/>
    <x v="0"/>
    <x v="9"/>
    <s v="cambio de sensor movimiento baño varones _x000a_equipo 100 % operativo."/>
    <m/>
    <x v="4"/>
    <n v="3"/>
  </r>
  <r>
    <x v="0"/>
    <x v="18"/>
    <s v="Maurico Orellana"/>
    <x v="305"/>
    <x v="0"/>
    <x v="4"/>
    <x v="9"/>
    <s v="sab de baño damas reparado, se realiza limpiesa de pista en placa sab ,_x000a_cambio de dos potenciometros quedando equipo 100%operativo. _x000a_"/>
    <m/>
    <x v="4"/>
    <n v="3"/>
  </r>
  <r>
    <x v="17"/>
    <x v="66"/>
    <s v="Maurico Orellana"/>
    <x v="306"/>
    <x v="0"/>
    <x v="1"/>
    <x v="1"/>
    <s v="apertura llave de emergencia, membtrana desformada no permite apertura _x000a_de valvulas, cambia el uso de valvula quedando operativa la de alta presion_x000a_equipo 100% operartivo"/>
    <m/>
    <x v="4"/>
    <n v="3"/>
  </r>
  <r>
    <x v="0"/>
    <x v="21"/>
    <s v="Anibal Aranda"/>
    <x v="307"/>
    <x v="1"/>
    <x v="1"/>
    <x v="5"/>
    <s v="extencion horaria de 07:00 a 22:00 de lunes a domingo por trabajos en los colegios."/>
    <m/>
    <x v="4"/>
    <n v="1"/>
  </r>
  <r>
    <x v="10"/>
    <x v="41"/>
    <s v="Anibal Aranda"/>
    <x v="285"/>
    <x v="0"/>
    <x v="0"/>
    <x v="14"/>
    <s v="memoria dañada por fuentes, se remplaza memoria,placa y fuente _x000a_normalisacion de equipo 06:00 a 18:00 100%_x000a_18:00 a 22:00 50%_x000a_22:00 a 06:00 0%"/>
    <m/>
    <x v="4"/>
    <n v="1"/>
  </r>
  <r>
    <x v="19"/>
    <x v="98"/>
    <s v="Anibal Aranda"/>
    <x v="308"/>
    <x v="0"/>
    <x v="7"/>
    <x v="6"/>
    <s v="re configuracion medidor ultrasonico_x000a_lectura de validacion, revicion conectividad."/>
    <m/>
    <x v="4"/>
    <n v="1"/>
  </r>
  <r>
    <x v="4"/>
    <x v="85"/>
    <s v="Maurico Orellana"/>
    <x v="299"/>
    <x v="0"/>
    <x v="4"/>
    <x v="28"/>
    <s v="punto caido por falta de energia 220v,_x000a_se realiza levantamiento para nuevo empalme electrico_x000a_acceso a empalme existente no es posible por desconocimiento de llaves del sector ."/>
    <m/>
    <x v="4"/>
    <n v="2"/>
  </r>
  <r>
    <x v="4"/>
    <x v="5"/>
    <s v="Maurico Orellana"/>
    <x v="309"/>
    <x v="1"/>
    <x v="9"/>
    <x v="36"/>
    <s v="termino nauditoria sin wes / comienzo auditoria con wes _x000a_lectura medidor 074125"/>
    <m/>
    <x v="4"/>
    <n v="1"/>
  </r>
  <r>
    <x v="4"/>
    <x v="32"/>
    <s v="Maurico Orellana"/>
    <x v="299"/>
    <x v="0"/>
    <x v="0"/>
    <x v="0"/>
    <s v="visita por desconexion, placa pegada por desconfiguracion , alarma reconfigurada _x000a_horario reprogramado , equipo de monitoreo 100% operativo."/>
    <m/>
    <x v="4"/>
    <n v="2"/>
  </r>
  <r>
    <x v="4"/>
    <x v="96"/>
    <s v="Maurico Orellana"/>
    <x v="310"/>
    <x v="0"/>
    <x v="3"/>
    <x v="6"/>
    <s v="punto desconectado, chequeo de router, placa roja , chequeo de voltajes _x000a_equipo 100% operativo"/>
    <m/>
    <x v="4"/>
    <n v="2"/>
  </r>
  <r>
    <x v="4"/>
    <x v="5"/>
    <s v="Anibal Aranda"/>
    <x v="284"/>
    <x v="0"/>
    <x v="1"/>
    <x v="5"/>
    <s v="regulacion nocturno de 0,5m3 a 0,8m3_x000a_programacion especial fin de añon 2023."/>
    <m/>
    <x v="5"/>
    <n v="12"/>
  </r>
  <r>
    <x v="4"/>
    <x v="5"/>
    <s v="Anibal Aranda"/>
    <x v="285"/>
    <x v="0"/>
    <x v="0"/>
    <x v="14"/>
    <s v="memoria dañada provoca error en programacion _x000a_se cambia memoria y se normaliza equipo."/>
    <m/>
    <x v="4"/>
    <n v="1"/>
  </r>
  <r>
    <x v="15"/>
    <x v="79"/>
    <s v="Anibal Aranda"/>
    <x v="311"/>
    <x v="0"/>
    <x v="1"/>
    <x v="7"/>
    <s v="sitema de impulsion riego con una filtracion en el empalme hidrico, inundando la camara, dañando las bombas,_x000a__x000a_reparacion de filtracion, responsabilidad de contratista copec."/>
    <m/>
    <x v="6"/>
    <n v="1"/>
  </r>
  <r>
    <x v="15"/>
    <x v="88"/>
    <s v="Mirko Lorca"/>
    <x v="312"/>
    <x v="0"/>
    <x v="3"/>
    <x v="6"/>
    <s v="instalacion de antena comunicacion, mantencion de gabinete, prueba de conectividad, funcionamiento ok."/>
    <m/>
    <x v="6"/>
    <n v="2"/>
  </r>
  <r>
    <x v="17"/>
    <x v="66"/>
    <s v="Maurico Orellana"/>
    <x v="313"/>
    <x v="0"/>
    <x v="1"/>
    <x v="16"/>
    <s v="falla en apertura de valvulas de control cpa placa alimentacion de solenoides_x000a_con voltajes negativos _x000a_-cambio de placa wes/cambio de membrana a una valvula/ cambio de 2 _x000a_solenoides NO _x000a_equipo conectado 100% operativo."/>
    <m/>
    <x v="5"/>
    <n v="12"/>
  </r>
  <r>
    <x v="17"/>
    <x v="66"/>
    <s v="Maurico Orellana"/>
    <x v="313"/>
    <x v="0"/>
    <x v="0"/>
    <x v="14"/>
    <s v="sistema desconectado por desconfiguracion de memoria, cambio de transformadores _x000a_a fuente switching sistema 100% operativo"/>
    <m/>
    <x v="5"/>
    <n v="12"/>
  </r>
  <r>
    <x v="0"/>
    <x v="15"/>
    <s v="Maurico Orellana"/>
    <x v="314"/>
    <x v="1"/>
    <x v="1"/>
    <x v="5"/>
    <s v="apertura bypass a valvula de control por plebicito de dia domingo 17-12-23"/>
    <m/>
    <x v="5"/>
    <n v="12"/>
  </r>
  <r>
    <x v="0"/>
    <x v="13"/>
    <s v="Maurico Orellana"/>
    <x v="314"/>
    <x v="1"/>
    <x v="1"/>
    <x v="5"/>
    <s v="apertura bypass a valvula de control por plebicito de dia domingo 17-12-23"/>
    <m/>
    <x v="5"/>
    <n v="12"/>
  </r>
  <r>
    <x v="0"/>
    <x v="1"/>
    <s v="Maurico Orellana"/>
    <x v="314"/>
    <x v="1"/>
    <x v="1"/>
    <x v="5"/>
    <s v="apertura bypass a valvula de control por plebicito de dia domingo 17-12-23"/>
    <m/>
    <x v="5"/>
    <n v="12"/>
  </r>
  <r>
    <x v="0"/>
    <x v="35"/>
    <s v="Maurico Orellana"/>
    <x v="314"/>
    <x v="1"/>
    <x v="1"/>
    <x v="5"/>
    <s v="apertura bypass a valvula de control por plebicito de dia domingo 17-12-23"/>
    <m/>
    <x v="5"/>
    <n v="12"/>
  </r>
  <r>
    <x v="0"/>
    <x v="19"/>
    <s v="Maurico Orellana"/>
    <x v="314"/>
    <x v="1"/>
    <x v="1"/>
    <x v="5"/>
    <s v="apertura bypass a valvula de control por plebicito de dia domingo 17-12-23"/>
    <m/>
    <x v="5"/>
    <n v="12"/>
  </r>
  <r>
    <x v="0"/>
    <x v="17"/>
    <s v="Maurico Orellana"/>
    <x v="314"/>
    <x v="1"/>
    <x v="1"/>
    <x v="5"/>
    <s v="apertura bypass a valvula de control por plebicito de dia domingo 17-12-23"/>
    <m/>
    <x v="5"/>
    <n v="12"/>
  </r>
  <r>
    <x v="0"/>
    <x v="23"/>
    <s v="Maurico Orellana"/>
    <x v="314"/>
    <x v="1"/>
    <x v="1"/>
    <x v="5"/>
    <s v="apertura bypass a valvula de control por plebicito de dia domingo 17-12-23"/>
    <m/>
    <x v="5"/>
    <n v="12"/>
  </r>
  <r>
    <x v="0"/>
    <x v="20"/>
    <s v="Maurico Orellana"/>
    <x v="314"/>
    <x v="1"/>
    <x v="1"/>
    <x v="5"/>
    <s v="apertura bypass a valvula de control por plebicito de dia domingo 17-12-23"/>
    <m/>
    <x v="5"/>
    <n v="12"/>
  </r>
  <r>
    <x v="0"/>
    <x v="21"/>
    <s v="Maurico Orellana"/>
    <x v="314"/>
    <x v="1"/>
    <x v="1"/>
    <x v="5"/>
    <s v="apertura bypass a valvula de control por plebicito de dia domingo 17-12-23"/>
    <m/>
    <x v="5"/>
    <n v="12"/>
  </r>
  <r>
    <x v="0"/>
    <x v="18"/>
    <s v="Maurico Orellana"/>
    <x v="314"/>
    <x v="1"/>
    <x v="1"/>
    <x v="5"/>
    <s v="apertura bypass a valvula de control por plebicito de dia domingo 17-12-23"/>
    <m/>
    <x v="5"/>
    <n v="12"/>
  </r>
  <r>
    <x v="7"/>
    <x v="10"/>
    <s v="Maurico Orellana"/>
    <x v="315"/>
    <x v="1"/>
    <x v="1"/>
    <x v="5"/>
    <s v="se activa llave de emergencia al 100% por plebicito de dia domingo 17-12-23"/>
    <m/>
    <x v="5"/>
    <n v="12"/>
  </r>
  <r>
    <x v="7"/>
    <x v="11"/>
    <s v="Maurico Orellana"/>
    <x v="315"/>
    <x v="1"/>
    <x v="1"/>
    <x v="5"/>
    <s v="se activa llave de emergencia al 100% por plebicito de dia domingo 17-12-23"/>
    <m/>
    <x v="5"/>
    <n v="12"/>
  </r>
  <r>
    <x v="7"/>
    <x v="29"/>
    <s v="Maurico Orellana"/>
    <x v="315"/>
    <x v="1"/>
    <x v="1"/>
    <x v="5"/>
    <s v="se activa llave de emergencia al 100% por plebicito de dia domingo 17-12-23"/>
    <m/>
    <x v="5"/>
    <n v="12"/>
  </r>
  <r>
    <x v="7"/>
    <x v="8"/>
    <s v="Maurico Orellana"/>
    <x v="315"/>
    <x v="1"/>
    <x v="1"/>
    <x v="5"/>
    <s v="se activa llave de emergencia al 100% por plebicito de dia domingo 17-12-23"/>
    <m/>
    <x v="5"/>
    <n v="12"/>
  </r>
  <r>
    <x v="7"/>
    <x v="9"/>
    <s v="Maurico Orellana"/>
    <x v="315"/>
    <x v="1"/>
    <x v="1"/>
    <x v="5"/>
    <s v="se activa llave de emergencia al 100% por plebicito de dia domingo 17-12-23"/>
    <m/>
    <x v="5"/>
    <n v="12"/>
  </r>
  <r>
    <x v="7"/>
    <x v="26"/>
    <s v="Maurico Orellana"/>
    <x v="315"/>
    <x v="1"/>
    <x v="1"/>
    <x v="5"/>
    <s v="se activa llave de emergencia al 100% por plebicito de dia domingo 17-12-23"/>
    <m/>
    <x v="5"/>
    <n v="12"/>
  </r>
  <r>
    <x v="7"/>
    <x v="14"/>
    <s v="Maurico Orellana"/>
    <x v="315"/>
    <x v="1"/>
    <x v="1"/>
    <x v="5"/>
    <s v="se activa llave de emergencia al 100% por plebicito de dia domingo 17-12-23"/>
    <m/>
    <x v="5"/>
    <n v="12"/>
  </r>
  <r>
    <x v="7"/>
    <x v="28"/>
    <s v="Maurico Orellana"/>
    <x v="315"/>
    <x v="1"/>
    <x v="1"/>
    <x v="5"/>
    <s v="se activa llave de emergencia por plebicito de dia domingo 17-12-23"/>
    <m/>
    <x v="5"/>
    <n v="12"/>
  </r>
  <r>
    <x v="7"/>
    <x v="38"/>
    <s v="Maurico Orellana"/>
    <x v="315"/>
    <x v="1"/>
    <x v="1"/>
    <x v="5"/>
    <s v="se activa llave de emergencia al 100% por plebicito de dia domingo 17-12-23"/>
    <m/>
    <x v="5"/>
    <n v="12"/>
  </r>
  <r>
    <x v="7"/>
    <x v="12"/>
    <s v="Maurico Orellana"/>
    <x v="315"/>
    <x v="1"/>
    <x v="1"/>
    <x v="5"/>
    <s v="se activa llave de emergencia al 100% por plebicito de dia domingo 17-12-23"/>
    <m/>
    <x v="5"/>
    <n v="12"/>
  </r>
  <r>
    <x v="7"/>
    <x v="27"/>
    <s v="Maurico Orellana"/>
    <x v="315"/>
    <x v="1"/>
    <x v="1"/>
    <x v="5"/>
    <s v="se activa llave de emergencia al 100% por plebicito de dia domingo 17-12-23"/>
    <m/>
    <x v="5"/>
    <n v="12"/>
  </r>
  <r>
    <x v="10"/>
    <x v="41"/>
    <s v="Maurico Orellana"/>
    <x v="316"/>
    <x v="1"/>
    <x v="9"/>
    <x v="35"/>
    <s v="consumo fantasma&quot;fuga&quot; elevada provoca vaciado de estanque , por este motivo _x000a_se cancela auditoria sin control, se acuerda programa cpa wes con los siguientes horarios_x000a_baja presion; 23:00-06:00 10% media presion 06:00-10:30///14:00-23:00 70%_x000a_alta presion 10:30-14:00 100% del caudal"/>
    <m/>
    <x v="5"/>
    <n v="12"/>
  </r>
  <r>
    <x v="10"/>
    <x v="41"/>
    <s v="Maurico Orellana"/>
    <x v="317"/>
    <x v="1"/>
    <x v="9"/>
    <x v="35"/>
    <s v="comienzo auditoria sin wes, lectura medidor _x000a_14777"/>
    <m/>
    <x v="5"/>
    <n v="12"/>
  </r>
  <r>
    <x v="10"/>
    <x v="41"/>
    <s v="Maurico Orellana"/>
    <x v="318"/>
    <x v="0"/>
    <x v="1"/>
    <x v="5"/>
    <s v="regulacion numero 6"/>
    <m/>
    <x v="5"/>
    <n v="11"/>
  </r>
  <r>
    <x v="10"/>
    <x v="41"/>
    <s v="Maurico Orellana"/>
    <x v="319"/>
    <x v="0"/>
    <x v="1"/>
    <x v="5"/>
    <s v="regulacion nocturna entre las 00:01-05:30_x000a_media; 22:00-23:59_x000a_alta 05:30- 22:00"/>
    <m/>
    <x v="5"/>
    <n v="11"/>
  </r>
  <r>
    <x v="10"/>
    <x v="41"/>
    <s v="Maurico Orellana"/>
    <x v="320"/>
    <x v="0"/>
    <x v="1"/>
    <x v="5"/>
    <s v="regulaion nocturna al 20%_x000a_regulacion diutna al 100%"/>
    <m/>
    <x v="5"/>
    <n v="11"/>
  </r>
  <r>
    <x v="10"/>
    <x v="41"/>
    <s v="Maurico Orellana"/>
    <x v="321"/>
    <x v="0"/>
    <x v="1"/>
    <x v="5"/>
    <s v="regulacion nocturna entre las 22:00 y las 06:00 4ta regulacion. lec medidor ; 13932"/>
    <m/>
    <x v="5"/>
    <n v="11"/>
  </r>
  <r>
    <x v="10"/>
    <x v="41"/>
    <s v="Maurico Orellana"/>
    <x v="322"/>
    <x v="0"/>
    <x v="1"/>
    <x v="5"/>
    <s v="regulacion nocturna entre 02:00-06:00 al 50% regulacion Nª 5 lec. medidor; 13977"/>
    <m/>
    <x v="5"/>
    <n v="11"/>
  </r>
  <r>
    <x v="4"/>
    <x v="90"/>
    <s v="Maurico Orellana"/>
    <x v="316"/>
    <x v="0"/>
    <x v="0"/>
    <x v="40"/>
    <s v="visita por desconexion, motivo, desconfiguracion _x000a_por ruidos en linea electrica, punto configurado y _x000a_chequeado, equipo 100% operativo."/>
    <m/>
    <x v="5"/>
    <n v="12"/>
  </r>
  <r>
    <x v="4"/>
    <x v="99"/>
    <s v="Maurico Orellana"/>
    <x v="323"/>
    <x v="0"/>
    <x v="4"/>
    <x v="19"/>
    <s v="cambio de fuente switching"/>
    <m/>
    <x v="5"/>
    <n v="11"/>
  </r>
  <r>
    <x v="4"/>
    <x v="91"/>
    <s v="Maurico Orellana"/>
    <x v="323"/>
    <x v="0"/>
    <x v="0"/>
    <x v="0"/>
    <s v="por placa pegada se remplaza fuente switching , punto_x000a_conectado 100% operativo"/>
    <m/>
    <x v="5"/>
    <n v="11"/>
  </r>
  <r>
    <x v="17"/>
    <x v="66"/>
    <s v="Maurico Orellana"/>
    <x v="319"/>
    <x v="0"/>
    <x v="1"/>
    <x v="29"/>
    <s v="jueves 30-11-23 reparacion de fuga en matriz principal, sector sur,_x000a_trabajo ejecutado sin novedad._x000a_lunes 4-12-23 estrega de trabajos ejecutados el dia 30-11_x000a_estucado y mejora de camara de registro."/>
    <m/>
    <x v="5"/>
    <n v="11"/>
  </r>
  <r>
    <x v="17"/>
    <x v="68"/>
    <s v="Maurico Orellana"/>
    <x v="324"/>
    <x v="0"/>
    <x v="0"/>
    <x v="0"/>
    <s v="visita por desconexion , estado de placa wes &quot; pegada &quot;_x000a_cambio de fuente switching alimentacion placa, punto wes conectado_x000a_100% operativo."/>
    <m/>
    <x v="5"/>
    <n v="11"/>
  </r>
  <r>
    <x v="17"/>
    <x v="73"/>
    <s v="Maurico Orellana"/>
    <x v="325"/>
    <x v="0"/>
    <x v="3"/>
    <x v="6"/>
    <s v="visita por desconeccion, se realiza configuracion id, horarios, alarmas, cal, _x000a_chequeo en general, sistema 100% operativo."/>
    <m/>
    <x v="5"/>
    <n v="11"/>
  </r>
  <r>
    <x v="8"/>
    <x v="25"/>
    <s v="Maurico Orellana"/>
    <x v="325"/>
    <x v="1"/>
    <x v="9"/>
    <x v="36"/>
    <s v="termino de auditoria sin wes, comienzo auditoria con wes;_x000a_lectura medidor; 055389"/>
    <m/>
    <x v="5"/>
    <n v="11"/>
  </r>
  <r>
    <x v="7"/>
    <x v="11"/>
    <s v="Maurico Orellana"/>
    <x v="326"/>
    <x v="0"/>
    <x v="1"/>
    <x v="8"/>
    <s v="a causa de valvulas de control en mal estado baja considerablemente presion de agua en establesimiento _x000a_se programa cambio de membrana en valvulas de controlpara el dia miercoles 22/11/23_x000a_corte de agua programado para las 16:30"/>
    <m/>
    <x v="5"/>
    <n v="11"/>
  </r>
  <r>
    <x v="4"/>
    <x v="91"/>
    <s v="Maurico Orellana"/>
    <x v="327"/>
    <x v="0"/>
    <x v="0"/>
    <x v="0"/>
    <s v="placa &quot;pegada&quot; chequeo de parametros y reinicio de placa, sistema 100%_x000a_operativo."/>
    <m/>
    <x v="5"/>
    <n v="11"/>
  </r>
  <r>
    <x v="4"/>
    <x v="34"/>
    <s v="Maurico Orellana"/>
    <x v="327"/>
    <x v="1"/>
    <x v="2"/>
    <x v="3"/>
    <s v="testeo de memoria, cambio de reloj, actualisacion de pick a causa de desconexion_x000a_sistema 100% operativo."/>
    <m/>
    <x v="5"/>
    <n v="11"/>
  </r>
  <r>
    <x v="4"/>
    <x v="32"/>
    <s v="Maurico Orellana"/>
    <x v="327"/>
    <x v="0"/>
    <x v="1"/>
    <x v="12"/>
    <s v="cambio sensor de pulso, sistema 100% operativo"/>
    <m/>
    <x v="5"/>
    <n v="11"/>
  </r>
  <r>
    <x v="17"/>
    <x v="67"/>
    <s v="Maurico Orellana"/>
    <x v="321"/>
    <x v="1"/>
    <x v="9"/>
    <x v="36"/>
    <s v="termino auditoria con wes lec. medidor; 453675_x000a_medidor sacyr; 966884"/>
    <m/>
    <x v="5"/>
    <n v="11"/>
  </r>
  <r>
    <x v="17"/>
    <x v="66"/>
    <s v="Maurico Orellana"/>
    <x v="321"/>
    <x v="1"/>
    <x v="9"/>
    <x v="36"/>
    <s v="termino auditoria con wes lec. medidor; 456834_x000a_medidor sacyr; 966884"/>
    <m/>
    <x v="5"/>
    <n v="11"/>
  </r>
  <r>
    <x v="17"/>
    <x v="65"/>
    <s v="Maurico Orellana"/>
    <x v="321"/>
    <x v="0"/>
    <x v="1"/>
    <x v="16"/>
    <s v="visita por desconfiguracion placa wes, cambio de fuente de poder, _x000a_220v-12v configuracion de sistema, cambio de solenoide valvula de alta _x000a_sistema 100% operativo."/>
    <m/>
    <x v="5"/>
    <n v="11"/>
  </r>
  <r>
    <x v="8"/>
    <x v="25"/>
    <s v="Maurico Orellana"/>
    <x v="327"/>
    <x v="1"/>
    <x v="9"/>
    <x v="35"/>
    <s v="comienzo auditoria sin wes_x000a_lec. medidor; 55256"/>
    <m/>
    <x v="5"/>
    <n v="11"/>
  </r>
  <r>
    <x v="7"/>
    <x v="11"/>
    <s v="Maurico Orellana"/>
    <x v="322"/>
    <x v="0"/>
    <x v="0"/>
    <x v="6"/>
    <s v="visita por activacion llave emergencia, a causa de desconfiguracion horaria , proboca _x000a_mal funcionamiento de sistema CPA, configuracion horaria y chequeo ok, sistema 100%_x000a_operativo."/>
    <m/>
    <x v="5"/>
    <n v="11"/>
  </r>
  <r>
    <x v="7"/>
    <x v="12"/>
    <s v="Maurico Orellana"/>
    <x v="322"/>
    <x v="0"/>
    <x v="0"/>
    <x v="6"/>
    <s v="corte de agua a causa de desconfiguracion horaria, sistema_x000a_reprogramado, equipo 100% operativo"/>
    <m/>
    <x v="5"/>
    <n v="11"/>
  </r>
  <r>
    <x v="7"/>
    <x v="11"/>
    <s v="Maurico Orellana"/>
    <x v="328"/>
    <x v="0"/>
    <x v="0"/>
    <x v="6"/>
    <s v="visita por corte de agua,se revisa sistema no encontrando error en programacion_x000a_a consecuensia de corte de agua puntual, se deduce que falta de agua es probocada por _x000a_compañia aguas andinas."/>
    <m/>
    <x v="5"/>
    <n v="11"/>
  </r>
  <r>
    <x v="10"/>
    <x v="41"/>
    <s v="Maurico Orellana"/>
    <x v="324"/>
    <x v="1"/>
    <x v="1"/>
    <x v="5"/>
    <s v="nueva regulacion alta &gt; 05:30&gt;22:00_x000a_media 22:00&gt;23:59 baja 00:01&gt; 05:30"/>
    <m/>
    <x v="5"/>
    <n v="11"/>
  </r>
  <r>
    <x v="10"/>
    <x v="41"/>
    <s v="Maurico Orellana"/>
    <x v="329"/>
    <x v="6"/>
    <x v="8"/>
    <x v="18"/>
    <s v="instalacion cpa, sin perdida equipo hidrico 100% operativo lec medidor 013413"/>
    <m/>
    <x v="5"/>
    <n v="10"/>
  </r>
  <r>
    <x v="17"/>
    <x v="68"/>
    <s v="Maurico Orellana"/>
    <x v="330"/>
    <x v="0"/>
    <x v="1"/>
    <x v="5"/>
    <s v="nueva regulacion 06;00&gt;23:59 alta 60%_x000a_23:59&gt; 06:00 baja 10%, cambio de memoria lec medidor;583317"/>
    <m/>
    <x v="5"/>
    <n v="11"/>
  </r>
  <r>
    <x v="17"/>
    <x v="66"/>
    <s v="Maurico Orellana"/>
    <x v="331"/>
    <x v="1"/>
    <x v="9"/>
    <x v="36"/>
    <s v="termino auditoria sin control/comienzo auditoria con wes, lectura medidor; 453123_x000a_medidor sacyr; 958073"/>
    <m/>
    <x v="5"/>
    <n v="11"/>
  </r>
  <r>
    <x v="17"/>
    <x v="67"/>
    <s v="Maurico Orellana"/>
    <x v="331"/>
    <x v="1"/>
    <x v="9"/>
    <x v="36"/>
    <s v="termino auditoria sin control/comienzo auditoria con wes, lectura medidor; 449719_x000a_medidor sacyr; 958073"/>
    <m/>
    <x v="5"/>
    <n v="11"/>
  </r>
  <r>
    <x v="17"/>
    <x v="67"/>
    <s v="Maurico Orellana"/>
    <x v="332"/>
    <x v="1"/>
    <x v="9"/>
    <x v="35"/>
    <s v="comienzo auditoria sin wes, lectura medidor; 444859_x000a_medidor sacyr; 946718"/>
    <m/>
    <x v="5"/>
    <n v="10"/>
  </r>
  <r>
    <x v="17"/>
    <x v="66"/>
    <s v="Maurico Orellana"/>
    <x v="332"/>
    <x v="1"/>
    <x v="9"/>
    <x v="35"/>
    <s v="punto desconectado por placa pegada, esta es reiniciada quedando _x000a_conectada y operativa, comienzo auditoria sin wes, lectura medidor; 447359_x000a_medidor sacyr; 946718"/>
    <m/>
    <x v="5"/>
    <n v="10"/>
  </r>
  <r>
    <x v="17"/>
    <x v="73"/>
    <s v="Maurico Orellana"/>
    <x v="333"/>
    <x v="1"/>
    <x v="9"/>
    <x v="36"/>
    <s v="fin auditoria con wes lec. medidor &gt;210659"/>
    <m/>
    <x v="5"/>
    <n v="10"/>
  </r>
  <r>
    <x v="7"/>
    <x v="14"/>
    <s v="Maurico Orellana"/>
    <x v="334"/>
    <x v="1"/>
    <x v="9"/>
    <x v="35"/>
    <s v="auditoria con wes lec. medidor &gt;114475"/>
    <m/>
    <x v="5"/>
    <n v="10"/>
  </r>
  <r>
    <x v="0"/>
    <x v="1"/>
    <s v="Maurico Orellana"/>
    <x v="335"/>
    <x v="1"/>
    <x v="9"/>
    <x v="36"/>
    <s v="termino auditoria con wes; _x000a_lectura medidor &gt; 266634_x000a_rendimiento 29,2% de rendimiento._x000a_"/>
    <m/>
    <x v="5"/>
    <n v="11"/>
  </r>
  <r>
    <x v="0"/>
    <x v="13"/>
    <s v="Maurico Orellana"/>
    <x v="335"/>
    <x v="1"/>
    <x v="9"/>
    <x v="36"/>
    <s v="termino auditoria con wes; _x000a_lectura medidor &gt; 218702_x000a_rendimiento 61% de rendimiento._x000a_"/>
    <m/>
    <x v="5"/>
    <n v="11"/>
  </r>
  <r>
    <x v="0"/>
    <x v="35"/>
    <s v="Maurico Orellana"/>
    <x v="335"/>
    <x v="1"/>
    <x v="9"/>
    <x v="36"/>
    <s v="termino auditoria con wes; _x000a_lectura medidor &gt; 129338_x000a_rendimiento 64,6% de rendimiento._x000a_"/>
    <m/>
    <x v="5"/>
    <n v="11"/>
  </r>
  <r>
    <x v="0"/>
    <x v="15"/>
    <s v="Maurico Orellana"/>
    <x v="335"/>
    <x v="1"/>
    <x v="9"/>
    <x v="36"/>
    <s v="termino auditoria con wes; _x000a_lectura medidor &gt; 079054_x000a_rendimiento 26,5% de rendimiento._x000a_"/>
    <m/>
    <x v="5"/>
    <n v="11"/>
  </r>
  <r>
    <x v="0"/>
    <x v="0"/>
    <s v="Maurico Orellana"/>
    <x v="335"/>
    <x v="1"/>
    <x v="9"/>
    <x v="36"/>
    <s v="termino auditoria con wes; _x000a_lectura medidor &gt; 49630_x000a_rendimiento 66% de rendimiento._x000a_"/>
    <m/>
    <x v="5"/>
    <n v="11"/>
  </r>
  <r>
    <x v="0"/>
    <x v="23"/>
    <s v="Maurico Orellana"/>
    <x v="335"/>
    <x v="1"/>
    <x v="9"/>
    <x v="36"/>
    <s v="termino auditoria con wes; _x000a_lectura medidor &gt; 120084_x000a_rendimiento 74,5% de rendimiento._x000a_"/>
    <m/>
    <x v="5"/>
    <n v="11"/>
  </r>
  <r>
    <x v="0"/>
    <x v="20"/>
    <s v="Maurico Orellana"/>
    <x v="335"/>
    <x v="1"/>
    <x v="9"/>
    <x v="36"/>
    <s v="termino auditoria con wes; _x000a_lectura medidor &gt; 49060_x000a_rendimiento 69,6% de rendimiento._x000a_"/>
    <m/>
    <x v="5"/>
    <n v="11"/>
  </r>
  <r>
    <x v="0"/>
    <x v="21"/>
    <s v="Maurico Orellana"/>
    <x v="335"/>
    <x v="1"/>
    <x v="9"/>
    <x v="36"/>
    <s v="termino auditoria con wes; _x000a_lectura medidor &gt; 067717_x000a_rendimiento 16,6% de rendimiento._x000a_"/>
    <m/>
    <x v="5"/>
    <n v="11"/>
  </r>
  <r>
    <x v="0"/>
    <x v="19"/>
    <s v="Maurico Orellana"/>
    <x v="335"/>
    <x v="1"/>
    <x v="9"/>
    <x v="36"/>
    <s v="termino auditoria con wes; _x000a_lectura medidor &gt; 139710_x000a_rendimiento 42,5 % de rendimiento._x000a_"/>
    <m/>
    <x v="5"/>
    <n v="11"/>
  </r>
  <r>
    <x v="0"/>
    <x v="17"/>
    <s v="Maurico Orellana"/>
    <x v="335"/>
    <x v="1"/>
    <x v="9"/>
    <x v="36"/>
    <s v="termino auditoria con wes; _x000a_lectura medidor &gt; 009688_x000a_rendimiento 50 % de rendimiento._x000a_"/>
    <m/>
    <x v="5"/>
    <n v="11"/>
  </r>
  <r>
    <x v="0"/>
    <x v="18"/>
    <s v="Maurico Orellana"/>
    <x v="335"/>
    <x v="1"/>
    <x v="9"/>
    <x v="36"/>
    <s v="termino auditoria con wes; _x000a_lectura medidor &gt; 045922_x000a_rendimiento 38,3 % de rendimiento._x000a_"/>
    <m/>
    <x v="5"/>
    <n v="11"/>
  </r>
  <r>
    <x v="0"/>
    <x v="15"/>
    <s v="Maurico Orellana"/>
    <x v="324"/>
    <x v="1"/>
    <x v="9"/>
    <x v="35"/>
    <s v="comienzo auditoria sin wes_x000a_lectura medidor &gt; 078974_x000a_"/>
    <m/>
    <x v="5"/>
    <n v="11"/>
  </r>
  <r>
    <x v="0"/>
    <x v="0"/>
    <s v="Maurico Orellana"/>
    <x v="324"/>
    <x v="1"/>
    <x v="9"/>
    <x v="35"/>
    <s v="comienzo auditoria sin wes_x000a_lectura medidor &gt; 049248_x000a_se solicita revisar sensor sistema sab baño barones."/>
    <m/>
    <x v="5"/>
    <n v="11"/>
  </r>
  <r>
    <x v="0"/>
    <x v="13"/>
    <s v="Maurico Orellana"/>
    <x v="324"/>
    <x v="1"/>
    <x v="9"/>
    <x v="35"/>
    <s v="comienzo auditoria sin wes_x000a_lectura medidor &gt; 218488_x000a_"/>
    <m/>
    <x v="5"/>
    <n v="11"/>
  </r>
  <r>
    <x v="0"/>
    <x v="1"/>
    <s v="Maurico Orellana"/>
    <x v="324"/>
    <x v="1"/>
    <x v="9"/>
    <x v="35"/>
    <s v="comienzo auditoria sin wes_x000a_lectura medidor &gt; 266523_x000a_"/>
    <m/>
    <x v="5"/>
    <n v="11"/>
  </r>
  <r>
    <x v="0"/>
    <x v="20"/>
    <s v="Maurico Orellana"/>
    <x v="324"/>
    <x v="1"/>
    <x v="9"/>
    <x v="35"/>
    <s v="comienzo auditoria sin wes_x000a_lectura medidor &gt; 0484417_x000a_sistema desconectado a causa de desconfiguracion horaria,_x000a_esta es normalizada y conectada a app wes."/>
    <m/>
    <x v="5"/>
    <n v="11"/>
  </r>
  <r>
    <x v="0"/>
    <x v="23"/>
    <s v="Maurico Orellana"/>
    <x v="324"/>
    <x v="1"/>
    <x v="9"/>
    <x v="35"/>
    <s v="comienzo auditoria sin wes_x000a_lectura medidor &gt; 119848"/>
    <m/>
    <x v="5"/>
    <n v="11"/>
  </r>
  <r>
    <x v="0"/>
    <x v="22"/>
    <s v="Maurico Orellana"/>
    <x v="324"/>
    <x v="1"/>
    <x v="9"/>
    <x v="35"/>
    <s v="comienzo auditoria sin wes_x000a_lectura medidor &gt; 06794"/>
    <m/>
    <x v="5"/>
    <n v="11"/>
  </r>
  <r>
    <x v="0"/>
    <x v="19"/>
    <s v="Maurico Orellana"/>
    <x v="324"/>
    <x v="1"/>
    <x v="9"/>
    <x v="35"/>
    <s v="comienzo auditoria sin wes_x000a_lectura medidor &gt; 139581"/>
    <m/>
    <x v="5"/>
    <n v="11"/>
  </r>
  <r>
    <x v="0"/>
    <x v="21"/>
    <s v="Maurico Orellana"/>
    <x v="324"/>
    <x v="1"/>
    <x v="9"/>
    <x v="35"/>
    <s v="comienzo auditoria sin wes_x000a_lectura medidor &gt; 067382"/>
    <m/>
    <x v="5"/>
    <n v="11"/>
  </r>
  <r>
    <x v="0"/>
    <x v="17"/>
    <s v="Maurico Orellana"/>
    <x v="324"/>
    <x v="1"/>
    <x v="9"/>
    <x v="35"/>
    <s v="comienzo auditoria sin wes_x000a_lectura medidor &gt; 009544"/>
    <m/>
    <x v="5"/>
    <n v="11"/>
  </r>
  <r>
    <x v="0"/>
    <x v="18"/>
    <s v="Maurico Orellana"/>
    <x v="324"/>
    <x v="1"/>
    <x v="9"/>
    <x v="35"/>
    <s v="comienzo auditoria sin wes_x000a_lectura medidor &gt; 045521"/>
    <m/>
    <x v="5"/>
    <n v="11"/>
  </r>
  <r>
    <x v="0"/>
    <x v="1"/>
    <s v="Maurico Orellana"/>
    <x v="330"/>
    <x v="1"/>
    <x v="9"/>
    <x v="36"/>
    <s v="termino auditoria sin wes/ comienzo auditoria con wes _x000a_lectura medidor &gt; 266588"/>
    <m/>
    <x v="5"/>
    <n v="11"/>
  </r>
  <r>
    <x v="0"/>
    <x v="13"/>
    <s v="Maurico Orellana"/>
    <x v="330"/>
    <x v="1"/>
    <x v="9"/>
    <x v="36"/>
    <s v="termino auditoria sin wes/ comienzo auditoria con wes _x000a_lectura medidor &gt; 218643"/>
    <m/>
    <x v="5"/>
    <n v="11"/>
  </r>
  <r>
    <x v="0"/>
    <x v="35"/>
    <s v="Maurico Orellana"/>
    <x v="330"/>
    <x v="1"/>
    <x v="9"/>
    <x v="36"/>
    <s v="termino auditoria sin wes/ comienzo auditoria con wes _x000a_lectura medidor &gt; 129269"/>
    <m/>
    <x v="5"/>
    <n v="11"/>
  </r>
  <r>
    <x v="0"/>
    <x v="15"/>
    <s v="Maurico Orellana"/>
    <x v="330"/>
    <x v="1"/>
    <x v="9"/>
    <x v="36"/>
    <s v="termino auditoria sin wes/ comienzo auditoria con wes _x000a_lectura medidor &gt; 079023"/>
    <m/>
    <x v="5"/>
    <n v="11"/>
  </r>
  <r>
    <x v="0"/>
    <x v="0"/>
    <s v="Maurico Orellana"/>
    <x v="330"/>
    <x v="1"/>
    <x v="9"/>
    <x v="36"/>
    <s v="termino auditoria sin wes/ comienzo auditoria con wes _x000a_lectura medidor &gt; 049533"/>
    <m/>
    <x v="5"/>
    <n v="11"/>
  </r>
  <r>
    <x v="0"/>
    <x v="23"/>
    <s v="Maurico Orellana"/>
    <x v="330"/>
    <x v="1"/>
    <x v="9"/>
    <x v="36"/>
    <s v="termino auditoria sin wes/ comienzo auditoria con wes _x000a_lectura medidor &gt; 120036"/>
    <m/>
    <x v="5"/>
    <n v="11"/>
  </r>
  <r>
    <x v="0"/>
    <x v="20"/>
    <s v="Maurico Orellana"/>
    <x v="330"/>
    <x v="1"/>
    <x v="9"/>
    <x v="36"/>
    <s v="termino auditoria sin wes/ comienzo auditoria con wes _x000a_lectura medidor &gt; 048910"/>
    <m/>
    <x v="5"/>
    <n v="11"/>
  </r>
  <r>
    <x v="0"/>
    <x v="21"/>
    <s v="Maurico Orellana"/>
    <x v="330"/>
    <x v="1"/>
    <x v="9"/>
    <x v="36"/>
    <s v="termino auditoria sin wes/ comienzo auditoria con wes _x000a_lectura medidor &gt; 067551"/>
    <m/>
    <x v="5"/>
    <n v="11"/>
  </r>
  <r>
    <x v="0"/>
    <x v="19"/>
    <s v="Maurico Orellana"/>
    <x v="330"/>
    <x v="1"/>
    <x v="9"/>
    <x v="36"/>
    <s v="termino auditoria sin wes/ comienzo auditoria con wes _x000a_lectura medidor &gt; 139688"/>
    <m/>
    <x v="5"/>
    <n v="11"/>
  </r>
  <r>
    <x v="0"/>
    <x v="17"/>
    <s v="Maurico Orellana"/>
    <x v="330"/>
    <x v="1"/>
    <x v="9"/>
    <x v="36"/>
    <s v="termino auditoria sin wes/ comienzo auditoria con wes _x000a_lectura medidor &gt; 009640"/>
    <m/>
    <x v="5"/>
    <n v="11"/>
  </r>
  <r>
    <x v="0"/>
    <x v="22"/>
    <s v="Maurico Orellana"/>
    <x v="330"/>
    <x v="1"/>
    <x v="9"/>
    <x v="36"/>
    <s v="termino auditoria sin wes/ comienzo auditoria con wes _x000a_lectura medidor &gt; 0680033"/>
    <m/>
    <x v="5"/>
    <n v="11"/>
  </r>
  <r>
    <x v="7"/>
    <x v="38"/>
    <s v="Maurico Orellana"/>
    <x v="334"/>
    <x v="1"/>
    <x v="9"/>
    <x v="35"/>
    <s v="auditoria con wes; lec medidor&gt; 003391"/>
    <m/>
    <x v="5"/>
    <n v="10"/>
  </r>
  <r>
    <x v="7"/>
    <x v="26"/>
    <s v="Maurico Orellana"/>
    <x v="334"/>
    <x v="1"/>
    <x v="9"/>
    <x v="35"/>
    <s v="auditoria con wes; lec medidor&gt; 000849"/>
    <m/>
    <x v="5"/>
    <n v="10"/>
  </r>
  <r>
    <x v="0"/>
    <x v="18"/>
    <s v="Maurico Orellana"/>
    <x v="330"/>
    <x v="1"/>
    <x v="9"/>
    <x v="35"/>
    <s v="auditoria con wes; lec medidor&gt; 045769"/>
    <m/>
    <x v="5"/>
    <n v="11"/>
  </r>
  <r>
    <x v="17"/>
    <x v="61"/>
    <s v="Maurico Orellana"/>
    <x v="332"/>
    <x v="0"/>
    <x v="4"/>
    <x v="19"/>
    <s v="remplazo de fuente switching,chequeo de voltajes, _x000a_sistema conectado a app wes"/>
    <m/>
    <x v="5"/>
    <n v="10"/>
  </r>
  <r>
    <x v="17"/>
    <x v="61"/>
    <s v="Maurico Orellana"/>
    <x v="336"/>
    <x v="0"/>
    <x v="0"/>
    <x v="40"/>
    <s v="visita por activacion de bypass &gt; desconfiguracion horaria._x000a_chequeo de memoria ok, configuracion de horarios_x000a_regulacion nocturna 80lxm 22:00&gt;06:00_x000a_regulacion baja 400lxm 06:00&gt;10:00--18:00&gt;22:00_x000a_regulacion alta 900lxm 10:00&gt;18:00"/>
    <m/>
    <x v="5"/>
    <n v="11"/>
  </r>
  <r>
    <x v="7"/>
    <x v="12"/>
    <s v="Maurico Orellana"/>
    <x v="336"/>
    <x v="0"/>
    <x v="0"/>
    <x v="0"/>
    <s v="sistema fuera de linea producto de placa pegada, esta es reiniciada y chequeada_x000a_comprobacion de internet, voltajes y orarios, sistema 100% operativo, llave en bypass _x000a_normalizada a caudal nocturno."/>
    <m/>
    <x v="5"/>
    <n v="11"/>
  </r>
  <r>
    <x v="4"/>
    <x v="53"/>
    <s v="Maurico Orellana"/>
    <x v="336"/>
    <x v="0"/>
    <x v="1"/>
    <x v="12"/>
    <s v="app wes marcando 0 en litros por minutos, marcando 0 en m3 hora_x000a_sensor de pulso sucuio, el cual es extraido limpiado e instalado, _x000a_sistema queda operando marcando consumos en grafico app wes."/>
    <m/>
    <x v="5"/>
    <n v="11"/>
  </r>
  <r>
    <x v="7"/>
    <x v="8"/>
    <s v="Maurico Orellana"/>
    <x v="329"/>
    <x v="1"/>
    <x v="9"/>
    <x v="36"/>
    <s v="termino auditoria con wes; _x000a_lec medidor wes; 001467_x000a_23% de rendimiento_x000a_"/>
    <m/>
    <x v="5"/>
    <n v="10"/>
  </r>
  <r>
    <x v="7"/>
    <x v="27"/>
    <s v="Maurico Orellana"/>
    <x v="329"/>
    <x v="1"/>
    <x v="9"/>
    <x v="36"/>
    <s v="termino auditoria con wes; _x000a_lec medidor wes; 001467_x000a_29% de rendimiento_x000a_"/>
    <m/>
    <x v="5"/>
    <n v="10"/>
  </r>
  <r>
    <x v="7"/>
    <x v="28"/>
    <s v="Maurico Orellana"/>
    <x v="329"/>
    <x v="1"/>
    <x v="9"/>
    <x v="36"/>
    <s v="termino auditoria con wes; _x000a_lec medidor wes; 009322_x000a_sin rendimiento_x000a_"/>
    <m/>
    <x v="5"/>
    <n v="10"/>
  </r>
  <r>
    <x v="7"/>
    <x v="29"/>
    <s v="Maurico Orellana"/>
    <x v="329"/>
    <x v="1"/>
    <x v="9"/>
    <x v="36"/>
    <s v="termino auditoria con wes; _x000a_lec medidor wes; 002127_x000a_sin rendimiento_x000a_"/>
    <m/>
    <x v="5"/>
    <n v="10"/>
  </r>
  <r>
    <x v="7"/>
    <x v="29"/>
    <s v="Maurico Orellana"/>
    <x v="329"/>
    <x v="1"/>
    <x v="9"/>
    <x v="36"/>
    <s v="termino auditoria con wes; _x000a_lec medidor wes; 002127_x000a_sin rendimiento_x000a_"/>
    <m/>
    <x v="5"/>
    <n v="10"/>
  </r>
  <r>
    <x v="7"/>
    <x v="11"/>
    <s v="Maurico Orellana"/>
    <x v="329"/>
    <x v="1"/>
    <x v="9"/>
    <x v="36"/>
    <s v="termino auditoria con wes; _x000a_lec medidor wes; 159602_x000a_34% de rendimiento_x000a_"/>
    <m/>
    <x v="5"/>
    <n v="10"/>
  </r>
  <r>
    <x v="7"/>
    <x v="38"/>
    <s v="Maurico Orellana"/>
    <x v="329"/>
    <x v="1"/>
    <x v="9"/>
    <x v="36"/>
    <s v="termino auditoria con wes; _x000a_lec medidor wes; 003574_x000a_66% de rendimiento_x000a_"/>
    <m/>
    <x v="5"/>
    <n v="10"/>
  </r>
  <r>
    <x v="7"/>
    <x v="14"/>
    <s v="Maurico Orellana"/>
    <x v="329"/>
    <x v="1"/>
    <x v="9"/>
    <x v="36"/>
    <s v="termino auditoria con wes; _x000a_lec medidor wes; 114530_x000a_sin rendimiento_x000a_"/>
    <m/>
    <x v="5"/>
    <n v="10"/>
  </r>
  <r>
    <x v="7"/>
    <x v="12"/>
    <s v="Maurico Orellana"/>
    <x v="329"/>
    <x v="1"/>
    <x v="9"/>
    <x v="36"/>
    <s v="termino auditoria con wes; _x000a_lec medidor wes; 000923_x000a_lec medidor aguas andinas; -- rendimiento de 20%"/>
    <m/>
    <x v="5"/>
    <n v="10"/>
  </r>
  <r>
    <x v="7"/>
    <x v="12"/>
    <s v="Maurico Orellana"/>
    <x v="329"/>
    <x v="1"/>
    <x v="9"/>
    <x v="36"/>
    <s v="termino auditoria con wes; _x000a_lec medidor; 005559_x000a_47% de rendimiento"/>
    <m/>
    <x v="5"/>
    <n v="10"/>
  </r>
  <r>
    <x v="7"/>
    <x v="8"/>
    <s v="Maurico Orellana"/>
    <x v="334"/>
    <x v="1"/>
    <x v="9"/>
    <x v="35"/>
    <s v="comienzo auditoria con wes_x000a_lec medidor wes;157472_x000a_lec medidor aguas andinas; 003217"/>
    <m/>
    <x v="5"/>
    <n v="10"/>
  </r>
  <r>
    <x v="7"/>
    <x v="27"/>
    <s v="Maurico Orellana"/>
    <x v="334"/>
    <x v="1"/>
    <x v="9"/>
    <x v="35"/>
    <s v="comienzo auditoria con wes_x000a_lec medidor;001367"/>
    <m/>
    <x v="5"/>
    <n v="10"/>
  </r>
  <r>
    <x v="7"/>
    <x v="28"/>
    <s v="Maurico Orellana"/>
    <x v="334"/>
    <x v="1"/>
    <x v="9"/>
    <x v="35"/>
    <s v="comienzo auditoria con wes_x000a_lec medidor;009206"/>
    <m/>
    <x v="5"/>
    <n v="10"/>
  </r>
  <r>
    <x v="7"/>
    <x v="29"/>
    <s v="Maurico Orellana"/>
    <x v="334"/>
    <x v="1"/>
    <x v="9"/>
    <x v="35"/>
    <s v="comienzo auditoria con wes_x000a_lec medidor;002051"/>
    <m/>
    <x v="5"/>
    <n v="10"/>
  </r>
  <r>
    <x v="7"/>
    <x v="11"/>
    <s v="Maurico Orellana"/>
    <x v="334"/>
    <x v="1"/>
    <x v="9"/>
    <x v="35"/>
    <s v="comienzo auditoria con wes_x000a_lec medidor;159496"/>
    <m/>
    <x v="5"/>
    <n v="10"/>
  </r>
  <r>
    <x v="7"/>
    <x v="12"/>
    <s v="Maurico Orellana"/>
    <x v="334"/>
    <x v="1"/>
    <x v="9"/>
    <x v="35"/>
    <s v="comienzo auditoria con wes_x000a_lec medidor; 005402"/>
    <m/>
    <x v="5"/>
    <n v="10"/>
  </r>
  <r>
    <x v="7"/>
    <x v="9"/>
    <s v="Maurico Orellana"/>
    <x v="334"/>
    <x v="1"/>
    <x v="9"/>
    <x v="35"/>
    <s v="comienzo auditoria con wes_x000a_lec medidor; 001712"/>
    <m/>
    <x v="5"/>
    <n v="10"/>
  </r>
  <r>
    <x v="7"/>
    <x v="9"/>
    <s v="Maurico Orellana"/>
    <x v="329"/>
    <x v="1"/>
    <x v="9"/>
    <x v="36"/>
    <s v="termino auditoria con wes _x000a_lec mdidor wes; 001774_x000a_rendimiento de 24%_x000a_"/>
    <m/>
    <x v="5"/>
    <n v="10"/>
  </r>
  <r>
    <x v="7"/>
    <x v="12"/>
    <s v="Maurico Orellana"/>
    <x v="337"/>
    <x v="1"/>
    <x v="9"/>
    <x v="36"/>
    <s v="termino auditoria sin wes _x000a_lec mdidor wes; 005156_x000a_"/>
    <m/>
    <x v="5"/>
    <n v="10"/>
  </r>
  <r>
    <x v="7"/>
    <x v="28"/>
    <s v="Maurico Orellana"/>
    <x v="337"/>
    <x v="1"/>
    <x v="9"/>
    <x v="36"/>
    <s v="termino auditoria sin wes _x000a_lec mdidor wes; 009020_x000a_"/>
    <m/>
    <x v="5"/>
    <n v="10"/>
  </r>
  <r>
    <x v="7"/>
    <x v="29"/>
    <s v="Maurico Orellana"/>
    <x v="337"/>
    <x v="1"/>
    <x v="9"/>
    <x v="36"/>
    <s v="termino auditoria sin wes _x000a_lec mdidor wes; 001947_x000a_"/>
    <m/>
    <x v="5"/>
    <n v="10"/>
  </r>
  <r>
    <x v="7"/>
    <x v="11"/>
    <s v="Maurico Orellana"/>
    <x v="337"/>
    <x v="1"/>
    <x v="9"/>
    <x v="36"/>
    <s v="termino auditoria sin wes _x000a_lec mdidor wes; 159193_x000a_"/>
    <m/>
    <x v="5"/>
    <n v="10"/>
  </r>
  <r>
    <x v="7"/>
    <x v="38"/>
    <s v="Maurico Orellana"/>
    <x v="337"/>
    <x v="1"/>
    <x v="9"/>
    <x v="36"/>
    <s v="termino auditoria sin wes _x000a_lec mdidor wes; 002682_x000a_"/>
    <m/>
    <x v="5"/>
    <n v="10"/>
  </r>
  <r>
    <x v="7"/>
    <x v="14"/>
    <s v="Maurico Orellana"/>
    <x v="337"/>
    <x v="1"/>
    <x v="9"/>
    <x v="36"/>
    <s v="termino auditoria sin wes _x000a_lec mdidor wes; 114425_x000a_"/>
    <m/>
    <x v="5"/>
    <n v="10"/>
  </r>
  <r>
    <x v="7"/>
    <x v="26"/>
    <s v="Maurico Orellana"/>
    <x v="337"/>
    <x v="1"/>
    <x v="9"/>
    <x v="36"/>
    <s v="termino auditoria sin wes _x000a_lec mdidor wes; 000762_x000a_"/>
    <m/>
    <x v="5"/>
    <n v="10"/>
  </r>
  <r>
    <x v="7"/>
    <x v="8"/>
    <s v="Maurico Orellana"/>
    <x v="337"/>
    <x v="1"/>
    <x v="9"/>
    <x v="36"/>
    <s v="termino auditoria sin wes _x000a_lec mdidor wes; 157237_x000a_lec. medidor aguas andinas: 2985"/>
    <m/>
    <x v="5"/>
    <n v="10"/>
  </r>
  <r>
    <x v="7"/>
    <x v="9"/>
    <s v="Maurico Orellana"/>
    <x v="337"/>
    <x v="1"/>
    <x v="9"/>
    <x v="36"/>
    <s v="termino auditoria sin wes _x000a_lec mdidor; 001629"/>
    <m/>
    <x v="5"/>
    <n v="10"/>
  </r>
  <r>
    <x v="7"/>
    <x v="27"/>
    <s v="Maurico Orellana"/>
    <x v="337"/>
    <x v="1"/>
    <x v="9"/>
    <x v="36"/>
    <s v="termino auditoria sin wes _x000a_lec mdidor; 001158"/>
    <m/>
    <x v="5"/>
    <n v="10"/>
  </r>
  <r>
    <x v="17"/>
    <x v="73"/>
    <s v="Maurico Orellana"/>
    <x v="338"/>
    <x v="1"/>
    <x v="9"/>
    <x v="35"/>
    <s v="comienzo auditoria con control wes _x000a_lectura medidor¨; 210593"/>
    <m/>
    <x v="5"/>
    <n v="10"/>
  </r>
  <r>
    <x v="17"/>
    <x v="66"/>
    <s v="Maurico Orellana"/>
    <x v="339"/>
    <x v="0"/>
    <x v="1"/>
    <x v="5"/>
    <s v="regulacion nocturna 15%_x000a_regulacion diurna 85%"/>
    <m/>
    <x v="5"/>
    <n v="10"/>
  </r>
  <r>
    <x v="17"/>
    <x v="67"/>
    <s v="Maurico Orellana"/>
    <x v="339"/>
    <x v="0"/>
    <x v="1"/>
    <x v="5"/>
    <s v="regulacion nocturna 15%_x000a_regulacion diurna 85%"/>
    <m/>
    <x v="5"/>
    <n v="10"/>
  </r>
  <r>
    <x v="0"/>
    <x v="1"/>
    <s v="Maurico Orellana"/>
    <x v="340"/>
    <x v="0"/>
    <x v="1"/>
    <x v="16"/>
    <s v="viait corte de agua, solenoide sin voltaje a causa de humedad, _x000a_cable sulfatado y cortado. Cable reparado, sistema 100% operativo."/>
    <m/>
    <x v="5"/>
    <n v="10"/>
  </r>
  <r>
    <x v="7"/>
    <x v="8"/>
    <s v="Maurico Orellana"/>
    <x v="341"/>
    <x v="1"/>
    <x v="9"/>
    <x v="35"/>
    <s v="comienzo auditoria sin wes; lectura medidor; 157072_x000a_lectura medidor aguas andinas; 2823"/>
    <m/>
    <x v="5"/>
    <n v="10"/>
  </r>
  <r>
    <x v="7"/>
    <x v="27"/>
    <s v="Maurico Orellana"/>
    <x v="341"/>
    <x v="1"/>
    <x v="9"/>
    <x v="35"/>
    <s v="comienzo auditoria sin wes; lectura medidor; 157123_x000a_lectura medidor aguas andinas; 2873"/>
    <m/>
    <x v="5"/>
    <n v="10"/>
  </r>
  <r>
    <x v="7"/>
    <x v="27"/>
    <s v="Maurico Orellana"/>
    <x v="341"/>
    <x v="1"/>
    <x v="9"/>
    <x v="35"/>
    <s v="comienzo auditoria sin wes; lectura medidor; 1018"/>
    <m/>
    <x v="5"/>
    <n v="10"/>
  </r>
  <r>
    <x v="7"/>
    <x v="28"/>
    <s v="Maurico Orellana"/>
    <x v="341"/>
    <x v="1"/>
    <x v="9"/>
    <x v="35"/>
    <s v="comienzo auditoria sin wes; lectura medidor; 8949"/>
    <m/>
    <x v="5"/>
    <n v="10"/>
  </r>
  <r>
    <x v="7"/>
    <x v="29"/>
    <s v="Maurico Orellana"/>
    <x v="341"/>
    <x v="1"/>
    <x v="9"/>
    <x v="35"/>
    <s v="comienzo auditoria sin wes; lectura medidor; 1885"/>
    <m/>
    <x v="5"/>
    <n v="10"/>
  </r>
  <r>
    <x v="7"/>
    <x v="11"/>
    <s v="Maurico Orellana"/>
    <x v="341"/>
    <x v="1"/>
    <x v="9"/>
    <x v="35"/>
    <s v="comienzo auditoria sin wes; lectura medidor; 159032"/>
    <m/>
    <x v="5"/>
    <n v="10"/>
  </r>
  <r>
    <x v="7"/>
    <x v="38"/>
    <s v="Anibal Aranda"/>
    <x v="341"/>
    <x v="1"/>
    <x v="9"/>
    <x v="35"/>
    <s v="comienzo auditoria sin wes; lectura medidor; 002153"/>
    <m/>
    <x v="5"/>
    <n v="10"/>
  </r>
  <r>
    <x v="7"/>
    <x v="14"/>
    <s v="Anibal Aranda"/>
    <x v="341"/>
    <x v="1"/>
    <x v="9"/>
    <x v="35"/>
    <s v="comienzo auditoria sin wes; lectura medidor; 114372"/>
    <m/>
    <x v="5"/>
    <n v="10"/>
  </r>
  <r>
    <x v="7"/>
    <x v="26"/>
    <s v="Anibal Aranda"/>
    <x v="341"/>
    <x v="1"/>
    <x v="9"/>
    <x v="35"/>
    <s v="comienzo auditoria sin wes; lectura medidor; 000671"/>
    <m/>
    <x v="5"/>
    <n v="10"/>
  </r>
  <r>
    <x v="7"/>
    <x v="12"/>
    <s v="Anibal Aranda"/>
    <x v="341"/>
    <x v="1"/>
    <x v="9"/>
    <x v="35"/>
    <s v="comienzo auditoria sin wes; lectura medidor; 004858"/>
    <m/>
    <x v="5"/>
    <n v="10"/>
  </r>
  <r>
    <x v="7"/>
    <x v="9"/>
    <s v="Anibal Aranda"/>
    <x v="341"/>
    <x v="1"/>
    <x v="9"/>
    <x v="35"/>
    <s v="comienzo auditoria sin wes; lectura medidor; 001544"/>
    <m/>
    <x v="5"/>
    <n v="10"/>
  </r>
  <r>
    <x v="3"/>
    <x v="4"/>
    <s v="Maurico Orellana"/>
    <x v="339"/>
    <x v="0"/>
    <x v="1"/>
    <x v="16"/>
    <s v="visita por mantenimiento, cambio de 2 solenoides &quot;NO&quot;_x000a_sistema 100% operativo."/>
    <m/>
    <x v="5"/>
    <n v="10"/>
  </r>
  <r>
    <x v="0"/>
    <x v="19"/>
    <s v="Maurico Orellana"/>
    <x v="342"/>
    <x v="0"/>
    <x v="1"/>
    <x v="7"/>
    <s v="visita por funcionamiento baño, valvula con baypass activado, _x000a_este es normalizado dejandolo nuevamente automatico, corporacion repara tuberia fuera de _x000a_posicion con cilicona, sistema 100% operativo."/>
    <m/>
    <x v="5"/>
    <n v="10"/>
  </r>
  <r>
    <x v="0"/>
    <x v="15"/>
    <s v="Maurico Orellana"/>
    <x v="343"/>
    <x v="0"/>
    <x v="4"/>
    <x v="28"/>
    <s v="punto anteriormente enpalmado a 220 v en luminaria,_x000a_al dia de hoy se cambia empalme 220v a caja estanca de enchufes _x000a_canalisada con mt, sistema 100% operativo."/>
    <m/>
    <x v="5"/>
    <n v="10"/>
  </r>
  <r>
    <x v="4"/>
    <x v="91"/>
    <s v="Maurico Orellana"/>
    <x v="342"/>
    <x v="1"/>
    <x v="0"/>
    <x v="14"/>
    <s v="visita por punto desconevtado, cambio de memoria y gravado de codigo en pick it_x000a_punto conectado en linea 100% operativo."/>
    <m/>
    <x v="5"/>
    <n v="10"/>
  </r>
  <r>
    <x v="4"/>
    <x v="34"/>
    <s v="Maurico Orellana"/>
    <x v="339"/>
    <x v="1"/>
    <x v="2"/>
    <x v="3"/>
    <s v="actualización de codigo en pick it"/>
    <m/>
    <x v="5"/>
    <n v="10"/>
  </r>
  <r>
    <x v="4"/>
    <x v="96"/>
    <s v="Maurico Orellana"/>
    <x v="339"/>
    <x v="1"/>
    <x v="2"/>
    <x v="3"/>
    <s v="actualización de codigo en pick it"/>
    <m/>
    <x v="5"/>
    <n v="10"/>
  </r>
  <r>
    <x v="4"/>
    <x v="99"/>
    <s v="Maurico Orellana"/>
    <x v="339"/>
    <x v="1"/>
    <x v="1"/>
    <x v="16"/>
    <s v="visista por mantencion, cambio de solenoide en valvulas de control_x000a_1 NC- 1 NO"/>
    <m/>
    <x v="5"/>
    <n v="10"/>
  </r>
  <r>
    <x v="4"/>
    <x v="99"/>
    <s v="Maurico Orellana"/>
    <x v="344"/>
    <x v="1"/>
    <x v="1"/>
    <x v="5"/>
    <s v="regulacion nocturna se pasa de 0,4m3 hora a 0,8m3 hora _x000a_lectura medidor; 67120"/>
    <m/>
    <x v="5"/>
    <n v="10"/>
  </r>
  <r>
    <x v="17"/>
    <x v="63"/>
    <s v="Maurico Orellana"/>
    <x v="344"/>
    <x v="1"/>
    <x v="0"/>
    <x v="15"/>
    <s v="visita por mantenimiento preventivo, equipo 100% operativo"/>
    <m/>
    <x v="5"/>
    <n v="10"/>
  </r>
  <r>
    <x v="17"/>
    <x v="61"/>
    <s v="Maurico Orellana"/>
    <x v="345"/>
    <x v="1"/>
    <x v="1"/>
    <x v="16"/>
    <s v="cambio de 2 solenoides &quot;NO&quot; en valvulas de control."/>
    <m/>
    <x v="5"/>
    <n v="10"/>
  </r>
  <r>
    <x v="17"/>
    <x v="62"/>
    <s v="Maurico Orellana"/>
    <x v="345"/>
    <x v="1"/>
    <x v="1"/>
    <x v="16"/>
    <s v="cambio de 2 solenoides &quot;NO&quot; en valvulas de control."/>
    <m/>
    <x v="5"/>
    <n v="10"/>
  </r>
  <r>
    <x v="17"/>
    <x v="68"/>
    <s v="Maurico Orellana"/>
    <x v="345"/>
    <x v="1"/>
    <x v="1"/>
    <x v="16"/>
    <s v="cambio de 2 solenoides &quot;NO&quot; en valvulas de control."/>
    <m/>
    <x v="5"/>
    <n v="10"/>
  </r>
  <r>
    <x v="17"/>
    <x v="74"/>
    <s v="Maurico Orellana"/>
    <x v="345"/>
    <x v="1"/>
    <x v="1"/>
    <x v="16"/>
    <s v="cambio de 2 solenoides &quot;NO&quot; en valvulas de control."/>
    <m/>
    <x v="5"/>
    <n v="10"/>
  </r>
  <r>
    <x v="17"/>
    <x v="94"/>
    <s v="Maurico Orellana"/>
    <x v="339"/>
    <x v="1"/>
    <x v="9"/>
    <x v="35"/>
    <s v="comienzo auditoria con wes ; lectura medidor wes ;54562_x000a_lectura medidor aguas andinas; 2919_x000a_"/>
    <m/>
    <x v="5"/>
    <n v="10"/>
  </r>
  <r>
    <x v="17"/>
    <x v="92"/>
    <s v="Maurico Orellana"/>
    <x v="339"/>
    <x v="1"/>
    <x v="9"/>
    <x v="35"/>
    <s v="comienzo auditoria con wes ; lectura medidor wes ;123964_x000a_lectura medidor aguas andinas; 5955_x000a_"/>
    <m/>
    <x v="5"/>
    <n v="10"/>
  </r>
  <r>
    <x v="17"/>
    <x v="94"/>
    <s v="Maurico Orellana"/>
    <x v="346"/>
    <x v="1"/>
    <x v="9"/>
    <x v="36"/>
    <s v="termino auditoria con wes ; lectura medidor wes ;54682_x000a_lectura medidor aguas andinas; 3058 rendimiento 27%_x000a_"/>
    <m/>
    <x v="5"/>
    <n v="10"/>
  </r>
  <r>
    <x v="17"/>
    <x v="92"/>
    <s v="Maurico Orellana"/>
    <x v="346"/>
    <x v="1"/>
    <x v="9"/>
    <x v="36"/>
    <s v="termino auditoria con wes ; lectura medidor wes ;124202_x000a_lectura medidor aguas andinas; 6196 rendimiento 23%_x000a_"/>
    <m/>
    <x v="5"/>
    <n v="10"/>
  </r>
  <r>
    <x v="17"/>
    <x v="94"/>
    <s v="Maurico Orellana"/>
    <x v="347"/>
    <x v="1"/>
    <x v="9"/>
    <x v="36"/>
    <s v="termino auditoria sin wes ; lectura medidor wes ;54325_x000a_lectura medidor aguas andinas; 2638_x000a_cambio de 2 solenoides NO en valvulas de control"/>
    <m/>
    <x v="5"/>
    <n v="10"/>
  </r>
  <r>
    <x v="17"/>
    <x v="92"/>
    <s v="Maurico Orellana"/>
    <x v="347"/>
    <x v="1"/>
    <x v="9"/>
    <x v="36"/>
    <s v="termino auditoria sin wes ; lectura medidor wes ;123473_x000a_lectura medidor aguas andinas; 5460_x000a_cambio de 2 solenoides NO en valvulas de control"/>
    <m/>
    <x v="5"/>
    <n v="10"/>
  </r>
  <r>
    <x v="17"/>
    <x v="73"/>
    <s v="Maurico Orellana"/>
    <x v="347"/>
    <x v="1"/>
    <x v="9"/>
    <x v="36"/>
    <s v="termino auditoria sin wes ; lectura medidor wes ;210275_x000a_lectura medidor aguas andinas; 294( medidor aguas andinas malo)"/>
    <m/>
    <x v="5"/>
    <n v="10"/>
  </r>
  <r>
    <x v="17"/>
    <x v="73"/>
    <s v="Maurico Orellana"/>
    <x v="346"/>
    <x v="1"/>
    <x v="9"/>
    <x v="36"/>
    <s v="termino auditoria sin wes ; lectura medidor wes ;210489_x000a_lectura medidor aguas andinas; 294( medidor aguas andinas malo)"/>
    <m/>
    <x v="5"/>
    <n v="10"/>
  </r>
  <r>
    <x v="17"/>
    <x v="73"/>
    <s v="Maurico Orellana"/>
    <x v="339"/>
    <x v="1"/>
    <x v="9"/>
    <x v="35"/>
    <s v="comienzo auditoria sin wes; lectura medidor wes ;210414_x000a_lectura medidor aguas andinas; 294"/>
    <m/>
    <x v="5"/>
    <n v="10"/>
  </r>
  <r>
    <x v="17"/>
    <x v="73"/>
    <s v="Maurico Orellana"/>
    <x v="342"/>
    <x v="1"/>
    <x v="9"/>
    <x v="35"/>
    <s v="comienzo auditoria sin wes; lectura medidor wes ;210213_x000a_lectura medidor aguas andinas; 294"/>
    <m/>
    <x v="5"/>
    <n v="10"/>
  </r>
  <r>
    <x v="17"/>
    <x v="94"/>
    <s v="Maurico Orellana"/>
    <x v="342"/>
    <x v="1"/>
    <x v="9"/>
    <x v="35"/>
    <s v="comienzo auditoria sin wes; lectura medidor wes ;54460_x000a_lectura medidor aguas andinas; 2447"/>
    <m/>
    <x v="5"/>
    <n v="10"/>
  </r>
  <r>
    <x v="17"/>
    <x v="92"/>
    <s v="Maurico Orellana"/>
    <x v="342"/>
    <x v="1"/>
    <x v="9"/>
    <x v="35"/>
    <s v="comienzo auditoria sin wes; lectura medidor wes ;123163_x000a_lectura medidor aguas andinas; 5148"/>
    <m/>
    <x v="5"/>
    <n v="10"/>
  </r>
  <r>
    <x v="7"/>
    <x v="38"/>
    <s v="Maurico Orellana"/>
    <x v="348"/>
    <x v="0"/>
    <x v="4"/>
    <x v="38"/>
    <s v="cambio de bateria en sistema solar, sistema operativo y controlando."/>
    <m/>
    <x v="5"/>
    <n v="10"/>
  </r>
  <r>
    <x v="17"/>
    <x v="66"/>
    <s v="Maurico Orellana"/>
    <x v="349"/>
    <x v="0"/>
    <x v="1"/>
    <x v="1"/>
    <s v="visita por activacion llave de emergencia, cambio de membrana en valvula _x000a_de control regulacion verano noturno 9% dia 80%"/>
    <m/>
    <x v="5"/>
    <n v="10"/>
  </r>
  <r>
    <x v="17"/>
    <x v="67"/>
    <s v="Maurico Orellana"/>
    <x v="349"/>
    <x v="0"/>
    <x v="1"/>
    <x v="1"/>
    <s v="visita por activacion llave de emergencia, cambio de membrana en valvula _x000a_de control regulacion verano noturno 9% dia 80%"/>
    <m/>
    <x v="5"/>
    <n v="10"/>
  </r>
  <r>
    <x v="15"/>
    <x v="79"/>
    <s v="Anibal Aranda"/>
    <x v="350"/>
    <x v="0"/>
    <x v="1"/>
    <x v="12"/>
    <s v="sensor de pulso marcando 0, se canaliza tramo de linea cableado cortado, dejando punto monitoriando"/>
    <m/>
    <x v="5"/>
    <n v="3"/>
  </r>
  <r>
    <x v="11"/>
    <x v="58"/>
    <s v="Anibal Aranda"/>
    <x v="351"/>
    <x v="0"/>
    <x v="0"/>
    <x v="40"/>
    <s v="punto con desconfiguracion de programa, no guardando data, en cuanto su coneccion este _x000a_se maneja con dos alimentaciones 220v y 12 v de panel solar el cual funciona atraves de un contactor,_x000a_este esta fallando y causa ruidos a placa generando mal funcionamiento, se retira contactor dejando solo_x000a_alimentacion de 220v, se realiza cambio de memoria quedando punto conectado y guardando data, _x000a_equipo 100% operativo."/>
    <m/>
    <x v="5"/>
    <n v="9"/>
  </r>
  <r>
    <x v="11"/>
    <x v="58"/>
    <s v="Anibal Aranda"/>
    <x v="351"/>
    <x v="0"/>
    <x v="4"/>
    <x v="19"/>
    <s v="punto conectado pero no guarda data, se realiza chequeo de memoria_x000a_arrojando 0 error, cambio de fuente switching, punto conectado y operativo."/>
    <m/>
    <x v="5"/>
    <n v="9"/>
  </r>
  <r>
    <x v="11"/>
    <x v="58"/>
    <s v="Anibal Aranda"/>
    <x v="352"/>
    <x v="0"/>
    <x v="0"/>
    <x v="14"/>
    <s v="visita por sistema desconectado, chequeo de placa arroja desconfiguracion por ruido _x000a_a placa, esta es configurada y se cambia memoria, punto conectado y comunicando."/>
    <m/>
    <x v="5"/>
    <n v="9"/>
  </r>
  <r>
    <x v="4"/>
    <x v="91"/>
    <s v="Maurico Orellana"/>
    <x v="353"/>
    <x v="0"/>
    <x v="3"/>
    <x v="7"/>
    <s v="visita por desconeccion, producto de posible manipulacion de terceros en router amplimax,_x000a_chip se encuentra fuera de posicion probocando corte de internet. puerto bloqueado en nuve _x000a_no deja que se comunique con la red, se toma contacto con don jose otarola para el desbloqueo _x000a_de este, punto conectado y comunicando."/>
    <m/>
    <x v="5"/>
    <n v="9"/>
  </r>
  <r>
    <x v="17"/>
    <x v="66"/>
    <s v="Maurico Orellana"/>
    <x v="351"/>
    <x v="0"/>
    <x v="0"/>
    <x v="0"/>
    <s v="visita por desconeccion, el motivo es por placa pegada, esta es reiniciada _x000a_y configurada, punto conectado monitoriando 100% operativo."/>
    <m/>
    <x v="5"/>
    <n v="9"/>
  </r>
  <r>
    <x v="8"/>
    <x v="25"/>
    <s v="Maurico Orellana"/>
    <x v="352"/>
    <x v="0"/>
    <x v="1"/>
    <x v="7"/>
    <s v="cambio de placa y pick por supuesto mal funcionamiento de placa, _x000a_inspeccion de cpa se detecta valvula de control cerrada manualmete por tercero_x000a_probocando corte de sumunistro a las 13:00 hrs cuando sistema cambia de _x000a_valvula de control, esta es normalisada quedando sistema 100% operativo."/>
    <m/>
    <x v="5"/>
    <n v="9"/>
  </r>
  <r>
    <x v="8"/>
    <x v="25"/>
    <s v="Maurico Orellana"/>
    <x v="352"/>
    <x v="0"/>
    <x v="0"/>
    <x v="0"/>
    <s v="visita por corte de agua y desconeccion de red, se identifica que la placa _x000a_esta `pegada` la cual es reiniciada, se restablece horario quedando operativo."/>
    <m/>
    <x v="5"/>
    <n v="9"/>
  </r>
  <r>
    <x v="17"/>
    <x v="67"/>
    <s v="Maurico Orellana"/>
    <x v="354"/>
    <x v="0"/>
    <x v="1"/>
    <x v="1"/>
    <s v="visita por mal funcionamiento de membrana en valvula de control,_x000a_se cambia de funcionamiento valvula, queedando 100% operativo"/>
    <m/>
    <x v="5"/>
    <n v="9"/>
  </r>
  <r>
    <x v="4"/>
    <x v="96"/>
    <s v="Maurico Orellana"/>
    <x v="355"/>
    <x v="0"/>
    <x v="4"/>
    <x v="19"/>
    <s v="punto desconectado producto de fuente switching quemada, esta es retirada _x000a_y remplazada por una fuente nueva._x000a_sensor de pulso no operativa, linea de sensor de pulso cortada en tramo de empalme,_x000a_este es reparado quedando operativo._x000a_punto 100 % opertivo comunicando a app wes _x000a_"/>
    <m/>
    <x v="5"/>
    <n v="9"/>
  </r>
  <r>
    <x v="4"/>
    <x v="86"/>
    <s v="Maurico Orellana"/>
    <x v="355"/>
    <x v="0"/>
    <x v="0"/>
    <x v="14"/>
    <s v="grafico app con marcacion erronea, cambio de memoria y programacion."/>
    <m/>
    <x v="5"/>
    <n v="9"/>
  </r>
  <r>
    <x v="4"/>
    <x v="100"/>
    <s v="Maurico Orellana"/>
    <x v="356"/>
    <x v="0"/>
    <x v="0"/>
    <x v="14"/>
    <s v="punto desconectado, cambio de memoria y configuracion, queda _x000a_nuevamente conectado."/>
    <m/>
    <x v="5"/>
    <n v="9"/>
  </r>
  <r>
    <x v="0"/>
    <x v="18"/>
    <s v="Maurico Orellana"/>
    <x v="356"/>
    <x v="1"/>
    <x v="0"/>
    <x v="15"/>
    <s v="se visita establecimiento encontrando sistema en correcto fincionamiento , desprogramacion _x000a_de alarma e id producidos por ruidos producto por caida de automatico en reiteradas ocaciones, _x000a_se restablece sistema quedando operativo."/>
    <m/>
    <x v="5"/>
    <n v="9"/>
  </r>
  <r>
    <x v="17"/>
    <x v="101"/>
    <s v="Maurico Orellana"/>
    <x v="357"/>
    <x v="0"/>
    <x v="4"/>
    <x v="28"/>
    <s v="sellado de gabinete cir de modulo con cilicona._x000a_punto matriz principal portabilidad a wom"/>
    <m/>
    <x v="5"/>
    <n v="9"/>
  </r>
  <r>
    <x v="17"/>
    <x v="62"/>
    <s v="Maurico Orellana"/>
    <x v="357"/>
    <x v="0"/>
    <x v="0"/>
    <x v="0"/>
    <s v="visita por activacion de llave emergencia, diagnosito anterior determina que la placa estaba pegada,_x000a_lo cual no es asi, caudal de la unidad pobre por manipulacion de valvula de control altra presion _x000a_"/>
    <m/>
    <x v="5"/>
    <n v="9"/>
  </r>
  <r>
    <x v="17"/>
    <x v="62"/>
    <s v="Maurico Orellana"/>
    <x v="355"/>
    <x v="0"/>
    <x v="1"/>
    <x v="7"/>
    <s v="visita por apertura de llave emergencia, debido a manipulacion de terceros en valvula de _x000a_control caudal baja a 500lxm lo cual no es suficiente para abastecer la unidad este es normalizado a_x000a_900/1000 lxm dejando sistema 100% operativo."/>
    <m/>
    <x v="5"/>
    <n v="9"/>
  </r>
  <r>
    <x v="8"/>
    <x v="25"/>
    <s v="Maurico Orellana"/>
    <x v="358"/>
    <x v="0"/>
    <x v="3"/>
    <x v="21"/>
    <s v="reinstalacion de router tp-link punto restablese su coneccion _x000a_comunicando a app wes, sistema 100% operativo."/>
    <m/>
    <x v="5"/>
    <n v="9"/>
  </r>
  <r>
    <x v="8"/>
    <x v="25"/>
    <s v="Maurico Orellana"/>
    <x v="359"/>
    <x v="0"/>
    <x v="4"/>
    <x v="28"/>
    <s v="corto circuito en empalme electrico, no se puede realizar reparacion por las presipitaciones _x000a_ya que el riesgo electrico es mayor, se deja activo el protocolo de emergencia hidrica _x000a_hasta la normalisacion de cir wes."/>
    <m/>
    <x v="5"/>
    <n v="9"/>
  </r>
  <r>
    <x v="8"/>
    <x v="25"/>
    <s v="Maurico Orellana"/>
    <x v="360"/>
    <x v="0"/>
    <x v="4"/>
    <x v="19"/>
    <s v="visita por punto desconectado, tras las intensas lluvias del pasado dia 6-9 cir se ve afectado por humedad,_x000a_afectando directamente fuente switching, la cual causa problemas a router del mismo punto quemandolo, _x000a_se remplaza fuente switching dejando punto operativo, no obstante se retira router para su remplazo_x000a_por un aparato nuevo, mejora en sellado de canalisacion y entrada a cir, chequeo de voltajes y funcionamiento_x000a_de valvulas de control ok."/>
    <m/>
    <x v="5"/>
    <n v="8"/>
  </r>
  <r>
    <x v="17"/>
    <x v="74"/>
    <s v="Maurico Orellana"/>
    <x v="359"/>
    <x v="0"/>
    <x v="3"/>
    <x v="6"/>
    <s v="visita por equipo desconectado de app wes, se chequea cir,_x000a_encontrandon modem sin internet, por lo tanto se registra numero de _x000a_chip, para activacion de servicio"/>
    <m/>
    <x v="5"/>
    <n v="9"/>
  </r>
  <r>
    <x v="15"/>
    <x v="82"/>
    <s v="Anibal Aranda"/>
    <x v="350"/>
    <x v="0"/>
    <x v="1"/>
    <x v="12"/>
    <s v="sensor de pulso marcando 0, se canaliza tramo de linea cableado cortado, dejando punto monitoriando"/>
    <m/>
    <x v="5"/>
    <n v="3"/>
  </r>
  <r>
    <x v="8"/>
    <x v="25"/>
    <s v="Maurico Orellana"/>
    <x v="361"/>
    <x v="0"/>
    <x v="0"/>
    <x v="7"/>
    <s v="gabinete electrico suelto de las fijaciones, se presume daño por terceros _x000a_se cambian fijaciones dejando gabinete correctamente instalado."/>
    <m/>
    <x v="5"/>
    <n v="8"/>
  </r>
  <r>
    <x v="7"/>
    <x v="8"/>
    <s v="Maurico Orellana"/>
    <x v="362"/>
    <x v="1"/>
    <x v="3"/>
    <x v="53"/>
    <s v="visita por programacion cambio de horario verano _x000a_02-09-2023"/>
    <m/>
    <x v="5"/>
    <n v="9"/>
  </r>
  <r>
    <x v="7"/>
    <x v="27"/>
    <s v="Maurico Orellana"/>
    <x v="362"/>
    <x v="1"/>
    <x v="3"/>
    <x v="53"/>
    <s v="visita por programacion cambio de horario verano _x000a_02-09-2023"/>
    <m/>
    <x v="5"/>
    <n v="9"/>
  </r>
  <r>
    <x v="7"/>
    <x v="28"/>
    <s v="Maurico Orellana"/>
    <x v="362"/>
    <x v="1"/>
    <x v="3"/>
    <x v="53"/>
    <s v="visita por programacion cambio de horario verano _x000a_02-09-2023"/>
    <m/>
    <x v="5"/>
    <n v="9"/>
  </r>
  <r>
    <x v="7"/>
    <x v="29"/>
    <s v="Maurico Orellana"/>
    <x v="362"/>
    <x v="1"/>
    <x v="3"/>
    <x v="53"/>
    <s v="visita por programacion cambio de horario verano _x000a_02-09-2023"/>
    <m/>
    <x v="5"/>
    <n v="9"/>
  </r>
  <r>
    <x v="7"/>
    <x v="11"/>
    <s v="Maurico Orellana"/>
    <x v="362"/>
    <x v="1"/>
    <x v="3"/>
    <x v="53"/>
    <s v="visita por programacion cambio de horario verano _x000a_02-09-2023"/>
    <m/>
    <x v="5"/>
    <n v="9"/>
  </r>
  <r>
    <x v="7"/>
    <x v="10"/>
    <s v="Maurico Orellana"/>
    <x v="362"/>
    <x v="1"/>
    <x v="3"/>
    <x v="53"/>
    <s v="visita por programacion cambio de horario verano _x000a_02-09-2023"/>
    <m/>
    <x v="5"/>
    <n v="9"/>
  </r>
  <r>
    <x v="7"/>
    <x v="38"/>
    <s v="Maurico Orellana"/>
    <x v="362"/>
    <x v="1"/>
    <x v="3"/>
    <x v="53"/>
    <s v="visita por programacion cambio de horario verano _x000a_02-09-2023"/>
    <m/>
    <x v="5"/>
    <n v="9"/>
  </r>
  <r>
    <x v="7"/>
    <x v="9"/>
    <s v="Maurico Orellana"/>
    <x v="362"/>
    <x v="1"/>
    <x v="3"/>
    <x v="53"/>
    <s v="visita por programacion cambio de horario verano _x000a_02-09-2023"/>
    <m/>
    <x v="5"/>
    <n v="9"/>
  </r>
  <r>
    <x v="0"/>
    <x v="1"/>
    <s v="Maurico Orellana"/>
    <x v="363"/>
    <x v="1"/>
    <x v="3"/>
    <x v="53"/>
    <s v="visita por programacion cambio de horario verano _x000a_02-09-2023"/>
    <m/>
    <x v="5"/>
    <n v="9"/>
  </r>
  <r>
    <x v="0"/>
    <x v="13"/>
    <s v="Maurico Orellana"/>
    <x v="363"/>
    <x v="1"/>
    <x v="3"/>
    <x v="53"/>
    <s v="visita por programacion cambio de horario verano _x000a_02-09-2023"/>
    <m/>
    <x v="5"/>
    <n v="9"/>
  </r>
  <r>
    <x v="0"/>
    <x v="35"/>
    <s v="Maurico Orellana"/>
    <x v="363"/>
    <x v="1"/>
    <x v="3"/>
    <x v="53"/>
    <s v="visita por programacion cambio de horario verano _x000a_02-09-2023"/>
    <m/>
    <x v="5"/>
    <n v="9"/>
  </r>
  <r>
    <x v="0"/>
    <x v="15"/>
    <s v="Maurico Orellana"/>
    <x v="363"/>
    <x v="1"/>
    <x v="3"/>
    <x v="53"/>
    <s v="visita por programacion cambio de horario verano _x000a_02-09-2023"/>
    <m/>
    <x v="5"/>
    <n v="9"/>
  </r>
  <r>
    <x v="0"/>
    <x v="23"/>
    <s v="Maurico Orellana"/>
    <x v="363"/>
    <x v="1"/>
    <x v="3"/>
    <x v="53"/>
    <s v="visita por programacion cambio de horario verano _x000a_02-09-2023"/>
    <m/>
    <x v="5"/>
    <n v="9"/>
  </r>
  <r>
    <x v="0"/>
    <x v="17"/>
    <s v="Maurico Orellana"/>
    <x v="363"/>
    <x v="1"/>
    <x v="3"/>
    <x v="53"/>
    <s v="visita por programacion cambio de horario verano _x000a_02-09-2023"/>
    <m/>
    <x v="5"/>
    <n v="9"/>
  </r>
  <r>
    <x v="0"/>
    <x v="18"/>
    <s v="Maurico Orellana"/>
    <x v="363"/>
    <x v="1"/>
    <x v="3"/>
    <x v="53"/>
    <s v="visita por programacion cambio de horario verano _x000a_02-09-2023"/>
    <m/>
    <x v="5"/>
    <n v="9"/>
  </r>
  <r>
    <x v="0"/>
    <x v="22"/>
    <s v="Maurico Orellana"/>
    <x v="363"/>
    <x v="1"/>
    <x v="3"/>
    <x v="53"/>
    <s v="visita por programacion cambio de horario verano _x000a_02-09-2023"/>
    <m/>
    <x v="5"/>
    <n v="9"/>
  </r>
  <r>
    <x v="0"/>
    <x v="19"/>
    <s v="Maurico Orellana"/>
    <x v="363"/>
    <x v="1"/>
    <x v="3"/>
    <x v="53"/>
    <s v="visita por programacion cambio de horario verano _x000a_02-09-2023"/>
    <m/>
    <x v="5"/>
    <n v="9"/>
  </r>
  <r>
    <x v="0"/>
    <x v="20"/>
    <s v="Maurico Orellana"/>
    <x v="364"/>
    <x v="0"/>
    <x v="1"/>
    <x v="10"/>
    <s v="visita por activacion de bypass en valvula de control cpa ,_x000a_se vuelve a su posicion automatico quedando operativo."/>
    <m/>
    <x v="5"/>
    <n v="9"/>
  </r>
  <r>
    <x v="0"/>
    <x v="21"/>
    <s v="Maurico Orellana"/>
    <x v="364"/>
    <x v="0"/>
    <x v="1"/>
    <x v="5"/>
    <s v="se normaliza horario de funcionamiento de apertura y cierre de valvula , se comprueva_x000a_su correcto funcionamiento chequeando punto ,aiatema 100% operativo"/>
    <m/>
    <x v="5"/>
    <n v="9"/>
  </r>
  <r>
    <x v="17"/>
    <x v="66"/>
    <s v="Anibal Aranda"/>
    <x v="365"/>
    <x v="0"/>
    <x v="1"/>
    <x v="5"/>
    <s v="regulacion nocturna 30% 22:00&gt;06:00_x000a_diurno 80% 06:00&gt;22:00"/>
    <m/>
    <x v="5"/>
    <n v="8"/>
  </r>
  <r>
    <x v="17"/>
    <x v="67"/>
    <s v="Anibal Aranda"/>
    <x v="365"/>
    <x v="0"/>
    <x v="1"/>
    <x v="5"/>
    <s v="regulacion nocturna 10% 22:00&gt;06:00_x000a_diurno 80% 06:00&gt;22:00"/>
    <m/>
    <x v="5"/>
    <n v="8"/>
  </r>
  <r>
    <x v="4"/>
    <x v="5"/>
    <s v="Maurico Orellana"/>
    <x v="366"/>
    <x v="0"/>
    <x v="3"/>
    <x v="6"/>
    <s v="equipo desconectado de internet, se da reinicio a router_x000a_recuperando la conectividad,_x000a_se programa cambio de hora verano 2-09-2023"/>
    <m/>
    <x v="5"/>
    <n v="8"/>
  </r>
  <r>
    <x v="4"/>
    <x v="102"/>
    <s v="Maurico Orellana"/>
    <x v="366"/>
    <x v="1"/>
    <x v="0"/>
    <x v="45"/>
    <s v="renovacion en sistema, cambio de router y portabilidad_x000a_de chip a compañia wom"/>
    <m/>
    <x v="5"/>
    <n v="8"/>
  </r>
  <r>
    <x v="17"/>
    <x v="94"/>
    <s v="Maurico Orellana"/>
    <x v="367"/>
    <x v="0"/>
    <x v="4"/>
    <x v="7"/>
    <s v="visita por desconeccion, se revisa sitema encontrando automatico abajo,_x000a_este se normalisa y equipo funciona sin problemas, punto conectado _x000a_y comunicando a app wes."/>
    <m/>
    <x v="5"/>
    <n v="8"/>
  </r>
  <r>
    <x v="0"/>
    <x v="21"/>
    <s v="Maurico Orellana"/>
    <x v="368"/>
    <x v="0"/>
    <x v="1"/>
    <x v="5"/>
    <s v="visita por emergencia, se solicita modificacion de horarios, en valvula de control_x000a_por rotura de matriz principal de establecimiento, por lo que marcelo carrasco _x000a_propone los siguientes horarios de apertura de valvulas._x000a_07:00&gt;15:30 valvula habilitada / 15:30&gt;18:00 valvula deshabilitada 18:00&gt;21:00_x000a_valvula habilitada 21:00&gt;07:00 valvula deshabilitada."/>
    <m/>
    <x v="5"/>
    <n v="8"/>
  </r>
  <r>
    <x v="17"/>
    <x v="94"/>
    <s v="Maurico Orellana"/>
    <x v="361"/>
    <x v="1"/>
    <x v="3"/>
    <x v="6"/>
    <s v="nueva configuracion de placa comunicacion (placa roja) port 5000/ port8846_x000a_valvula en corte nocturno no acciona por membrana desfigurada, se cambia de funcionalidad de valvula,_x000a_mas instalacion de nueva solenoide, sistema queda operativo 100%"/>
    <m/>
    <x v="5"/>
    <n v="8"/>
  </r>
  <r>
    <x v="4"/>
    <x v="86"/>
    <s v="Maurico Orellana"/>
    <x v="369"/>
    <x v="1"/>
    <x v="0"/>
    <x v="14"/>
    <s v="punto desconectado por desconfiguracion, cambio de memoria y _x000a_configuracion desde cero, punto conectado funcionando ok."/>
    <m/>
    <x v="5"/>
    <n v="8"/>
  </r>
  <r>
    <x v="4"/>
    <x v="103"/>
    <s v="Maurico Orellana"/>
    <x v="369"/>
    <x v="1"/>
    <x v="0"/>
    <x v="15"/>
    <s v="chequero de sistema y voltajes, todo funcionaldo al 100%"/>
    <m/>
    <x v="5"/>
    <n v="8"/>
  </r>
  <r>
    <x v="4"/>
    <x v="100"/>
    <s v="Maurico Orellana"/>
    <x v="369"/>
    <x v="1"/>
    <x v="3"/>
    <x v="6"/>
    <s v="sistema desconfigurado, reconfiguracion desde cero, _x000a_equipo queda comunicando a la red."/>
    <m/>
    <x v="5"/>
    <n v="8"/>
  </r>
  <r>
    <x v="4"/>
    <x v="102"/>
    <s v="Maurico Orellana"/>
    <x v="369"/>
    <x v="1"/>
    <x v="3"/>
    <x v="54"/>
    <s v="portabilidad de chip, a wom."/>
    <m/>
    <x v="5"/>
    <n v="8"/>
  </r>
  <r>
    <x v="4"/>
    <x v="85"/>
    <s v="Maurico Orellana"/>
    <x v="369"/>
    <x v="1"/>
    <x v="0"/>
    <x v="14"/>
    <s v="equipo no guardando data, se realiza cambio de memoria y _x000a_reconfiguracion de sistema."/>
    <m/>
    <x v="5"/>
    <n v="8"/>
  </r>
  <r>
    <x v="8"/>
    <x v="25"/>
    <s v="Maurico Orellana"/>
    <x v="370"/>
    <x v="1"/>
    <x v="3"/>
    <x v="6"/>
    <s v="visita por problemas de conexion, se realiza cambio re router y chp,_x000a_portabilidad a wom, sistema queda comunicando a la red."/>
    <m/>
    <x v="5"/>
    <n v="7"/>
  </r>
  <r>
    <x v="12"/>
    <x v="104"/>
    <s v="Maurico Orellana"/>
    <x v="371"/>
    <x v="1"/>
    <x v="0"/>
    <x v="15"/>
    <s v="registro fotografico de todo los puntos; estanque B estanque C _x000a_elementary, high scool, teatro , picina poso profundo."/>
    <m/>
    <x v="5"/>
    <n v="8"/>
  </r>
  <r>
    <x v="12"/>
    <x v="97"/>
    <s v="Maurico Orellana"/>
    <x v="371"/>
    <x v="0"/>
    <x v="0"/>
    <x v="14"/>
    <s v="pick con codigo herroneo proboca mala contabilidad de caudal_x000a_en red hidrica, se remplaza pick it y memoria, reconfiguracion de todo el sistema _x000a_y calibracion, sistema queda 100 % operativo."/>
    <m/>
    <x v="5"/>
    <n v="8"/>
  </r>
  <r>
    <x v="12"/>
    <x v="51"/>
    <s v="Maurico Orellana"/>
    <x v="371"/>
    <x v="0"/>
    <x v="1"/>
    <x v="12"/>
    <s v="sensor de pulso marcando 0 producto de intervencion de terceros, _x000a_se realisa seguimiento a linea sensor encontrando corte en punto de empalme, _x000a_este es empalmado nuevamente, y queda operativo."/>
    <m/>
    <x v="5"/>
    <n v="8"/>
  </r>
  <r>
    <x v="12"/>
    <x v="78"/>
    <s v="Maurico Orellana"/>
    <x v="372"/>
    <x v="0"/>
    <x v="3"/>
    <x v="21"/>
    <s v="instalacion definitiva de router movil sim 4gG N300 DWR - M 92_x000a_queda punto comunicando , toma fotografica de medidores, estanque B estanque C_x000a_elementary, high scool, teatro , picina poso profundo."/>
    <m/>
    <x v="5"/>
    <n v="8"/>
  </r>
  <r>
    <x v="12"/>
    <x v="97"/>
    <s v="Maurico Orellana"/>
    <x v="372"/>
    <x v="0"/>
    <x v="1"/>
    <x v="47"/>
    <s v="medidor detenido, se trabaja en intervencion a medidor y es destapado_x000a_encontrando piedras dentro de la red hidrica y en aspa de medidor _x000a_entorpeciendo su buen funcionamiento, este es destapado y limpiado, _x000a_para su reinstalacion y normal funcionamiento."/>
    <m/>
    <x v="5"/>
    <n v="8"/>
  </r>
  <r>
    <x v="12"/>
    <x v="105"/>
    <s v="Maurico Orellana"/>
    <x v="372"/>
    <x v="0"/>
    <x v="1"/>
    <x v="47"/>
    <s v="medidor detenido, se trabaja en intervencion a medidor y es destapado_x000a_encontrando piedras dentro de la red hidrica y en aspa de medidor _x000a_entorpeciendo su buen funcionamiento, este es destapado y limpiado, _x000a_para su reinstalacion y normal funcionamiento."/>
    <m/>
    <x v="5"/>
    <n v="8"/>
  </r>
  <r>
    <x v="12"/>
    <x v="105"/>
    <s v="Maurico Orellana"/>
    <x v="373"/>
    <x v="0"/>
    <x v="4"/>
    <x v="7"/>
    <s v="CPA de control, puntos elementary, high scool, teatro inundado a causa de _x000a_modificacion de nuevo empalme a sistema CPA queda filtrando."/>
    <m/>
    <x v="5"/>
    <n v="7"/>
  </r>
  <r>
    <x v="12"/>
    <x v="105"/>
    <s v="Maurico Orellana"/>
    <x v="373"/>
    <x v="0"/>
    <x v="3"/>
    <x v="6"/>
    <s v="sistema comunicando, al momento de realizar modificaciones y actualisacion placa_x000a_verde, se produce falla, la cual nos bota de servidor electronico &quot;perro guardian&quot;_x000a_se programa cambio de fuente switching._x000a_"/>
    <m/>
    <x v="5"/>
    <n v="7"/>
  </r>
  <r>
    <x v="12"/>
    <x v="97"/>
    <s v="Maurico Orellana"/>
    <x v="373"/>
    <x v="0"/>
    <x v="3"/>
    <x v="6"/>
    <s v="sistema comunicando, al momento de realizar modificaciones y actualisacion placa_x000a_verde, se produce falla, la cual nos bota de servidor electronico &quot;perro guardian&quot;_x000a_se programa cambio de fuente switching._x000a_"/>
    <m/>
    <x v="5"/>
    <n v="7"/>
  </r>
  <r>
    <x v="12"/>
    <x v="51"/>
    <s v="Maurico Orellana"/>
    <x v="373"/>
    <x v="0"/>
    <x v="3"/>
    <x v="6"/>
    <s v="red internet de punto debil, la cual no permite que app se actualise, chequeo de cir, voltajes, _x000a_placa roja ok, cir al 100%"/>
    <m/>
    <x v="5"/>
    <n v="7"/>
  </r>
  <r>
    <x v="12"/>
    <x v="78"/>
    <s v="Maurico Orellana"/>
    <x v="373"/>
    <x v="1"/>
    <x v="3"/>
    <x v="45"/>
    <s v="instalacion momentanea de router wes, para recuperacion de data , operacion ok._x000a_"/>
    <m/>
    <x v="5"/>
    <n v="7"/>
  </r>
  <r>
    <x v="10"/>
    <x v="87"/>
    <s v="Maurico Orellana"/>
    <x v="371"/>
    <x v="0"/>
    <x v="0"/>
    <x v="14"/>
    <s v="cambio de memoria y reconfiguracio de equipo monitoreo, _x000a_cambio de luz piloto de 12v a 220v, equipo comunicando."/>
    <m/>
    <x v="5"/>
    <n v="8"/>
  </r>
  <r>
    <x v="10"/>
    <x v="46"/>
    <s v="Maurico Orellana"/>
    <x v="371"/>
    <x v="1"/>
    <x v="4"/>
    <x v="53"/>
    <s v="cambio de luz piloto de 12v a 220v"/>
    <m/>
    <x v="5"/>
    <n v="8"/>
  </r>
  <r>
    <x v="10"/>
    <x v="55"/>
    <s v="Maurico Orellana"/>
    <x v="371"/>
    <x v="0"/>
    <x v="0"/>
    <x v="14"/>
    <s v="dispositivo desconectado, se realiza cambio de memoria y reprogramacion, _x000a_luz piloto se remplaza de 12v a 220v ."/>
    <m/>
    <x v="5"/>
    <n v="8"/>
  </r>
  <r>
    <x v="11"/>
    <x v="106"/>
    <s v="Maurico Orellana"/>
    <x v="374"/>
    <x v="0"/>
    <x v="5"/>
    <x v="18"/>
    <s v="retiro gabinete cir de monitoreo sector pozo por trabajos _x000a_en el lugar."/>
    <m/>
    <x v="5"/>
    <n v="8"/>
  </r>
  <r>
    <x v="15"/>
    <x v="54"/>
    <s v="Maurico Orellana"/>
    <x v="375"/>
    <x v="0"/>
    <x v="3"/>
    <x v="6"/>
    <s v="punto desconectado, se reinicia sistema, chequeo de voltajes, chequeo hora y fecha quedando punto comunicando a app wes."/>
    <m/>
    <x v="5"/>
    <n v="6"/>
  </r>
  <r>
    <x v="17"/>
    <x v="61"/>
    <s v="Maurico Orellana"/>
    <x v="376"/>
    <x v="0"/>
    <x v="1"/>
    <x v="5"/>
    <s v="regulacion caudal invierno, _x000a_alta 650 LxM 06:00&gt;16:30_x000a_media 500 LxM 16:30&gt;23:00_x000a_baja 100 LxM 23:00&gt; 06:00"/>
    <m/>
    <x v="5"/>
    <n v="8"/>
  </r>
  <r>
    <x v="17"/>
    <x v="62"/>
    <s v="Maurico Orellana"/>
    <x v="377"/>
    <x v="0"/>
    <x v="1"/>
    <x v="5"/>
    <s v="regulacion nocturna de 200 LxM se reduce a 166LxM _x000a_10M3 x h Nocturno."/>
    <m/>
    <x v="5"/>
    <n v="7"/>
  </r>
  <r>
    <x v="17"/>
    <x v="66"/>
    <s v="Maurico Orellana"/>
    <x v="378"/>
    <x v="0"/>
    <x v="1"/>
    <x v="5"/>
    <s v="regulacion valvula de alta 950 LxM, regulacion valvula de baja 850 LxM _x000a_regulacion nocturna, 160 LxM, cambio de solenoide NO en valvula de baja."/>
    <m/>
    <x v="5"/>
    <n v="7"/>
  </r>
  <r>
    <x v="17"/>
    <x v="67"/>
    <s v="Maurico Orellana"/>
    <x v="378"/>
    <x v="0"/>
    <x v="1"/>
    <x v="5"/>
    <s v="desactivacion de valvul cpa, regulacion limitada caudal 100LxM/ 6m3 H_x000a_en caso de ser nesesario se activa valvula a distancia."/>
    <m/>
    <x v="5"/>
    <n v="7"/>
  </r>
  <r>
    <x v="17"/>
    <x v="66"/>
    <s v="Maurico Orellana"/>
    <x v="379"/>
    <x v="0"/>
    <x v="1"/>
    <x v="5"/>
    <s v="regulacion nocturna, disminucion de caudal invierno,_x000a_regulacion 150lxm"/>
    <m/>
    <x v="5"/>
    <n v="8"/>
  </r>
  <r>
    <x v="17"/>
    <x v="67"/>
    <s v="Maurico Orellana"/>
    <x v="379"/>
    <x v="0"/>
    <x v="1"/>
    <x v="5"/>
    <s v="regulaciones de caudal, disminucion de consumos invierno_x000a_250 lxm dia -- 50 lxm nocturno ( valvula dia en corte)_x000a_"/>
    <m/>
    <x v="5"/>
    <n v="8"/>
  </r>
  <r>
    <x v="4"/>
    <x v="5"/>
    <s v="Maurico Orellana"/>
    <x v="380"/>
    <x v="1"/>
    <x v="9"/>
    <x v="36"/>
    <s v="termino auditoria sin control, comienzo auditoria con control_x000a_lectura medidor ; 63558"/>
    <m/>
    <x v="5"/>
    <n v="8"/>
  </r>
  <r>
    <x v="4"/>
    <x v="5"/>
    <s v="Maurico Orellana"/>
    <x v="381"/>
    <x v="1"/>
    <x v="9"/>
    <x v="35"/>
    <s v="auditoria sin control lectura medidor; 63483"/>
    <m/>
    <x v="5"/>
    <n v="8"/>
  </r>
  <r>
    <x v="4"/>
    <x v="5"/>
    <s v="Maurico Orellana"/>
    <x v="360"/>
    <x v="0"/>
    <x v="1"/>
    <x v="5"/>
    <s v="ajuste de caudal nocturno en horario pick ( 12:45 am) regulacion_x000a_nocturna 10 LxM"/>
    <m/>
    <x v="5"/>
    <n v="8"/>
  </r>
  <r>
    <x v="4"/>
    <x v="5"/>
    <s v="Maurico Orellana"/>
    <x v="377"/>
    <x v="0"/>
    <x v="1"/>
    <x v="16"/>
    <s v="falla en valvula de baja, solenoide NC defectuosa, _x000a_cambio de solenoide resuelve problema de funcionamiento valvula,_x000a_sistema operativo 100%"/>
    <m/>
    <x v="5"/>
    <n v="7"/>
  </r>
  <r>
    <x v="7"/>
    <x v="14"/>
    <s v="Maurico Orellana"/>
    <x v="360"/>
    <x v="0"/>
    <x v="1"/>
    <x v="7"/>
    <s v="visita por activacion llave de emergencia, se revisa sistema CPA no encontrando ningun problema_x000a_a raiz de calefont en mal estado no ensiende, por lo que se piensa en poca presion en la linea hidrica y se activa llave de _x000a_emergencia, personal wes, da explicacion pertinente al caso, y se normaliza caudal de CPA , actualmente funcionando con 2 bar de presion."/>
    <m/>
    <x v="5"/>
    <n v="8"/>
  </r>
  <r>
    <x v="7"/>
    <x v="12"/>
    <s v="Maurico Orellana"/>
    <x v="376"/>
    <x v="0"/>
    <x v="1"/>
    <x v="12"/>
    <s v="instalacion de nuevo sensor de pulso en nuevo medidor aguas andinas _x000a_sistema recalibrado y operanso."/>
    <m/>
    <x v="5"/>
    <n v="8"/>
  </r>
  <r>
    <x v="7"/>
    <x v="12"/>
    <s v="Maurico Orellana"/>
    <x v="360"/>
    <x v="0"/>
    <x v="1"/>
    <x v="12"/>
    <s v="sensor de pulso fuera de posicion devido a que en el establecimiento se cambio medidor _x000a_de matriz principal, sensor de pulso wes existente no es compatible con nuevo medidor, _x000a_se solicita cambio de medidor."/>
    <m/>
    <x v="5"/>
    <n v="8"/>
  </r>
  <r>
    <x v="15"/>
    <x v="56"/>
    <s v="Maurico Orellana"/>
    <x v="375"/>
    <x v="0"/>
    <x v="3"/>
    <x v="6"/>
    <s v="punto desconectado, se reinicia sistema, chequeo de voltajes, chequeo hora y fecha quedando punto comunicando a app wes."/>
    <m/>
    <x v="5"/>
    <n v="6"/>
  </r>
  <r>
    <x v="8"/>
    <x v="25"/>
    <s v="Maurico Orellana"/>
    <x v="382"/>
    <x v="0"/>
    <x v="4"/>
    <x v="28"/>
    <s v="placa de comunicacion (placa roja ) mala, bypass activado,_x000a_se solicita cambio de placa de comunicacion se cambia memoria y se restablece horario,_x000a_sistema operativo valvula en automatica."/>
    <m/>
    <x v="5"/>
    <n v="6"/>
  </r>
  <r>
    <x v="3"/>
    <x v="4"/>
    <s v="Maurico Orellana"/>
    <x v="383"/>
    <x v="0"/>
    <x v="1"/>
    <x v="10"/>
    <s v="visita por accionamiento de llave emergencia, de vido a corte de luz se acciona llave de emergencia _x000a_dejando 100 % de caudal a las 16:00 hrs se revisa sistema cpa, normalizando paso de caudal._x000a_se eda conocimiento en terreno a sra maria paz de ejecucion medida de emergencia en caso de corte."/>
    <m/>
    <x v="5"/>
    <n v="7"/>
  </r>
  <r>
    <x v="17"/>
    <x v="67"/>
    <s v="Maurico Orellana"/>
    <x v="382"/>
    <x v="3"/>
    <x v="8"/>
    <x v="18"/>
    <s v="visita por terminacion de trabajos, canalisacion de cableado que quedo pendiemte de la ultima _x000a_modificacion quedando con terminaciones, calibracion de sistema 0100, regulacion de caudal _x000a_queda entregando entre 1000 a 1200 LxM en horario de 06:00 a 22:00Hrs."/>
    <m/>
    <x v="5"/>
    <n v="6"/>
  </r>
  <r>
    <x v="17"/>
    <x v="73"/>
    <s v="Maurico Orellana"/>
    <x v="384"/>
    <x v="1"/>
    <x v="1"/>
    <x v="5"/>
    <s v="regulacion n°1 para mejorar ahorro_x000a_alta 30 LxM- - mdia 20 LxM- - baja 8 LxM"/>
    <m/>
    <x v="5"/>
    <n v="6"/>
  </r>
  <r>
    <x v="0"/>
    <x v="1"/>
    <s v="Maurico Orellana"/>
    <x v="385"/>
    <x v="0"/>
    <x v="1"/>
    <x v="16"/>
    <s v="cambio solenoide valvula de alta, cambio de fuente switching sistema funcionando 100%_x000a_programavion de horarios segun recreo diurno y nocturno."/>
    <m/>
    <x v="5"/>
    <n v="7"/>
  </r>
  <r>
    <x v="0"/>
    <x v="15"/>
    <s v="Maurico Orellana"/>
    <x v="385"/>
    <x v="1"/>
    <x v="0"/>
    <x v="45"/>
    <s v="se reinstala placa wes, sistema normalizado, chequeo de valvulas ok, horarios ok,_x000a_corte y apertura de valvulas ok, sistema operativo 100%"/>
    <m/>
    <x v="5"/>
    <n v="7"/>
  </r>
  <r>
    <x v="0"/>
    <x v="13"/>
    <s v="Maurico Orellana"/>
    <x v="385"/>
    <x v="1"/>
    <x v="1"/>
    <x v="5"/>
    <s v="normalización horarios jornada de clases."/>
    <m/>
    <x v="5"/>
    <n v="7"/>
  </r>
  <r>
    <x v="8"/>
    <x v="25"/>
    <s v="Maurico Orellana"/>
    <x v="386"/>
    <x v="0"/>
    <x v="0"/>
    <x v="6"/>
    <s v="visita por emergencia, desconfiguración en distribución de horarios provoca corte en válvula_x000a_programada, cortando agua en el establecimiento, se reprograma distribución de eventos normalizando funcionamiento de _x000a_sistema cpa. sistema operativo 100%."/>
    <m/>
    <x v="5"/>
    <n v="7"/>
  </r>
  <r>
    <x v="7"/>
    <x v="29"/>
    <s v="Maurico Orellana"/>
    <x v="385"/>
    <x v="0"/>
    <x v="1"/>
    <x v="16"/>
    <s v="visita por emergencia, solenoide sin voltaje producto de programación de horarios de seguridad _x000a_deshabilitado, este provoca corte de voltaje en solenoide cortando caudal de válvula programada,_x000a_se normaliza quedando sistema operativo 100%."/>
    <m/>
    <x v="5"/>
    <n v="7"/>
  </r>
  <r>
    <x v="0"/>
    <x v="20"/>
    <s v="Maurico Orellana"/>
    <x v="386"/>
    <x v="0"/>
    <x v="0"/>
    <x v="6"/>
    <s v="cambio de chip actualización a wom, distribución de evento erróneo provoca corte en válvula, esta _x000a_al inspeccionarse se encuentra con bypass activado. se normaliza días de funcionamiento y se activa válvula en modo _x000a_automático, quedando sistema 100% operativo."/>
    <m/>
    <x v="5"/>
    <n v="7"/>
  </r>
  <r>
    <x v="0"/>
    <x v="23"/>
    <s v="Maurico Orellana"/>
    <x v="386"/>
    <x v="0"/>
    <x v="1"/>
    <x v="16"/>
    <s v="visita por extensión de horario, válvula de baja se iguala a válvula de alta alternando _x000a_en su funcionamiento en cantidad de horas iguales de trabajo, fuga en válvula sab se debe a _x000a_solenoide suelta, se reaprieta quedando sin fuga."/>
    <m/>
    <x v="5"/>
    <n v="7"/>
  </r>
  <r>
    <x v="6"/>
    <x v="30"/>
    <s v="Maurico Orellana"/>
    <x v="385"/>
    <x v="0"/>
    <x v="4"/>
    <x v="28"/>
    <s v="visita por emergencia, sistema sab sin energía en baños enseñanza media, se detecta fusible quemado por intervenciones de terceros,_x000a_generando corte de cable en fusilera, se instala fusilera nueva y queda 100 % operativo._x000a_en baños de básica se detecta corte de energía en sector bodega 40, sistema sab empalmado en línea de alimentación bodega también queda _x000a_sin energía, se detecta caleco derivado a segundo piso, desenchufado en oficina de profesor de arte, este se enchufa y vuelve a energizar _x000a_todo el sector incluyendo sistema sab, quedando 100% operativo."/>
    <m/>
    <x v="5"/>
    <n v="7"/>
  </r>
  <r>
    <x v="6"/>
    <x v="30"/>
    <s v="Maurico Orellana"/>
    <x v="387"/>
    <x v="1"/>
    <x v="1"/>
    <x v="8"/>
    <s v="cambio de 4 válvulas de control sistema sab, cambio de 5 solenoides en válvulas._x000a_mejora en conexiones de alimentación 24v."/>
    <m/>
    <x v="5"/>
    <n v="7"/>
  </r>
  <r>
    <x v="7"/>
    <x v="27"/>
    <s v="Maurico Orellana"/>
    <x v="373"/>
    <x v="1"/>
    <x v="0"/>
    <x v="15"/>
    <s v="chequeo cir, voltajes y horarios ok, chequeo cpa, tapa de cámara en buen estado_x000a_sistema hídrico sin fugas."/>
    <m/>
    <x v="5"/>
    <n v="7"/>
  </r>
  <r>
    <x v="7"/>
    <x v="27"/>
    <s v="Maurico Orellana"/>
    <x v="373"/>
    <x v="1"/>
    <x v="0"/>
    <x v="15"/>
    <s v="chequeo cir, voltajes y horarios ok, chequeo cpa, tapa de cámara en buen estado_x000a_sistema hídrico sin fugas."/>
    <m/>
    <x v="5"/>
    <n v="7"/>
  </r>
  <r>
    <x v="7"/>
    <x v="8"/>
    <s v="Maurico Orellana"/>
    <x v="373"/>
    <x v="1"/>
    <x v="0"/>
    <x v="15"/>
    <s v="chequeo cir, voltajes y horarios ok, chequeo cpa, tapa de cámara en buen estado_x000a_sistema hídrico sin fugas."/>
    <m/>
    <x v="5"/>
    <n v="7"/>
  </r>
  <r>
    <x v="7"/>
    <x v="12"/>
    <s v="Maurico Orellana"/>
    <x v="373"/>
    <x v="1"/>
    <x v="0"/>
    <x v="15"/>
    <s v="chequeo cir, voltajes y horarios ok, chequeo cpa, tapa de cámara en buen estado_x000a_sistema hídrico sin fugas."/>
    <m/>
    <x v="5"/>
    <n v="7"/>
  </r>
  <r>
    <x v="7"/>
    <x v="38"/>
    <s v="Maurico Orellana"/>
    <x v="373"/>
    <x v="0"/>
    <x v="0"/>
    <x v="9"/>
    <s v="se instalan transformador 220v/24v; 220/12v queda sistema sab operativo, falta fusilera y fusible_x000a_de protección , en cir chequeo de voltaje y horarios ok cpa, sistema hídrico sin fuga."/>
    <m/>
    <x v="5"/>
    <n v="7"/>
  </r>
  <r>
    <x v="7"/>
    <x v="10"/>
    <s v="Maurico Orellana"/>
    <x v="373"/>
    <x v="1"/>
    <x v="0"/>
    <x v="15"/>
    <s v="chequeo sistema cir, voltaje y horario ok. chequeo sistema cpa, falta soldar aldaba para candado."/>
    <m/>
    <x v="5"/>
    <n v="7"/>
  </r>
  <r>
    <x v="7"/>
    <x v="14"/>
    <s v="Maurico Orellana"/>
    <x v="373"/>
    <x v="1"/>
    <x v="0"/>
    <x v="15"/>
    <s v="chequeo sistema cir, voltaje y horario ok. chequeo sistema cpa, falta soldar aldaba para candado."/>
    <m/>
    <x v="5"/>
    <n v="7"/>
  </r>
  <r>
    <x v="7"/>
    <x v="26"/>
    <s v="Maurico Orellana"/>
    <x v="373"/>
    <x v="1"/>
    <x v="0"/>
    <x v="15"/>
    <s v="chequeo sistema cir, voltaje y horario ok. chequeo sistema cpa, falta soldar aldaba para candado."/>
    <m/>
    <x v="5"/>
    <n v="7"/>
  </r>
  <r>
    <x v="7"/>
    <x v="9"/>
    <s v="Maurico Orellana"/>
    <x v="373"/>
    <x v="1"/>
    <x v="0"/>
    <x v="15"/>
    <s v="chequeo sistema cir, voltaje y horario ok. chequeo sistema cpa, en tapa de cámara faltan ambas aldabas _x000a_de candados, sistema hídrico sin fugas."/>
    <m/>
    <x v="5"/>
    <n v="7"/>
  </r>
  <r>
    <x v="7"/>
    <x v="28"/>
    <s v="Maurico Orellana"/>
    <x v="373"/>
    <x v="1"/>
    <x v="0"/>
    <x v="15"/>
    <s v="chequeo sistema cir, voltaje y horario ok. chequeo sistema cpa, marco y tapa fuera de posición, _x000a_se solicita anclar a cámara cpa."/>
    <m/>
    <x v="5"/>
    <n v="7"/>
  </r>
  <r>
    <x v="7"/>
    <x v="11"/>
    <s v="Maurico Orellana"/>
    <x v="373"/>
    <x v="1"/>
    <x v="0"/>
    <x v="15"/>
    <s v="chequeo sistema cir, voltaje y horario ok. chequeo sistema cpa, sistema hídrico sin fuga_x000a_se solicita pintar tapa de cámara con pintura antioxidante."/>
    <m/>
    <x v="5"/>
    <n v="7"/>
  </r>
  <r>
    <x v="7"/>
    <x v="11"/>
    <s v="Anibal Aranda"/>
    <x v="386"/>
    <x v="1"/>
    <x v="1"/>
    <x v="5"/>
    <s v="modificación horaria: alta presión 07:00&gt;16:30 media presión 16:30&gt;23:00_x000a_baja presión 23:00&gt;07:00, actualización según funcionamiento del establecimiento."/>
    <m/>
    <x v="5"/>
    <n v="7"/>
  </r>
  <r>
    <x v="7"/>
    <x v="28"/>
    <s v="Anibal Aranda"/>
    <x v="388"/>
    <x v="0"/>
    <x v="4"/>
    <x v="28"/>
    <s v="visita por emergencia, se revisa sistema sab encontrando fusible, y transformadores de _x000a_12, 24 volt quemados, por motivo de cortocircuito en tablero electro de establecimiento."/>
    <m/>
    <x v="5"/>
    <n v="5"/>
  </r>
  <r>
    <x v="7"/>
    <x v="28"/>
    <s v="Anibal Aranda"/>
    <x v="388"/>
    <x v="1"/>
    <x v="0"/>
    <x v="14"/>
    <s v="sistema con memoria fallando, válvula de baja cerrada._x000a_cambio de memoria y reprogramación de horarios y regulación en válvula de alta."/>
    <m/>
    <x v="5"/>
    <n v="5"/>
  </r>
  <r>
    <x v="7"/>
    <x v="8"/>
    <s v="Anibal Aranda"/>
    <x v="389"/>
    <x v="1"/>
    <x v="0"/>
    <x v="15"/>
    <s v="sistema habilitado 100% operativo."/>
    <m/>
    <x v="5"/>
    <n v="5"/>
  </r>
  <r>
    <x v="7"/>
    <x v="27"/>
    <s v="Anibal Aranda"/>
    <x v="389"/>
    <x v="1"/>
    <x v="0"/>
    <x v="15"/>
    <s v="sistema habilitado 100% operativo, modificación horaria, alta presión de 06:00&gt;15:00"/>
    <m/>
    <x v="5"/>
    <n v="5"/>
  </r>
  <r>
    <x v="7"/>
    <x v="28"/>
    <s v="Anibal Aranda"/>
    <x v="389"/>
    <x v="1"/>
    <x v="0"/>
    <x v="15"/>
    <s v="sistema habilitado 100% operativo"/>
    <m/>
    <x v="5"/>
    <n v="5"/>
  </r>
  <r>
    <x v="7"/>
    <x v="29"/>
    <s v="Anibal Aranda"/>
    <x v="389"/>
    <x v="1"/>
    <x v="0"/>
    <x v="15"/>
    <s v="sistema habilitado 100% operativo"/>
    <m/>
    <x v="5"/>
    <n v="5"/>
  </r>
  <r>
    <x v="7"/>
    <x v="11"/>
    <s v="Anibal Aranda"/>
    <x v="389"/>
    <x v="1"/>
    <x v="0"/>
    <x v="15"/>
    <s v="sistema habilitado 100% operativo, modificación de horario,_x000a_media presión desde las 19:00&gt;23:59- -00:01&gt;07:00"/>
    <m/>
    <x v="5"/>
    <n v="5"/>
  </r>
  <r>
    <x v="7"/>
    <x v="38"/>
    <s v="Anibal Aranda"/>
    <x v="389"/>
    <x v="1"/>
    <x v="0"/>
    <x v="15"/>
    <s v="sistema habilitado 100% operativo"/>
    <m/>
    <x v="5"/>
    <n v="5"/>
  </r>
  <r>
    <x v="7"/>
    <x v="14"/>
    <s v="Anibal Aranda"/>
    <x v="389"/>
    <x v="1"/>
    <x v="9"/>
    <x v="35"/>
    <s v="sistema en auditoria con control, lectura medidor; 112487_x000a_"/>
    <m/>
    <x v="5"/>
    <n v="5"/>
  </r>
  <r>
    <x v="7"/>
    <x v="26"/>
    <s v="Anibal Aranda"/>
    <x v="389"/>
    <x v="1"/>
    <x v="0"/>
    <x v="15"/>
    <s v="habilitación sistema cpa 100 % operativo"/>
    <m/>
    <x v="5"/>
    <n v="5"/>
  </r>
  <r>
    <x v="7"/>
    <x v="11"/>
    <s v="Maurico Orellana"/>
    <x v="390"/>
    <x v="1"/>
    <x v="1"/>
    <x v="5"/>
    <s v="apertura llave de emergencia dejando 100% de caudal por elecciones de día 7 de mayo 2023"/>
    <m/>
    <x v="5"/>
    <n v="5"/>
  </r>
  <r>
    <x v="7"/>
    <x v="38"/>
    <s v="Maurico Orellana"/>
    <x v="390"/>
    <x v="1"/>
    <x v="1"/>
    <x v="5"/>
    <s v="apertura llave de emergencia dejando 100% de caudal por elecciones de día 7 de mayo 2023"/>
    <m/>
    <x v="5"/>
    <n v="5"/>
  </r>
  <r>
    <x v="7"/>
    <x v="14"/>
    <s v="Anibal Aranda"/>
    <x v="390"/>
    <x v="1"/>
    <x v="9"/>
    <x v="35"/>
    <s v="comienzo auditoria sin des, lectura medidor 112396"/>
    <m/>
    <x v="5"/>
    <n v="5"/>
  </r>
  <r>
    <x v="7"/>
    <x v="26"/>
    <s v="Anibal Aranda"/>
    <x v="390"/>
    <x v="0"/>
    <x v="1"/>
    <x v="10"/>
    <s v="apertura llave de emergencia dejando 100% de caudal por elecciones de día 7 de mayo 2023"/>
    <m/>
    <x v="5"/>
    <n v="5"/>
  </r>
  <r>
    <x v="7"/>
    <x v="12"/>
    <s v="Anibal Aranda"/>
    <x v="390"/>
    <x v="0"/>
    <x v="1"/>
    <x v="10"/>
    <s v="apertura llave de emergencia dejando 100% de caudal por elecciones de día 7 de mayo 2023"/>
    <m/>
    <x v="5"/>
    <n v="5"/>
  </r>
  <r>
    <x v="7"/>
    <x v="9"/>
    <s v="Maurico Orellana"/>
    <x v="390"/>
    <x v="0"/>
    <x v="1"/>
    <x v="10"/>
    <s v="apertura llave de emergencia dejando 100% de caudal por elecciones de día 7 de mayo 2023"/>
    <m/>
    <x v="5"/>
    <n v="5"/>
  </r>
  <r>
    <x v="7"/>
    <x v="8"/>
    <s v="Maurico Orellana"/>
    <x v="390"/>
    <x v="0"/>
    <x v="1"/>
    <x v="10"/>
    <s v="apertura llave de emergencia dejando 100% de caudal por elecciones de día 7 de mayo 2023"/>
    <m/>
    <x v="5"/>
    <n v="5"/>
  </r>
  <r>
    <x v="7"/>
    <x v="27"/>
    <s v="Maurico Orellana"/>
    <x v="390"/>
    <x v="0"/>
    <x v="1"/>
    <x v="10"/>
    <s v="apertura llave de emergencia dejando 100% de caudal por elecciones de día 7 de mayo 2023"/>
    <m/>
    <x v="5"/>
    <n v="5"/>
  </r>
  <r>
    <x v="7"/>
    <x v="28"/>
    <s v="Maurico Orellana"/>
    <x v="390"/>
    <x v="0"/>
    <x v="1"/>
    <x v="10"/>
    <s v="apertura llave de emergencia dejando 100% de caudal por elecciones de día 7 de mayo 2023"/>
    <m/>
    <x v="5"/>
    <n v="5"/>
  </r>
  <r>
    <x v="7"/>
    <x v="11"/>
    <s v="Anibal Aranda"/>
    <x v="391"/>
    <x v="0"/>
    <x v="1"/>
    <x v="29"/>
    <s v="reparación de manómetro quebrado por violación de sistema cpa en periodo de uso por _x000a_los scout del día sábado 22-04-23"/>
    <m/>
    <x v="5"/>
    <n v="4"/>
  </r>
  <r>
    <x v="7"/>
    <x v="11"/>
    <s v="Anibal Aranda"/>
    <x v="391"/>
    <x v="1"/>
    <x v="9"/>
    <x v="35"/>
    <s v="regulación alta 90:30&gt;15:30- - baja presión 07:00&gt;09:30- -15:30&gt;19:00_x000a_auditoria con sistema des en funcionamiento. lectura medidor; 149310"/>
    <m/>
    <x v="5"/>
    <n v="4"/>
  </r>
  <r>
    <x v="7"/>
    <x v="14"/>
    <s v="Anibal Aranda"/>
    <x v="391"/>
    <x v="1"/>
    <x v="9"/>
    <x v="35"/>
    <s v="comienzo auditoria con control, lectura medidor 112091"/>
    <m/>
    <x v="5"/>
    <n v="4"/>
  </r>
  <r>
    <x v="7"/>
    <x v="14"/>
    <s v="Anibal Aranda"/>
    <x v="392"/>
    <x v="1"/>
    <x v="9"/>
    <x v="35"/>
    <s v="auditoria con control des, lectura medidor 112133"/>
    <m/>
    <x v="5"/>
    <n v="4"/>
  </r>
  <r>
    <x v="7"/>
    <x v="12"/>
    <s v="Anibal Aranda"/>
    <x v="392"/>
    <x v="1"/>
    <x v="1"/>
    <x v="5"/>
    <s v="regulación alta 07:00&gt;19:00_x000a_fin auditoria, rendimiento de un 35%."/>
    <m/>
    <x v="5"/>
    <n v="4"/>
  </r>
  <r>
    <x v="7"/>
    <x v="12"/>
    <s v="Anibal Aranda"/>
    <x v="393"/>
    <x v="1"/>
    <x v="1"/>
    <x v="5"/>
    <s v="regulación nocturna por fuga de caudal en aumento de 2,7m3 x hora, se regula para tener _x000a_un consumo nocturno de 0.4m3 nocturno, generando 2m3 de ahorro por hora, 48m3 día, _x000a_si se considera gasto mes, 1440m3, por lo tanto un consumo monetario de $1.461.600"/>
    <m/>
    <x v="5"/>
    <n v="4"/>
  </r>
  <r>
    <x v="7"/>
    <x v="11"/>
    <s v="Anibal Aranda"/>
    <x v="393"/>
    <x v="1"/>
    <x v="1"/>
    <x v="5"/>
    <s v="modificación horario alta presión, 07:00&gt;18:00_x000a_baja presión 18:00&gt;23:30"/>
    <m/>
    <x v="5"/>
    <n v="4"/>
  </r>
  <r>
    <x v="7"/>
    <x v="38"/>
    <s v="Mirko Lorca"/>
    <x v="394"/>
    <x v="1"/>
    <x v="9"/>
    <x v="36"/>
    <s v="fin auditoria con control, sistema ahorrando, _x000a_pendiente; mejor ubicación de panel solar, poda de arboles ( de ser necesario)"/>
    <m/>
    <x v="5"/>
    <n v="3"/>
  </r>
  <r>
    <x v="7"/>
    <x v="14"/>
    <s v="Mirko Lorca"/>
    <x v="394"/>
    <x v="1"/>
    <x v="9"/>
    <x v="36"/>
    <s v="fin auditoria con control."/>
    <m/>
    <x v="5"/>
    <n v="3"/>
  </r>
  <r>
    <x v="7"/>
    <x v="12"/>
    <s v="Mirko Lorca"/>
    <x v="394"/>
    <x v="1"/>
    <x v="9"/>
    <x v="36"/>
    <s v="fin auditoria con control, lectura medidor; 68643"/>
    <m/>
    <x v="5"/>
    <n v="3"/>
  </r>
  <r>
    <x v="7"/>
    <x v="12"/>
    <s v="Mirko Lorca"/>
    <x v="394"/>
    <x v="1"/>
    <x v="9"/>
    <x v="36"/>
    <s v="fin auditoria con control, rendimiento del 20%"/>
    <m/>
    <x v="5"/>
    <n v="3"/>
  </r>
  <r>
    <x v="7"/>
    <x v="9"/>
    <s v="Mirko Lorca"/>
    <x v="394"/>
    <x v="1"/>
    <x v="9"/>
    <x v="36"/>
    <s v="fin auditoria con control lectura medidor; 46144, 20% de rendimiento."/>
    <m/>
    <x v="5"/>
    <n v="3"/>
  </r>
  <r>
    <x v="7"/>
    <x v="11"/>
    <s v="Mirko Lorca"/>
    <x v="395"/>
    <x v="0"/>
    <x v="4"/>
    <x v="48"/>
    <s v="cambio de cargador solar, equipo funcionando 100%"/>
    <m/>
    <x v="5"/>
    <n v="3"/>
  </r>
  <r>
    <x v="7"/>
    <x v="38"/>
    <s v="Mirko Lorca"/>
    <x v="396"/>
    <x v="1"/>
    <x v="9"/>
    <x v="36"/>
    <s v="fin auditoria sin control, inicio auditoria con control, sab operativo_x000a_se aumenta tiempo de descarga."/>
    <m/>
    <x v="5"/>
    <n v="3"/>
  </r>
  <r>
    <x v="7"/>
    <x v="14"/>
    <s v="Mirko Lorca"/>
    <x v="396"/>
    <x v="1"/>
    <x v="9"/>
    <x v="36"/>
    <s v="fin auditoria sin control, inicio auditoria con control."/>
    <m/>
    <x v="5"/>
    <n v="3"/>
  </r>
  <r>
    <x v="7"/>
    <x v="26"/>
    <s v="Mirko Lorca"/>
    <x v="396"/>
    <x v="1"/>
    <x v="9"/>
    <x v="35"/>
    <s v="inicio auditoria sin control, inicio auditoria con control."/>
    <m/>
    <x v="5"/>
    <n v="3"/>
  </r>
  <r>
    <x v="7"/>
    <x v="12"/>
    <s v="Mirko Lorca"/>
    <x v="396"/>
    <x v="1"/>
    <x v="9"/>
    <x v="36"/>
    <s v="fin auditoria sin control, inicio auditoria con control._x000a_sab operativo, cpa operativo."/>
    <m/>
    <x v="5"/>
    <n v="3"/>
  </r>
  <r>
    <x v="7"/>
    <x v="9"/>
    <s v="Mirko Lorca"/>
    <x v="396"/>
    <x v="1"/>
    <x v="9"/>
    <x v="36"/>
    <s v="fin auditoria sin control, inicio auditoria con control hasta día viernes."/>
    <m/>
    <x v="5"/>
    <n v="3"/>
  </r>
  <r>
    <x v="7"/>
    <x v="9"/>
    <s v="Mirko Lorca"/>
    <x v="397"/>
    <x v="1"/>
    <x v="9"/>
    <x v="35"/>
    <s v="inicio auditoria 100% lectura medidor 46024."/>
    <m/>
    <x v="5"/>
    <n v="3"/>
  </r>
  <r>
    <x v="7"/>
    <x v="26"/>
    <s v="Mirko Lorca"/>
    <x v="397"/>
    <x v="1"/>
    <x v="9"/>
    <x v="35"/>
    <s v="inicio auditoria 100% lectura medidor 437698, cambio de cargador solar."/>
    <m/>
    <x v="5"/>
    <n v="3"/>
  </r>
  <r>
    <x v="7"/>
    <x v="26"/>
    <s v="Mirko Lorca"/>
    <x v="397"/>
    <x v="1"/>
    <x v="9"/>
    <x v="35"/>
    <s v="inicio auditoria 100% flujo lectura medidor; 192188"/>
    <m/>
    <x v="5"/>
    <n v="3"/>
  </r>
  <r>
    <x v="7"/>
    <x v="12"/>
    <s v="Mirko Lorca"/>
    <x v="397"/>
    <x v="1"/>
    <x v="9"/>
    <x v="35"/>
    <s v="inicio auditoria 100% flujo lectura medidor; 192188"/>
    <m/>
    <x v="5"/>
    <n v="3"/>
  </r>
  <r>
    <x v="7"/>
    <x v="14"/>
    <s v="Mirko Lorca"/>
    <x v="397"/>
    <x v="1"/>
    <x v="9"/>
    <x v="35"/>
    <s v="inicio auditoria 100% lectura medidor; 111895"/>
    <m/>
    <x v="5"/>
    <n v="3"/>
  </r>
  <r>
    <x v="7"/>
    <x v="27"/>
    <s v="Mirko Lorca"/>
    <x v="398"/>
    <x v="1"/>
    <x v="9"/>
    <x v="36"/>
    <s v="fin auditoria con control, equipo ahorrando, sistema funcionando ok."/>
    <m/>
    <x v="5"/>
    <n v="3"/>
  </r>
  <r>
    <x v="7"/>
    <x v="28"/>
    <s v="Mirko Lorca"/>
    <x v="398"/>
    <x v="1"/>
    <x v="9"/>
    <x v="36"/>
    <s v="fin auditoria con control, 40% de rendimiento"/>
    <m/>
    <x v="5"/>
    <n v="3"/>
  </r>
  <r>
    <x v="7"/>
    <x v="8"/>
    <s v="Mirko Lorca"/>
    <x v="398"/>
    <x v="1"/>
    <x v="9"/>
    <x v="36"/>
    <s v="fin auditoria sin control, equipo queda controlando flujo hídrico y corte nocturno_x000a_lectura medidor; 141232"/>
    <m/>
    <x v="5"/>
    <n v="3"/>
  </r>
  <r>
    <x v="7"/>
    <x v="10"/>
    <s v="Mirko Lorca"/>
    <x v="398"/>
    <x v="1"/>
    <x v="9"/>
    <x v="36"/>
    <s v="fin auditoria sin control, rendimiento de 20%, sistema operativo"/>
    <m/>
    <x v="5"/>
    <n v="3"/>
  </r>
  <r>
    <x v="7"/>
    <x v="29"/>
    <s v="Mirko Lorca"/>
    <x v="398"/>
    <x v="1"/>
    <x v="9"/>
    <x v="36"/>
    <s v="fin auditoria sin control, equipo funcionando control nocturno."/>
    <m/>
    <x v="5"/>
    <n v="3"/>
  </r>
  <r>
    <x v="7"/>
    <x v="29"/>
    <s v="Mirko Lorca"/>
    <x v="399"/>
    <x v="1"/>
    <x v="9"/>
    <x v="36"/>
    <s v="fin auditoria sin control, lectura medidor; 147740"/>
    <m/>
    <x v="5"/>
    <n v="3"/>
  </r>
  <r>
    <x v="7"/>
    <x v="29"/>
    <s v="Mirko Lorca"/>
    <x v="399"/>
    <x v="1"/>
    <x v="9"/>
    <x v="36"/>
    <s v="termino auditoria sin control, comienzo auditoria con control_x000a_lectura medidor"/>
    <m/>
    <x v="5"/>
    <n v="3"/>
  </r>
  <r>
    <x v="7"/>
    <x v="28"/>
    <s v="Mirko Lorca"/>
    <x v="399"/>
    <x v="1"/>
    <x v="9"/>
    <x v="36"/>
    <s v="termino auditoria sin control, comienzo auditoria con control_x000a_lectura medidor 4154"/>
    <m/>
    <x v="5"/>
    <n v="3"/>
  </r>
  <r>
    <x v="7"/>
    <x v="27"/>
    <s v="Mirko Lorca"/>
    <x v="399"/>
    <x v="1"/>
    <x v="9"/>
    <x v="36"/>
    <s v="termino auditoria sin control, comienzo auditoria con control_x000a_lectura medidor 259401"/>
    <m/>
    <x v="5"/>
    <n v="3"/>
  </r>
  <r>
    <x v="7"/>
    <x v="8"/>
    <s v="Mirko Lorca"/>
    <x v="399"/>
    <x v="1"/>
    <x v="9"/>
    <x v="36"/>
    <s v="termino auditoria sin control, comienzo auditoria con control_x000a_lectura medidor 140968"/>
    <m/>
    <x v="5"/>
    <n v="3"/>
  </r>
  <r>
    <x v="7"/>
    <x v="27"/>
    <s v="Mirko Lorca"/>
    <x v="400"/>
    <x v="1"/>
    <x v="9"/>
    <x v="35"/>
    <s v="inicio auditoria 100 % sin control lectura medidor 259284"/>
    <m/>
    <x v="5"/>
    <n v="3"/>
  </r>
  <r>
    <x v="7"/>
    <x v="28"/>
    <s v="Mirko Lorca"/>
    <x v="400"/>
    <x v="1"/>
    <x v="9"/>
    <x v="35"/>
    <s v="inicio auditoria 100 % sin control lectura medidor 4066"/>
    <m/>
    <x v="5"/>
    <n v="3"/>
  </r>
  <r>
    <x v="7"/>
    <x v="29"/>
    <s v="Mirko Lorca"/>
    <x v="400"/>
    <x v="1"/>
    <x v="9"/>
    <x v="35"/>
    <s v="inicio auditoria 100 % sin control"/>
    <m/>
    <x v="5"/>
    <n v="3"/>
  </r>
  <r>
    <x v="7"/>
    <x v="10"/>
    <s v="Mirko Lorca"/>
    <x v="400"/>
    <x v="1"/>
    <x v="9"/>
    <x v="35"/>
    <s v="inicio auditoria 100 % sin control"/>
    <m/>
    <x v="5"/>
    <n v="3"/>
  </r>
  <r>
    <x v="7"/>
    <x v="8"/>
    <s v="Mirko Lorca"/>
    <x v="400"/>
    <x v="1"/>
    <x v="9"/>
    <x v="35"/>
    <s v="inicio auditoria, lectura medidor 140688_x000a_cambio de placa wes."/>
    <m/>
    <x v="5"/>
    <n v="3"/>
  </r>
  <r>
    <x v="7"/>
    <x v="27"/>
    <s v="Mirko Lorca"/>
    <x v="401"/>
    <x v="1"/>
    <x v="1"/>
    <x v="5"/>
    <s v="programación flujo hídrico, horario programado _x000a_07:00&gt;19:00 lunes a viernes."/>
    <m/>
    <x v="5"/>
    <n v="3"/>
  </r>
  <r>
    <x v="7"/>
    <x v="26"/>
    <s v="Mirko Lorca"/>
    <x v="402"/>
    <x v="1"/>
    <x v="1"/>
    <x v="5"/>
    <s v="programación horario de verano sistema control flujo hídrico, placa ok."/>
    <m/>
    <x v="6"/>
    <n v="12"/>
  </r>
  <r>
    <x v="7"/>
    <x v="28"/>
    <s v="Mirko Lorca"/>
    <x v="402"/>
    <x v="1"/>
    <x v="9"/>
    <x v="36"/>
    <s v="fin auditoria wes lectura medidor; 161890"/>
    <m/>
    <x v="6"/>
    <n v="12"/>
  </r>
  <r>
    <x v="7"/>
    <x v="28"/>
    <s v="Mirko Lorca"/>
    <x v="402"/>
    <x v="1"/>
    <x v="1"/>
    <x v="5"/>
    <s v="programación horario verano control de flujo hídrico ok"/>
    <m/>
    <x v="6"/>
    <n v="12"/>
  </r>
  <r>
    <x v="7"/>
    <x v="12"/>
    <s v="Mirko Lorca"/>
    <x v="403"/>
    <x v="0"/>
    <x v="1"/>
    <x v="12"/>
    <s v="reparación de cable sensor de pulso"/>
    <m/>
    <x v="6"/>
    <n v="10"/>
  </r>
  <r>
    <x v="8"/>
    <x v="25"/>
    <s v="Maurico Orellana"/>
    <x v="387"/>
    <x v="0"/>
    <x v="11"/>
    <x v="49"/>
    <s v="renovación marco y tapa de cpa sistema wes."/>
    <m/>
    <x v="5"/>
    <n v="7"/>
  </r>
  <r>
    <x v="15"/>
    <x v="81"/>
    <s v="Maurico Orellana"/>
    <x v="375"/>
    <x v="0"/>
    <x v="3"/>
    <x v="55"/>
    <s v="punto desconectado, se reinicia sistema, chequeo de voltajes, cambio de Max 232, chequeo hora y fecha quedando punto comunicando a app wes."/>
    <m/>
    <x v="5"/>
    <n v="6"/>
  </r>
  <r>
    <x v="15"/>
    <x v="107"/>
    <s v="Maurico Orellana"/>
    <x v="375"/>
    <x v="0"/>
    <x v="3"/>
    <x v="56"/>
    <s v="punto desconectado, se reinicia sistema, chequeo de voltajes, chequeo hora y fecha quedando punto comunicando a app wes."/>
    <m/>
    <x v="5"/>
    <n v="6"/>
  </r>
  <r>
    <x v="15"/>
    <x v="53"/>
    <s v="Maurico Orellana"/>
    <x v="404"/>
    <x v="1"/>
    <x v="3"/>
    <x v="54"/>
    <s v="cambio de chip actualización a wom."/>
    <m/>
    <x v="5"/>
    <n v="7"/>
  </r>
  <r>
    <x v="15"/>
    <x v="81"/>
    <s v="Maurico Orellana"/>
    <x v="404"/>
    <x v="1"/>
    <x v="3"/>
    <x v="54"/>
    <s v="cambio de chip actualización a wom."/>
    <m/>
    <x v="5"/>
    <n v="7"/>
  </r>
  <r>
    <x v="19"/>
    <x v="79"/>
    <s v="Anibal Aranda"/>
    <x v="405"/>
    <x v="1"/>
    <x v="3"/>
    <x v="54"/>
    <s v="cambio de chip actualisacion a wom, actualisacion de pick it programa intergrado_x000a_cambio de sensor pulso por mal funcionamiento, chequeo a tablero cir ok."/>
    <m/>
    <x v="5"/>
    <n v="7"/>
  </r>
  <r>
    <x v="17"/>
    <x v="92"/>
    <s v="Maurico Orellana"/>
    <x v="406"/>
    <x v="1"/>
    <x v="3"/>
    <x v="54"/>
    <s v="cambio de chip, actualisacion a wom"/>
    <m/>
    <x v="5"/>
    <n v="7"/>
  </r>
  <r>
    <x v="4"/>
    <x v="33"/>
    <s v="Maurico Orellana"/>
    <x v="404"/>
    <x v="1"/>
    <x v="3"/>
    <x v="54"/>
    <s v="cambio de chip, actualisacion a wom"/>
    <m/>
    <x v="5"/>
    <n v="7"/>
  </r>
  <r>
    <x v="4"/>
    <x v="5"/>
    <s v="Maurico Orellana"/>
    <x v="404"/>
    <x v="1"/>
    <x v="3"/>
    <x v="54"/>
    <s v="cambio de chip, actualisacion a wom"/>
    <m/>
    <x v="5"/>
    <n v="7"/>
  </r>
  <r>
    <x v="4"/>
    <x v="91"/>
    <s v="Maurico Orellana"/>
    <x v="404"/>
    <x v="1"/>
    <x v="3"/>
    <x v="54"/>
    <s v="cambio de chip, actualisacion a wom"/>
    <m/>
    <x v="5"/>
    <n v="7"/>
  </r>
  <r>
    <x v="4"/>
    <x v="34"/>
    <s v="Maurico Orellana"/>
    <x v="404"/>
    <x v="1"/>
    <x v="3"/>
    <x v="54"/>
    <s v="cambio de chip, actualisacion a wom"/>
    <m/>
    <x v="5"/>
    <n v="7"/>
  </r>
  <r>
    <x v="4"/>
    <x v="96"/>
    <s v="Maurico Orellana"/>
    <x v="404"/>
    <x v="1"/>
    <x v="3"/>
    <x v="54"/>
    <s v="cambio de chip, actualisacion a wom"/>
    <m/>
    <x v="5"/>
    <n v="7"/>
  </r>
  <r>
    <x v="17"/>
    <x v="61"/>
    <s v="Maurico Orellana"/>
    <x v="406"/>
    <x v="1"/>
    <x v="3"/>
    <x v="54"/>
    <s v="cambio de chip, actualisacion a wom"/>
    <m/>
    <x v="5"/>
    <n v="7"/>
  </r>
  <r>
    <x v="17"/>
    <x v="63"/>
    <s v="Maurico Orellana"/>
    <x v="407"/>
    <x v="1"/>
    <x v="3"/>
    <x v="54"/>
    <s v="cambio de chip, actualisacion a wom"/>
    <m/>
    <x v="5"/>
    <n v="7"/>
  </r>
  <r>
    <x v="17"/>
    <x v="68"/>
    <s v="Maurico Orellana"/>
    <x v="407"/>
    <x v="1"/>
    <x v="3"/>
    <x v="54"/>
    <s v="cambio de chip, actualisacion a wom"/>
    <m/>
    <x v="5"/>
    <n v="7"/>
  </r>
  <r>
    <x v="17"/>
    <x v="94"/>
    <s v="Maurico Orellana"/>
    <x v="408"/>
    <x v="1"/>
    <x v="3"/>
    <x v="54"/>
    <s v="cambio de chip, actualisacion a wom"/>
    <m/>
    <x v="5"/>
    <n v="7"/>
  </r>
  <r>
    <x v="17"/>
    <x v="67"/>
    <s v="Maurico Orellana"/>
    <x v="408"/>
    <x v="1"/>
    <x v="3"/>
    <x v="54"/>
    <s v="cambio de chip, actualisacion a wom"/>
    <m/>
    <x v="5"/>
    <n v="7"/>
  </r>
  <r>
    <x v="17"/>
    <x v="66"/>
    <s v="Maurico Orellana"/>
    <x v="409"/>
    <x v="1"/>
    <x v="3"/>
    <x v="54"/>
    <s v="cambio de chip, actualisacion a wom, regulacion alta presion 06:00&gt;23:59 1200lxm_x000a_regulacion baja presion 23:59&gt;06:00 212lxm"/>
    <m/>
    <x v="5"/>
    <n v="7"/>
  </r>
  <r>
    <x v="17"/>
    <x v="73"/>
    <s v="Maurico Orellana"/>
    <x v="404"/>
    <x v="1"/>
    <x v="3"/>
    <x v="54"/>
    <s v="cambio de chip actualisacion a wom, puntos carmen y artemio"/>
    <m/>
    <x v="5"/>
    <n v="7"/>
  </r>
  <r>
    <x v="7"/>
    <x v="29"/>
    <s v="Mirko Lorca"/>
    <x v="403"/>
    <x v="1"/>
    <x v="9"/>
    <x v="35"/>
    <s v="inicio auditoria 100%caudal lectura medidor; 177330"/>
    <m/>
    <x v="6"/>
    <n v="10"/>
  </r>
  <r>
    <x v="7"/>
    <x v="29"/>
    <s v="Mirko Lorca"/>
    <x v="403"/>
    <x v="1"/>
    <x v="1"/>
    <x v="5"/>
    <s v="regulacion de presion media-baja por temporada de vacaciones._x000a_sistema ok, valvulas ok"/>
    <m/>
    <x v="6"/>
    <n v="10"/>
  </r>
  <r>
    <x v="7"/>
    <x v="9"/>
    <s v="Mirko Lorca"/>
    <x v="402"/>
    <x v="1"/>
    <x v="1"/>
    <x v="5"/>
    <s v="programacion de horarios segun solicitud de corporacion media y baja presion"/>
    <m/>
    <x v="6"/>
    <n v="12"/>
  </r>
  <r>
    <x v="7"/>
    <x v="27"/>
    <s v="Mirko Lorca"/>
    <x v="402"/>
    <x v="1"/>
    <x v="1"/>
    <x v="5"/>
    <s v="programacion de horarios segun solicitud de corporacion media y baja presion"/>
    <m/>
    <x v="6"/>
    <n v="12"/>
  </r>
  <r>
    <x v="7"/>
    <x v="38"/>
    <s v="Mirko Lorca"/>
    <x v="402"/>
    <x v="1"/>
    <x v="1"/>
    <x v="5"/>
    <s v="programacion horario verano, sistema ok"/>
    <m/>
    <x v="6"/>
    <n v="12"/>
  </r>
  <r>
    <x v="7"/>
    <x v="38"/>
    <s v="Anibal Aranda"/>
    <x v="410"/>
    <x v="1"/>
    <x v="9"/>
    <x v="36"/>
    <s v="fin auditoria con control, lectura medidor; 419891"/>
    <m/>
    <x v="6"/>
    <n v="4"/>
  </r>
  <r>
    <x v="7"/>
    <x v="38"/>
    <s v="Anibal Aranda"/>
    <x v="411"/>
    <x v="1"/>
    <x v="9"/>
    <x v="36"/>
    <s v="fin auditoria sin wes, inicio auditoria con wes_x000a_lectura medidor; 419766"/>
    <m/>
    <x v="6"/>
    <n v="3"/>
  </r>
  <r>
    <x v="7"/>
    <x v="38"/>
    <s v="Anibal Aranda"/>
    <x v="412"/>
    <x v="1"/>
    <x v="9"/>
    <x v="35"/>
    <s v="auditoria sin control, lectura medidor; 419196"/>
    <m/>
    <x v="6"/>
    <n v="3"/>
  </r>
  <r>
    <x v="7"/>
    <x v="38"/>
    <s v="Anibal Aranda"/>
    <x v="413"/>
    <x v="1"/>
    <x v="1"/>
    <x v="15"/>
    <s v="se realiza cambio de valvula , se realiza programacion segun horarios_x000a_sistema hidrico ok, sistema electronico ok"/>
    <m/>
    <x v="6"/>
    <n v="3"/>
  </r>
  <r>
    <x v="7"/>
    <x v="28"/>
    <s v="Anibal Aranda"/>
    <x v="414"/>
    <x v="1"/>
    <x v="9"/>
    <x v="35"/>
    <s v="inicio auditoria sin control, lectura medidor; 161956"/>
    <m/>
    <x v="6"/>
    <n v="4"/>
  </r>
  <r>
    <x v="7"/>
    <x v="28"/>
    <s v="Anibal Aranda"/>
    <x v="415"/>
    <x v="1"/>
    <x v="9"/>
    <x v="36"/>
    <s v="fin auditoria sin control_x000a_inicio auditoria con control lectura medidor; 162018"/>
    <m/>
    <x v="6"/>
    <n v="4"/>
  </r>
  <r>
    <x v="7"/>
    <x v="28"/>
    <s v="Anibal Aranda"/>
    <x v="416"/>
    <x v="1"/>
    <x v="9"/>
    <x v="36"/>
    <s v="fin auditoria sin wes _x000a_inicio auditoria con wes, lectura medidor; 161818"/>
    <m/>
    <x v="6"/>
    <n v="3"/>
  </r>
  <r>
    <x v="7"/>
    <x v="28"/>
    <s v="Mirko Lorca"/>
    <x v="410"/>
    <x v="1"/>
    <x v="9"/>
    <x v="35"/>
    <s v="sistema bypass activado, auditoria se repite 01-04-22 hasta viernes 08-04-22 lectura medidor; 161890"/>
    <m/>
    <x v="6"/>
    <n v="4"/>
  </r>
  <r>
    <x v="7"/>
    <x v="28"/>
    <s v="Mirko Lorca"/>
    <x v="412"/>
    <x v="1"/>
    <x v="9"/>
    <x v="35"/>
    <s v="auditoria sin control wes_x000a_lectura medidor; 161751"/>
    <m/>
    <x v="6"/>
    <n v="3"/>
  </r>
  <r>
    <x v="7"/>
    <x v="28"/>
    <s v="Mirko Lorca"/>
    <x v="415"/>
    <x v="1"/>
    <x v="9"/>
    <x v="36"/>
    <s v="fin auditoria con wes; se continua evaluandonel consumo _x000a_lectura medidor; 162015"/>
    <m/>
    <x v="6"/>
    <n v="4"/>
  </r>
  <r>
    <x v="7"/>
    <x v="28"/>
    <s v="Mirko Lorca"/>
    <x v="415"/>
    <x v="1"/>
    <x v="9"/>
    <x v="36"/>
    <s v="fin auditoria con wes; se continua evaluandonel consumo _x000a_."/>
    <m/>
    <x v="6"/>
    <n v="4"/>
  </r>
  <r>
    <x v="7"/>
    <x v="28"/>
    <s v="Mirko Lorca"/>
    <x v="417"/>
    <x v="1"/>
    <x v="1"/>
    <x v="5"/>
    <s v="regulacion nocturna , regulacion dia alta y baja presion."/>
    <m/>
    <x v="6"/>
    <n v="3"/>
  </r>
  <r>
    <x v="7"/>
    <x v="28"/>
    <s v="Mirko Lorca"/>
    <x v="418"/>
    <x v="1"/>
    <x v="0"/>
    <x v="15"/>
    <s v="chequeo de sistema, electronica ok, sistena hidrico ok, regulacion ok_x000a_se realiza nueva regulacion nocturna, por nesesidad de cuidador nocturno _x000a_chequo de horario."/>
    <m/>
    <x v="6"/>
    <n v="3"/>
  </r>
  <r>
    <x v="7"/>
    <x v="9"/>
    <s v="Mirko Lorca"/>
    <x v="414"/>
    <x v="1"/>
    <x v="9"/>
    <x v="35"/>
    <s v="inicio auditoria sin wes, lectura medidor _x000a_39576"/>
    <m/>
    <x v="6"/>
    <n v="4"/>
  </r>
  <r>
    <x v="7"/>
    <x v="9"/>
    <s v="Mirko Lorca"/>
    <x v="419"/>
    <x v="1"/>
    <x v="9"/>
    <x v="36"/>
    <s v="fin auditoria sin wes inicio auditoria con control wes_x000a_lectura medidor; 39670"/>
    <m/>
    <x v="6"/>
    <n v="4"/>
  </r>
  <r>
    <x v="7"/>
    <x v="9"/>
    <s v="Mirko Lorca"/>
    <x v="412"/>
    <x v="1"/>
    <x v="9"/>
    <x v="35"/>
    <s v="comienzo auditoria sin wes lectura medidor; 39402"/>
    <m/>
    <x v="6"/>
    <n v="3"/>
  </r>
  <r>
    <x v="7"/>
    <x v="9"/>
    <s v="Mirko Lorca"/>
    <x v="420"/>
    <x v="1"/>
    <x v="9"/>
    <x v="36"/>
    <s v="fin auditoria con wes_x000a_promedio de ahorro dia 20,5m3 43,62% de rendimiento"/>
    <m/>
    <x v="6"/>
    <n v="4"/>
  </r>
  <r>
    <x v="7"/>
    <x v="9"/>
    <s v="Mirko Lorca"/>
    <x v="417"/>
    <x v="1"/>
    <x v="1"/>
    <x v="16"/>
    <s v="1 valvula funcionando, regulacion alta, media y baja horario de recreo en planilla de_x000a_regulacion bateria 11.0volt led rojo en cargador."/>
    <m/>
    <x v="6"/>
    <n v="3"/>
  </r>
  <r>
    <x v="7"/>
    <x v="26"/>
    <s v="Mirko Lorca"/>
    <x v="410"/>
    <x v="1"/>
    <x v="9"/>
    <x v="36"/>
    <s v="fin auditoria con wes lectura medidor 60915"/>
    <m/>
    <x v="6"/>
    <n v="4"/>
  </r>
  <r>
    <x v="7"/>
    <x v="26"/>
    <s v="Mirko Lorca"/>
    <x v="416"/>
    <x v="1"/>
    <x v="9"/>
    <x v="36"/>
    <s v="fin auditoria sin wes, inicio auditoria con wes, lectura medidor_x000a_; 60850"/>
    <m/>
    <x v="6"/>
    <n v="3"/>
  </r>
  <r>
    <x v="7"/>
    <x v="26"/>
    <s v="Mirko Lorca"/>
    <x v="417"/>
    <x v="1"/>
    <x v="1"/>
    <x v="5"/>
    <s v="regulacion y proframacion recreos; 09:30&gt;09:50- -11:20&gt;11:30- - 12:40&gt;14:00 _x000a_salida de estudiantes: 08:00 entrada salida &gt;15:00 : 16:00, ingreso personal 07:30, salida 19:30_x000a_horario casino: 11:00&gt;14:00hrs noche con regulacion inima: 20:00&gt;07:00 horario corte 07:00&gt;20:00"/>
    <m/>
    <x v="6"/>
    <n v="3"/>
  </r>
  <r>
    <x v="7"/>
    <x v="11"/>
    <s v="Mirko Lorca"/>
    <x v="413"/>
    <x v="1"/>
    <x v="9"/>
    <x v="36"/>
    <s v="fin auditoria con wes, no aplica rendimiento minimo,_x000a_se realiza una seguna auditoria para obtener rendimiento"/>
    <m/>
    <x v="6"/>
    <n v="3"/>
  </r>
  <r>
    <x v="7"/>
    <x v="11"/>
    <s v="Mirko Lorca"/>
    <x v="418"/>
    <x v="1"/>
    <x v="0"/>
    <x v="15"/>
    <s v="sistema ok, electronica ok, hidrico ok, ahorro % ok_x000a_sin observaciones de parte del establecimiento."/>
    <m/>
    <x v="6"/>
    <n v="3"/>
  </r>
  <r>
    <x v="7"/>
    <x v="12"/>
    <s v="Mirko Lorca"/>
    <x v="421"/>
    <x v="1"/>
    <x v="9"/>
    <x v="36"/>
    <s v="termino de auditoria lectura medidor; 178994_x000a_40%de rendimiento."/>
    <m/>
    <x v="6"/>
    <n v="8"/>
  </r>
  <r>
    <x v="7"/>
    <x v="12"/>
    <s v="Mirko Lorca"/>
    <x v="422"/>
    <x v="1"/>
    <x v="1"/>
    <x v="5"/>
    <s v="horario de entrada y salida funcionarios: 07:30&gt;22:30 horario de casino : 11:00&gt;14:10_x000a_horario de recreo 09:40&gt;11:00- - 11:30&gt;11:40- - 13:10&gt;14:10, recreo nocturna 19:45&gt;22:00_x000a_cpa ok, valvulas nuevas sistema sab ok, sistema solar y electrico ok."/>
    <m/>
    <x v="6"/>
    <n v="3"/>
  </r>
  <r>
    <x v="7"/>
    <x v="27"/>
    <s v="Mirko Lorca"/>
    <x v="418"/>
    <x v="1"/>
    <x v="0"/>
    <x v="15"/>
    <s v="revucion de sistema, sistema ok, electronica ok_x000a_sistema hidrico ok, sin observaciones de parte del establecimiento"/>
    <m/>
    <x v="6"/>
    <n v="3"/>
  </r>
  <r>
    <x v="7"/>
    <x v="29"/>
    <s v="Mirko Lorca"/>
    <x v="418"/>
    <x v="1"/>
    <x v="0"/>
    <x v="15"/>
    <s v="revucion de sistema, sistema ok, electronica ok sistema hidrico ok,_x000a_sin observaciones de parte del establecimiento"/>
    <m/>
    <x v="6"/>
    <n v="3"/>
  </r>
  <r>
    <x v="7"/>
    <x v="14"/>
    <s v="Mirko Lorca"/>
    <x v="413"/>
    <x v="1"/>
    <x v="1"/>
    <x v="5"/>
    <s v="regulacion 70% constante, realizar cambio de canalisacion a tablero electrico y cpa valvulas, horarios en_x000a_planilla de regulacion, cambio de placa, cambio de bateria."/>
    <m/>
    <x v="6"/>
    <n v="3"/>
  </r>
  <r>
    <x v="7"/>
    <x v="14"/>
    <s v="Anibal Aranda"/>
    <x v="413"/>
    <x v="1"/>
    <x v="9"/>
    <x v="36"/>
    <s v="fin auditoria con control wes, lectura medidor ; 104355"/>
    <m/>
    <x v="6"/>
    <n v="3"/>
  </r>
  <r>
    <x v="7"/>
    <x v="12"/>
    <s v="Anibal Aranda"/>
    <x v="423"/>
    <x v="0"/>
    <x v="1"/>
    <x v="10"/>
    <s v="se realiza visita por activacion de protocolo de emergencia, a las 11:15 establecimiento_x000a_queda sin suministro hidrico. se detecta qiue en solenoide de alta presion esta defectuosa,_x000a_por lo que se remplaza, pero problma sigue por corte circuito en fuente de alimentacion,_x000a_la cueal fue la causa raiz que daño la solenoide y fue cambiada por una fuente nueva."/>
    <m/>
    <x v="6"/>
    <n v="5"/>
  </r>
  <r>
    <x v="7"/>
    <x v="10"/>
    <s v="Anibal Aranda"/>
    <x v="423"/>
    <x v="1"/>
    <x v="0"/>
    <x v="15"/>
    <s v="mantencion preventiva solenoide;_x000a_programacion y regulacion 07:00&gt;19:00 alta presion 19:00&gt;23:59- -00:01&gt;07:00 baja_x000a_lectura medidor; 103170"/>
    <m/>
    <x v="6"/>
    <n v="5"/>
  </r>
  <r>
    <x v="7"/>
    <x v="10"/>
    <s v="Mirko Lorca"/>
    <x v="424"/>
    <x v="1"/>
    <x v="9"/>
    <x v="36"/>
    <s v="termino de auditoria lectura de 2% rendimiento , lectura medidor 103255"/>
    <m/>
    <x v="6"/>
    <n v="5"/>
  </r>
  <r>
    <x v="7"/>
    <x v="28"/>
    <s v="Anibal Aranda"/>
    <x v="425"/>
    <x v="1"/>
    <x v="9"/>
    <x v="35"/>
    <s v="inicio auditoria sin control. lectura mediodr; 162715"/>
    <m/>
    <x v="6"/>
    <n v="5"/>
  </r>
  <r>
    <x v="7"/>
    <x v="28"/>
    <s v="Anibal Aranda"/>
    <x v="423"/>
    <x v="0"/>
    <x v="1"/>
    <x v="5"/>
    <s v="regulasion de valvulas alta y media ademas de llave de vaja _x000a_conexion de sensor de pulso"/>
    <m/>
    <x v="6"/>
    <n v="5"/>
  </r>
  <r>
    <x v="7"/>
    <x v="8"/>
    <s v="Mirko Lorca"/>
    <x v="426"/>
    <x v="0"/>
    <x v="1"/>
    <x v="5"/>
    <s v="nueva regulacion alta presion por falta de agua en piso 3 y sala de profesores."/>
    <m/>
    <x v="6"/>
    <n v="4"/>
  </r>
  <r>
    <x v="7"/>
    <x v="8"/>
    <s v="Mirko Lorca"/>
    <x v="427"/>
    <x v="1"/>
    <x v="1"/>
    <x v="5"/>
    <s v="regulacion nocturna, regulacion dia y horarios de alta, programacion de horarios_x000a_recreo y almuerzo ambas valvulas funcionando ok, minima nocturna 20&gt;6:30_x000a_"/>
    <m/>
    <x v="6"/>
    <n v="3"/>
  </r>
  <r>
    <x v="7"/>
    <x v="8"/>
    <s v="Mirko Lorca"/>
    <x v="428"/>
    <x v="1"/>
    <x v="1"/>
    <x v="15"/>
    <s v="1 valvula cierra y abre bien, la segunda valvula con problemas, placa funcionando ok, _x000a_sistema bupass por auditoria, falta candado cpa y gabinete electrico."/>
    <m/>
    <x v="6"/>
    <n v="3"/>
  </r>
  <r>
    <x v="7"/>
    <x v="8"/>
    <s v="Mirko Lorca"/>
    <x v="429"/>
    <x v="1"/>
    <x v="0"/>
    <x v="15"/>
    <s v="inicio funcionarios 7:50&gt;18:00 lunes a viernes, sabado y domingo guardias externos _x000a_los recreos 9:30&gt;9:45 recreo 2 11:15&gt;11;30 recreo 3 13:00&gt;14:00 colacion._x000a_clase hasta las 17:30hrs alumnos de enseñanza media. 1 valvula cerrando"/>
    <m/>
    <x v="6"/>
    <n v="3"/>
  </r>
  <r>
    <x v="7"/>
    <x v="28"/>
    <s v="Mirko Lorca"/>
    <x v="428"/>
    <x v="1"/>
    <x v="0"/>
    <x v="15"/>
    <s v="mantencion a valvulas, ambas abriendo y cerrando, placa electronica en buen estado,_x000a_CPa sin candad, cambio de solenoide, sistema bypass."/>
    <m/>
    <x v="6"/>
    <n v="3"/>
  </r>
  <r>
    <x v="7"/>
    <x v="28"/>
    <s v="Mirko Lorca"/>
    <x v="429"/>
    <x v="0"/>
    <x v="1"/>
    <x v="5"/>
    <s v="guardias solo de noche todo los dias, horario de clase aun no se define, _x000a_contactar a don juan vera para verificar horarios, electronica en funcionamiento _x000a_solenoides ok, valvulas cerrando."/>
    <m/>
    <x v="6"/>
    <n v="3"/>
  </r>
  <r>
    <x v="7"/>
    <x v="11"/>
    <s v="Anibal Aranda"/>
    <x v="430"/>
    <x v="0"/>
    <x v="1"/>
    <x v="1"/>
    <s v="regulacion de sistema wes segun horario, cambio de membrana en abas valvulas ._x000a_fun auditoria sin wes; inicio auditoria con wes, lectura medidor; 129316"/>
    <m/>
    <x v="6"/>
    <n v="3"/>
  </r>
  <r>
    <x v="7"/>
    <x v="11"/>
    <s v="Mirko Lorca"/>
    <x v="428"/>
    <x v="0"/>
    <x v="1"/>
    <x v="16"/>
    <s v="funcionamiento de placa electronica ok, queda pendiente una valvula, prblema de presion_x000a_se deve a compañia externa u instalasiones, llave bypass abierta, sistema solar ok."/>
    <m/>
    <x v="6"/>
    <n v="3"/>
  </r>
  <r>
    <x v="7"/>
    <x v="29"/>
    <s v="Anibal Aranda"/>
    <x v="430"/>
    <x v="0"/>
    <x v="1"/>
    <x v="8"/>
    <s v="mantencion de valvulas, cambio de membrana. programacion horaria de equipo wes_x000a_fin auditoria sin wes _x000a_inicio auditoria con wes. lectura medidor; 102388"/>
    <m/>
    <x v="6"/>
    <n v="3"/>
  </r>
  <r>
    <x v="7"/>
    <x v="29"/>
    <s v="Mirko Lorca"/>
    <x v="431"/>
    <x v="0"/>
    <x v="4"/>
    <x v="48"/>
    <s v="cambio de placa y cargador, electronica funcionando ok, proxima visita cambiar valvula defectuosa"/>
    <m/>
    <x v="6"/>
    <n v="3"/>
  </r>
  <r>
    <x v="7"/>
    <x v="38"/>
    <s v="Mirko Lorca"/>
    <x v="432"/>
    <x v="0"/>
    <x v="0"/>
    <x v="9"/>
    <s v="sistema sab en funcionamiento correcto, en sistema hidrico cpa cambiara valvula de control, regulador de voltaje _x000a_en placa wes en mal estado, horarios ingreso 07:00@18:30- - sabado y domingo &gt;dia y noche._x000a_"/>
    <m/>
    <x v="6"/>
    <n v="3"/>
  </r>
  <r>
    <x v="7"/>
    <x v="27"/>
    <s v="Mirko Lorca"/>
    <x v="427"/>
    <x v="0"/>
    <x v="1"/>
    <x v="5"/>
    <s v="regulacion nocturna, regulacion dia alta y baja._x000a_horarios 9:45&gt;10:45; 11:35&gt;11:50 ; 13:20&gt;14:05_x000a_horario entrada funcionaios; 6:45&gt;21:00"/>
    <m/>
    <x v="6"/>
    <n v="3"/>
  </r>
  <r>
    <x v="7"/>
    <x v="26"/>
    <s v="Mirko Lorca"/>
    <x v="433"/>
    <x v="0"/>
    <x v="4"/>
    <x v="9"/>
    <s v="cambio de placa wes, valvula sin apertura en manual, poste bateria y_x000a_cargador en buen estado."/>
    <m/>
    <x v="6"/>
    <n v="3"/>
  </r>
  <r>
    <x v="7"/>
    <x v="12"/>
    <s v="Mirko Lorca"/>
    <x v="434"/>
    <x v="0"/>
    <x v="1"/>
    <x v="16"/>
    <s v="falla de descargas por llave de paso en corte"/>
    <m/>
    <x v="6"/>
    <n v="3"/>
  </r>
  <r>
    <x v="7"/>
    <x v="12"/>
    <s v="Mirko Lorca"/>
    <x v="435"/>
    <x v="1"/>
    <x v="9"/>
    <x v="35"/>
    <s v="sab en estado bypass, cambio de valvula, cpa bypass en auditoria _x000a_lectura medidor; 166559"/>
    <m/>
    <x v="6"/>
    <n v="3"/>
  </r>
  <r>
    <x v="7"/>
    <x v="12"/>
    <s v="Mirko Lorca"/>
    <x v="433"/>
    <x v="1"/>
    <x v="1"/>
    <x v="8"/>
    <s v="viernes 18 ver cambio de valvulas.aprox. 15:00 a17:00hrs._x000a_electronica funcionando bien, sistema bypass"/>
    <m/>
    <x v="6"/>
    <n v="3"/>
  </r>
  <r>
    <x v="7"/>
    <x v="27"/>
    <s v="Cristian Sepulveda"/>
    <x v="436"/>
    <x v="1"/>
    <x v="1"/>
    <x v="5"/>
    <s v="se reliza levantamiento, se da el 100% de caudal por elecciones presidenciales."/>
    <m/>
    <x v="3"/>
    <n v="11"/>
  </r>
  <r>
    <x v="7"/>
    <x v="28"/>
    <s v="Cristian Sepulveda"/>
    <x v="436"/>
    <x v="1"/>
    <x v="1"/>
    <x v="5"/>
    <s v="se reliza levantamiento, se da el 100% de caudal por elecciones presidenciales."/>
    <m/>
    <x v="3"/>
    <n v="11"/>
  </r>
  <r>
    <x v="7"/>
    <x v="11"/>
    <s v="Cristian Sepulveda"/>
    <x v="436"/>
    <x v="1"/>
    <x v="1"/>
    <x v="5"/>
    <s v="se reliza levantamiento, se da el 100% de caudal por elecciones presidenciales."/>
    <m/>
    <x v="3"/>
    <n v="11"/>
  </r>
  <r>
    <x v="7"/>
    <x v="29"/>
    <s v="Cristian Sepulveda"/>
    <x v="436"/>
    <x v="1"/>
    <x v="1"/>
    <x v="5"/>
    <s v="se reliza levantamiento, se da el 100% de caudal por elecciones presidenciales."/>
    <m/>
    <x v="3"/>
    <n v="11"/>
  </r>
  <r>
    <x v="11"/>
    <x v="58"/>
    <s v="Mirko Lorca"/>
    <x v="437"/>
    <x v="0"/>
    <x v="1"/>
    <x v="5"/>
    <s v="se realiza visita por baja presion de agua, ubo una desprogramacion de los datos, pudo haber sido _x000a_por una corriente parasitoria. se realiza cambio de solenoides, re realiza calibracion y programacion de sistema,_x000a_se realizan pruebas de variacion de presion, se monitores por los proximos dias."/>
    <m/>
    <x v="5"/>
    <n v="2"/>
  </r>
  <r>
    <x v="11"/>
    <x v="106"/>
    <s v="Anibal Aranda"/>
    <x v="438"/>
    <x v="3"/>
    <x v="8"/>
    <x v="18"/>
    <s v="instalacion sistema de monitoreo pozo 3"/>
    <m/>
    <x v="6"/>
    <n v="7"/>
  </r>
  <r>
    <x v="11"/>
    <x v="58"/>
    <s v="Anibal Aranda"/>
    <x v="439"/>
    <x v="0"/>
    <x v="1"/>
    <x v="1"/>
    <s v="mantencion preventiva de solenoides, cambio de membrana por falla de esta."/>
    <m/>
    <x v="6"/>
    <n v="4"/>
  </r>
  <r>
    <x v="11"/>
    <x v="58"/>
    <s v="Anibal Aranda"/>
    <x v="440"/>
    <x v="1"/>
    <x v="9"/>
    <x v="36"/>
    <s v="lectura lo valledor wes; 4266_x000a_lectura lo valledor aguas andinas; 584320"/>
    <m/>
    <x v="2"/>
    <n v="2"/>
  </r>
  <r>
    <x v="11"/>
    <x v="58"/>
    <s v="Anibal Aranda"/>
    <x v="441"/>
    <x v="0"/>
    <x v="1"/>
    <x v="47"/>
    <s v="se realiza cambio de medidor por problemas interno en la relojeria, lo que impide el correcto _x000a_conteo de m3 consumido, trabajo realizado 19-02-2020 lectura medidor wes"/>
    <m/>
    <x v="2"/>
    <n v="2"/>
  </r>
  <r>
    <x v="11"/>
    <x v="58"/>
    <s v="Anibal Aranda"/>
    <x v="442"/>
    <x v="0"/>
    <x v="1"/>
    <x v="47"/>
    <s v="medidor wes con falla mecanica, el conteo se detiene, se requiere cambio de medidor"/>
    <m/>
    <x v="2"/>
    <n v="1"/>
  </r>
  <r>
    <x v="11"/>
    <x v="58"/>
    <s v="Anibal Aranda"/>
    <x v="443"/>
    <x v="1"/>
    <x v="9"/>
    <x v="36"/>
    <s v="finalisacion auditoria lectura medidor; 365799"/>
    <m/>
    <x v="7"/>
    <n v="3"/>
  </r>
  <r>
    <x v="11"/>
    <x v="58"/>
    <s v="Anibal Aranda"/>
    <x v="444"/>
    <x v="1"/>
    <x v="9"/>
    <x v="35"/>
    <s v="se realiza inicio de auditoria por requerimiento de eduardo velazqueez para _x000a_conocer el consumo diario sin control lectura medidor; 364917"/>
    <m/>
    <x v="7"/>
    <n v="3"/>
  </r>
  <r>
    <x v="7"/>
    <x v="10"/>
    <s v="Mirko Lorca"/>
    <x v="436"/>
    <x v="7"/>
    <x v="1"/>
    <x v="18"/>
    <s v="se desactiva sistema cpa dejando 100% de caudal por elecciones presidenciales."/>
    <m/>
    <x v="3"/>
    <n v="11"/>
  </r>
  <r>
    <x v="7"/>
    <x v="14"/>
    <s v="Mirko Lorca"/>
    <x v="436"/>
    <x v="7"/>
    <x v="1"/>
    <x v="18"/>
    <s v="se desactiva sistema cpa dejando 100% de caudal por elecciones presidenciales."/>
    <m/>
    <x v="3"/>
    <n v="11"/>
  </r>
  <r>
    <x v="7"/>
    <x v="12"/>
    <s v="Mirko Lorca"/>
    <x v="445"/>
    <x v="7"/>
    <x v="1"/>
    <x v="18"/>
    <s v="se desactiva sistema cpa dejando 100% de caudal por elecciones presidenciales."/>
    <m/>
    <x v="3"/>
    <n v="11"/>
  </r>
  <r>
    <x v="7"/>
    <x v="9"/>
    <s v="Mirko Lorca"/>
    <x v="445"/>
    <x v="7"/>
    <x v="1"/>
    <x v="18"/>
    <s v="se desactiva sistema cpa dejando 100% de caudal por elecciones presidenciales."/>
    <m/>
    <x v="3"/>
    <n v="11"/>
  </r>
  <r>
    <x v="7"/>
    <x v="8"/>
    <s v="Mirko Lorca"/>
    <x v="445"/>
    <x v="7"/>
    <x v="1"/>
    <x v="18"/>
    <s v="se desactiva sistema cpa dejando 100% de caudal por elecciones presidenciales."/>
    <m/>
    <x v="3"/>
    <n v="11"/>
  </r>
  <r>
    <x v="7"/>
    <x v="38"/>
    <s v="Mirko Lorca"/>
    <x v="445"/>
    <x v="7"/>
    <x v="1"/>
    <x v="18"/>
    <s v="se desactiva sistema cpa dejando 100% de caudal por elecciones presidenciales."/>
    <m/>
    <x v="3"/>
    <n v="11"/>
  </r>
  <r>
    <x v="7"/>
    <x v="26"/>
    <s v="Mirko Lorca"/>
    <x v="445"/>
    <x v="7"/>
    <x v="1"/>
    <x v="18"/>
    <s v="se desactiva sistema cpa dejando 100% de caudal por elecciones presidenciales."/>
    <m/>
    <x v="3"/>
    <n v="11"/>
  </r>
  <r>
    <x v="7"/>
    <x v="28"/>
    <s v="Mirko Lorca"/>
    <x v="446"/>
    <x v="7"/>
    <x v="1"/>
    <x v="18"/>
    <s v="se activa sistema de control cpa por termino de elecciones presidenciales"/>
    <m/>
    <x v="3"/>
    <n v="12"/>
  </r>
  <r>
    <x v="7"/>
    <x v="11"/>
    <s v="Mirko Lorca"/>
    <x v="447"/>
    <x v="7"/>
    <x v="1"/>
    <x v="18"/>
    <s v="se activa sistema de control cpa por termino de elecciones presidenciales"/>
    <m/>
    <x v="3"/>
    <n v="12"/>
  </r>
  <r>
    <x v="7"/>
    <x v="9"/>
    <s v="Mirko Lorca"/>
    <x v="447"/>
    <x v="7"/>
    <x v="1"/>
    <x v="18"/>
    <s v="se activa sistema de control cpa por termino de elecciones presidenciales"/>
    <m/>
    <x v="3"/>
    <n v="12"/>
  </r>
  <r>
    <x v="7"/>
    <x v="14"/>
    <s v="Mirko Lorca"/>
    <x v="447"/>
    <x v="7"/>
    <x v="1"/>
    <x v="18"/>
    <s v="se activa sistema de control cpa por termino de elecciones presidenciales"/>
    <m/>
    <x v="3"/>
    <n v="12"/>
  </r>
  <r>
    <x v="7"/>
    <x v="27"/>
    <s v="Mirko Lorca"/>
    <x v="446"/>
    <x v="7"/>
    <x v="1"/>
    <x v="18"/>
    <s v="se activa sistema de control cpa,_x000a_se repara placa wes, reguladores con soldadura fria , se programan horarios _x000a_07:00&gt;15:00alta- - 15:00&gt;20:00baja _x000a_"/>
    <m/>
    <x v="3"/>
    <n v="12"/>
  </r>
  <r>
    <x v="7"/>
    <x v="12"/>
    <s v="Mirko Lorca"/>
    <x v="447"/>
    <x v="7"/>
    <x v="1"/>
    <x v="18"/>
    <s v="se activa sistema de control cpa"/>
    <m/>
    <x v="3"/>
    <n v="12"/>
  </r>
  <r>
    <x v="7"/>
    <x v="10"/>
    <s v="Mirko Lorca"/>
    <x v="447"/>
    <x v="7"/>
    <x v="1"/>
    <x v="18"/>
    <s v="se activa sistema de control cpa"/>
    <m/>
    <x v="3"/>
    <n v="12"/>
  </r>
  <r>
    <x v="7"/>
    <x v="38"/>
    <s v="Mirko Lorca"/>
    <x v="447"/>
    <x v="7"/>
    <x v="1"/>
    <x v="18"/>
    <s v="se activa sistema de control cpa"/>
    <m/>
    <x v="3"/>
    <n v="12"/>
  </r>
  <r>
    <x v="7"/>
    <x v="26"/>
    <s v="Mirko Lorca"/>
    <x v="447"/>
    <x v="7"/>
    <x v="1"/>
    <x v="18"/>
    <s v="se activa sistema de control por elecciones presidenciales."/>
    <m/>
    <x v="3"/>
    <n v="12"/>
  </r>
  <r>
    <x v="7"/>
    <x v="29"/>
    <s v="Mirko Lorca"/>
    <x v="446"/>
    <x v="7"/>
    <x v="1"/>
    <x v="18"/>
    <s v="se activan solenoides por termino de elecciones presidenciales."/>
    <m/>
    <x v="3"/>
    <n v="12"/>
  </r>
  <r>
    <x v="17"/>
    <x v="61"/>
    <s v="Anibal Aranda"/>
    <x v="448"/>
    <x v="7"/>
    <x v="1"/>
    <x v="18"/>
    <s v="alerta de sobre consumo por manipulasion de bypass, se regula corte hidrico nocturno,_x000a_conexion 3g habilitado 24Hrs"/>
    <m/>
    <x v="2"/>
    <n v="3"/>
  </r>
  <r>
    <x v="7"/>
    <x v="27"/>
    <s v="Anibal Aranda"/>
    <x v="448"/>
    <x v="1"/>
    <x v="9"/>
    <x v="36"/>
    <s v="fin auditoria sin control, lectura medidor; 230143"/>
    <m/>
    <x v="2"/>
    <n v="3"/>
  </r>
  <r>
    <x v="7"/>
    <x v="38"/>
    <s v="Anibal Aranda"/>
    <x v="448"/>
    <x v="1"/>
    <x v="9"/>
    <x v="36"/>
    <s v="fin auditoria hidrica, lectura medidor; 390169"/>
    <m/>
    <x v="2"/>
    <n v="3"/>
  </r>
  <r>
    <x v="7"/>
    <x v="12"/>
    <s v="Anibal Aranda"/>
    <x v="448"/>
    <x v="1"/>
    <x v="9"/>
    <x v="36"/>
    <s v="fin auditoria sin control"/>
    <m/>
    <x v="2"/>
    <n v="3"/>
  </r>
  <r>
    <x v="7"/>
    <x v="8"/>
    <s v="Anibal Aranda"/>
    <x v="449"/>
    <x v="1"/>
    <x v="9"/>
    <x v="35"/>
    <s v="inicio auditoria sin control, lectura medidor; 89359"/>
    <m/>
    <x v="2"/>
    <n v="3"/>
  </r>
  <r>
    <x v="7"/>
    <x v="27"/>
    <s v="Anibal Aranda"/>
    <x v="449"/>
    <x v="1"/>
    <x v="1"/>
    <x v="7"/>
    <s v="no se realiza auditoria por trabajos que se estan ejecutando , se regula presion para mitigar_x000a_filtrasion en baño de establesimiento."/>
    <m/>
    <x v="2"/>
    <n v="3"/>
  </r>
  <r>
    <x v="7"/>
    <x v="28"/>
    <s v="Anibal Aranda"/>
    <x v="449"/>
    <x v="1"/>
    <x v="9"/>
    <x v="35"/>
    <s v="auditoria sin control, lectura medidor; 154889"/>
    <m/>
    <x v="2"/>
    <n v="3"/>
  </r>
  <r>
    <x v="7"/>
    <x v="11"/>
    <s v="Anibal Aranda"/>
    <x v="449"/>
    <x v="1"/>
    <x v="9"/>
    <x v="35"/>
    <s v="auditoria sin control, lectura medidor; 109863"/>
    <m/>
    <x v="2"/>
    <n v="3"/>
  </r>
  <r>
    <x v="7"/>
    <x v="29"/>
    <s v="Anibal Aranda"/>
    <x v="449"/>
    <x v="1"/>
    <x v="9"/>
    <x v="35"/>
    <s v="auditoria sin control, lectura medidor; 95029"/>
    <m/>
    <x v="2"/>
    <n v="3"/>
  </r>
  <r>
    <x v="7"/>
    <x v="10"/>
    <s v="Anibal Aranda"/>
    <x v="450"/>
    <x v="1"/>
    <x v="9"/>
    <x v="35"/>
    <s v="auditoria sin control, lectura medidor; 95358"/>
    <m/>
    <x v="2"/>
    <n v="3"/>
  </r>
  <r>
    <x v="7"/>
    <x v="27"/>
    <s v="Anibal Aranda"/>
    <x v="450"/>
    <x v="1"/>
    <x v="9"/>
    <x v="35"/>
    <s v="auditoria sin control, lectura medidor; 229152"/>
    <m/>
    <x v="2"/>
    <n v="3"/>
  </r>
  <r>
    <x v="7"/>
    <x v="38"/>
    <s v="Anibal Aranda"/>
    <x v="450"/>
    <x v="1"/>
    <x v="9"/>
    <x v="35"/>
    <s v="auditoria sin control, lectura medidor; 389474"/>
    <m/>
    <x v="2"/>
    <n v="3"/>
  </r>
  <r>
    <x v="7"/>
    <x v="26"/>
    <s v="Anibal Aranda"/>
    <x v="450"/>
    <x v="1"/>
    <x v="9"/>
    <x v="35"/>
    <s v="auditoria sin control, lectura medidor; 47491"/>
    <m/>
    <x v="2"/>
    <n v="3"/>
  </r>
  <r>
    <x v="7"/>
    <x v="14"/>
    <s v="Anibal Aranda"/>
    <x v="450"/>
    <x v="1"/>
    <x v="9"/>
    <x v="35"/>
    <s v="auditoria sin control, lectura medidor; 97483"/>
    <m/>
    <x v="2"/>
    <n v="3"/>
  </r>
  <r>
    <x v="7"/>
    <x v="12"/>
    <s v="Anibal Aranda"/>
    <x v="450"/>
    <x v="1"/>
    <x v="9"/>
    <x v="35"/>
    <s v="auditoria sin control, lectura medidor; 131814"/>
    <m/>
    <x v="2"/>
    <n v="3"/>
  </r>
  <r>
    <x v="7"/>
    <x v="9"/>
    <s v="Anibal Aranda"/>
    <x v="451"/>
    <x v="7"/>
    <x v="1"/>
    <x v="18"/>
    <s v="ajuste de presion periodo estival. lectura medidor 26362"/>
    <m/>
    <x v="7"/>
    <n v="12"/>
  </r>
  <r>
    <x v="7"/>
    <x v="8"/>
    <s v="Anibal Aranda"/>
    <x v="451"/>
    <x v="7"/>
    <x v="1"/>
    <x v="18"/>
    <s v="ajuste de presion horario verano, apertura de candado por apertura de llave emergencia, se repone prixima semana."/>
    <m/>
    <x v="7"/>
    <n v="12"/>
  </r>
  <r>
    <x v="7"/>
    <x v="27"/>
    <s v="Anibal Aranda"/>
    <x v="451"/>
    <x v="7"/>
    <x v="1"/>
    <x v="18"/>
    <s v="no se ajusta presion, por que matriz que alimenta baño del segundo ciclo esta con defecto, se deja sistema al 100% para que la corporacion realise una visita de mantenimiento._x000a_"/>
    <m/>
    <x v="7"/>
    <n v="12"/>
  </r>
  <r>
    <x v="7"/>
    <x v="28"/>
    <s v="Anibal Aranda"/>
    <x v="451"/>
    <x v="7"/>
    <x v="1"/>
    <x v="18"/>
    <s v="ajuste de presion valvulas, periodos estival, lectura medidor; 154449"/>
    <m/>
    <x v="7"/>
    <n v="12"/>
  </r>
  <r>
    <x v="7"/>
    <x v="11"/>
    <s v="Anibal Aranda"/>
    <x v="451"/>
    <x v="7"/>
    <x v="1"/>
    <x v="18"/>
    <s v="ajuste de presion valvulas, periodos estival, lectura medidor; 106896"/>
    <m/>
    <x v="7"/>
    <n v="12"/>
  </r>
  <r>
    <x v="7"/>
    <x v="29"/>
    <s v="Anibal Aranda"/>
    <x v="451"/>
    <x v="7"/>
    <x v="1"/>
    <x v="18"/>
    <s v="ajuste de presion valvulas, periodos estival, lectura medidor; 93848"/>
    <m/>
    <x v="7"/>
    <n v="12"/>
  </r>
  <r>
    <x v="7"/>
    <x v="10"/>
    <s v="Anibal Aranda"/>
    <x v="451"/>
    <x v="7"/>
    <x v="1"/>
    <x v="18"/>
    <s v="ajuste de presion periodo esitival, no se realiza porque aguas andinas no distribuye presion requerida cp+on la llave 100% abierta alcansa 0,5 bar._x000a_sistema se encuentra con esta condicion desde agosto sin tener mayor informacion a la empresa wes._x000a_"/>
    <m/>
    <x v="7"/>
    <n v="12"/>
  </r>
  <r>
    <x v="7"/>
    <x v="38"/>
    <s v="Anibal Aranda"/>
    <x v="452"/>
    <x v="7"/>
    <x v="1"/>
    <x v="18"/>
    <s v="ajuste de presion periodo esitival._x000a_lectura medidor; 385886"/>
    <m/>
    <x v="7"/>
    <n v="12"/>
  </r>
  <r>
    <x v="7"/>
    <x v="14"/>
    <s v="Anibal Aranda"/>
    <x v="452"/>
    <x v="7"/>
    <x v="1"/>
    <x v="18"/>
    <s v="ajuste de presion periodo esitival._x000a_lectura medidor; 96059"/>
    <m/>
    <x v="7"/>
    <n v="12"/>
  </r>
  <r>
    <x v="7"/>
    <x v="12"/>
    <s v="Anibal Aranda"/>
    <x v="452"/>
    <x v="7"/>
    <x v="1"/>
    <x v="18"/>
    <s v="regulacion se deja pendiendiente por trabajos existentes en establesimiento."/>
    <m/>
    <x v="7"/>
    <n v="12"/>
  </r>
  <r>
    <x v="7"/>
    <x v="27"/>
    <s v="Anibal Aranda"/>
    <x v="453"/>
    <x v="7"/>
    <x v="1"/>
    <x v="18"/>
    <s v="se realiza visita de emergencia por falta de agua en establesimiento, se detecta pro blema en estanque de baño, _x000a_se recomienda revisar dicho estanque."/>
    <m/>
    <x v="7"/>
    <n v="11"/>
  </r>
  <r>
    <x v="17"/>
    <x v="61"/>
    <s v="Anibal Aranda"/>
    <x v="454"/>
    <x v="1"/>
    <x v="9"/>
    <x v="35"/>
    <s v="instalacion de tecnologia electronica, inicio auditoria._x000a_lectura medidor; 331081"/>
    <m/>
    <x v="7"/>
    <n v="10"/>
  </r>
  <r>
    <x v="7"/>
    <x v="29"/>
    <s v="Anibal Aranda"/>
    <x v="455"/>
    <x v="1"/>
    <x v="9"/>
    <x v="36"/>
    <s v="fin auditoria, porcentaje de rendimiento positivo._x000a_lectura medidor; 86342"/>
    <m/>
    <x v="7"/>
    <n v="3"/>
  </r>
  <r>
    <x v="7"/>
    <x v="8"/>
    <s v="Anibal Aranda"/>
    <x v="455"/>
    <x v="1"/>
    <x v="9"/>
    <x v="36"/>
    <s v="fin auditoria, porcentaje de rendimiento positivo._x000a_lectura medidor; 62061"/>
    <m/>
    <x v="7"/>
    <n v="3"/>
  </r>
  <r>
    <x v="7"/>
    <x v="29"/>
    <s v="Anibal Aranda"/>
    <x v="456"/>
    <x v="1"/>
    <x v="9"/>
    <x v="35"/>
    <s v="inicio auditoria sin control, lectura medidor; 86315"/>
    <m/>
    <x v="7"/>
    <n v="3"/>
  </r>
  <r>
    <x v="7"/>
    <x v="8"/>
    <s v="Anibal Aranda"/>
    <x v="456"/>
    <x v="1"/>
    <x v="9"/>
    <x v="35"/>
    <s v="inicio auditoria sin control, lectura medidor; 62005"/>
    <m/>
    <x v="7"/>
    <n v="3"/>
  </r>
  <r>
    <x v="7"/>
    <x v="9"/>
    <s v="Anibal Aranda"/>
    <x v="457"/>
    <x v="1"/>
    <x v="9"/>
    <x v="36"/>
    <s v="fin auditoria con control, 35% de rendimiento."/>
    <m/>
    <x v="7"/>
    <n v="3"/>
  </r>
  <r>
    <x v="7"/>
    <x v="14"/>
    <s v="Anibal Aranda"/>
    <x v="457"/>
    <x v="1"/>
    <x v="9"/>
    <x v="36"/>
    <s v="fin auditoria con control, bajo porcentaje de rendimiento, se ajusta caudal y horarios."/>
    <m/>
    <x v="7"/>
    <n v="3"/>
  </r>
  <r>
    <x v="7"/>
    <x v="10"/>
    <s v="Anibal Aranda"/>
    <x v="457"/>
    <x v="1"/>
    <x v="9"/>
    <x v="36"/>
    <s v="fin auditoria con control, 57% de rendimiento"/>
    <m/>
    <x v="7"/>
    <n v="3"/>
  </r>
  <r>
    <x v="7"/>
    <x v="29"/>
    <s v="Anibal Aranda"/>
    <x v="457"/>
    <x v="1"/>
    <x v="9"/>
    <x v="36"/>
    <s v="fin auditoria, se detecta que el % de haorro no es el esperado por lo que se ajusta caudal y horarios ,_x000a_inicio auditoria con control."/>
    <m/>
    <x v="7"/>
    <n v="3"/>
  </r>
  <r>
    <x v="7"/>
    <x v="9"/>
    <s v="Anibal Aranda"/>
    <x v="458"/>
    <x v="1"/>
    <x v="9"/>
    <x v="36"/>
    <s v="fin auditoria sin control; _x000a_inicio auditoria con control, lectura medidor; 15608"/>
    <m/>
    <x v="7"/>
    <n v="3"/>
  </r>
  <r>
    <x v="7"/>
    <x v="14"/>
    <s v="Anibal Aranda"/>
    <x v="458"/>
    <x v="1"/>
    <x v="9"/>
    <x v="36"/>
    <s v="fin auditoria sin control; _x000a_inicio auditoria con control, lectura medidor; 89004"/>
    <m/>
    <x v="7"/>
    <n v="3"/>
  </r>
  <r>
    <x v="7"/>
    <x v="10"/>
    <s v="Anibal Aranda"/>
    <x v="458"/>
    <x v="1"/>
    <x v="9"/>
    <x v="36"/>
    <s v="fin auditoria sin control; _x000a_inicio auditoria con control, lectura medidor; 89004"/>
    <m/>
    <x v="7"/>
    <n v="3"/>
  </r>
  <r>
    <x v="7"/>
    <x v="12"/>
    <s v="Anibal Aranda"/>
    <x v="459"/>
    <x v="1"/>
    <x v="9"/>
    <x v="35"/>
    <s v="se realiza ajuste de caudal segun horario de clases._x000a_inicio auditoria sin control, lectura medidor; 15546"/>
    <m/>
    <x v="7"/>
    <n v="3"/>
  </r>
  <r>
    <x v="7"/>
    <x v="12"/>
    <s v="Anibal Aranda"/>
    <x v="459"/>
    <x v="7"/>
    <x v="1"/>
    <x v="18"/>
    <s v="no es posible realizar ajuste de caudal por filtracion de 3m3 por hora, se presenta situacion con inspector general _x000a_por lo que se solisita reparar lo antes posible fuga existente , de esta manera se podra regular caudal, se deja corte de agua nocturno."/>
    <m/>
    <x v="7"/>
    <n v="3"/>
  </r>
  <r>
    <x v="7"/>
    <x v="14"/>
    <s v="Anibal Aranda"/>
    <x v="459"/>
    <x v="1"/>
    <x v="9"/>
    <x v="35"/>
    <s v="inicio auditoria sin control lectura medidor ;88955"/>
    <m/>
    <x v="7"/>
    <n v="3"/>
  </r>
  <r>
    <x v="7"/>
    <x v="10"/>
    <s v="Anibal Aranda"/>
    <x v="459"/>
    <x v="1"/>
    <x v="9"/>
    <x v="35"/>
    <s v="inicio auditoria sin control lectura medidor ;88955"/>
    <m/>
    <x v="7"/>
    <n v="3"/>
  </r>
  <r>
    <x v="7"/>
    <x v="29"/>
    <s v="Anibal Aranda"/>
    <x v="459"/>
    <x v="1"/>
    <x v="9"/>
    <x v="35"/>
    <s v="inicio auditoria sin control lectura medidor ;86196"/>
    <m/>
    <x v="7"/>
    <n v="3"/>
  </r>
  <r>
    <x v="7"/>
    <x v="11"/>
    <s v="Anibal Aranda"/>
    <x v="460"/>
    <x v="1"/>
    <x v="9"/>
    <x v="35"/>
    <s v="inicio auditoria por manipulacion de bypass. lectura medidor ;90210"/>
    <m/>
    <x v="7"/>
    <n v="3"/>
  </r>
  <r>
    <x v="7"/>
    <x v="28"/>
    <s v="Anibal Aranda"/>
    <x v="460"/>
    <x v="1"/>
    <x v="9"/>
    <x v="36"/>
    <s v="fin auditoria, sistema cpa regulando caudal. lectura medidor ;148893"/>
    <m/>
    <x v="7"/>
    <n v="3"/>
  </r>
  <r>
    <x v="7"/>
    <x v="27"/>
    <s v="Anibal Aranda"/>
    <x v="460"/>
    <x v="1"/>
    <x v="9"/>
    <x v="36"/>
    <s v="fin auditoria, sistema cpa regulando caudal. lectura medidor ;200750"/>
    <m/>
    <x v="7"/>
    <n v="3"/>
  </r>
  <r>
    <x v="7"/>
    <x v="11"/>
    <s v="Anibal Aranda"/>
    <x v="461"/>
    <x v="1"/>
    <x v="9"/>
    <x v="36"/>
    <s v="fin auditoria, sistema cpa regulando caudal. lectura medidor ;90071"/>
    <m/>
    <x v="7"/>
    <n v="3"/>
  </r>
  <r>
    <x v="7"/>
    <x v="28"/>
    <s v="Anibal Aranda"/>
    <x v="462"/>
    <x v="1"/>
    <x v="9"/>
    <x v="36"/>
    <s v="fin auditoria, sistema cpa regulando caudal. lectura medidor ;148844"/>
    <m/>
    <x v="7"/>
    <n v="3"/>
  </r>
  <r>
    <x v="7"/>
    <x v="27"/>
    <s v="Anibal Aranda"/>
    <x v="462"/>
    <x v="1"/>
    <x v="9"/>
    <x v="36"/>
    <s v="fin auditoria, lectura medidor ;61446"/>
    <m/>
    <x v="7"/>
    <n v="3"/>
  </r>
  <r>
    <x v="7"/>
    <x v="8"/>
    <s v="Anibal Aranda"/>
    <x v="462"/>
    <x v="1"/>
    <x v="9"/>
    <x v="36"/>
    <s v="fin auditoria, lectura medidor ;61446"/>
    <m/>
    <x v="7"/>
    <n v="3"/>
  </r>
  <r>
    <x v="7"/>
    <x v="11"/>
    <s v="Anibal Aranda"/>
    <x v="463"/>
    <x v="1"/>
    <x v="1"/>
    <x v="5"/>
    <s v="_x000a_ajuste de presion alta y baja _x000a_inicio de auditoria sin control, lectura medidor; 89939"/>
    <m/>
    <x v="7"/>
    <n v="3"/>
  </r>
  <r>
    <x v="7"/>
    <x v="28"/>
    <s v="Anibal Aranda"/>
    <x v="463"/>
    <x v="1"/>
    <x v="1"/>
    <x v="5"/>
    <s v="_x000a_ajuste de presion alta y baja _x000a_inicio de auditoria sin control, lectura medidor; 148790"/>
    <m/>
    <x v="7"/>
    <n v="3"/>
  </r>
  <r>
    <x v="7"/>
    <x v="27"/>
    <s v="Anibal Aranda"/>
    <x v="463"/>
    <x v="1"/>
    <x v="9"/>
    <x v="35"/>
    <s v="_x000a__x000a_inicio de auditoria sin control, lectura medidor; 200414"/>
    <m/>
    <x v="7"/>
    <n v="3"/>
  </r>
  <r>
    <x v="7"/>
    <x v="8"/>
    <s v="Anibal Aranda"/>
    <x v="463"/>
    <x v="1"/>
    <x v="9"/>
    <x v="35"/>
    <s v="se realiza ajuste de caudal,y se verifica en baños funcionando ok, se programan valvulas de control_x000a_alta presion y baja presion._x000a_inicio de auditoria sin control lectura medidor ; 61365"/>
    <m/>
    <x v="7"/>
    <n v="3"/>
  </r>
  <r>
    <x v="17"/>
    <x v="73"/>
    <s v="Maurico Orellana"/>
    <x v="464"/>
    <x v="0"/>
    <x v="1"/>
    <x v="5"/>
    <s v="regulacion de caudal, alta presion 40 LxM de 05:00&gt;08:00_x000a_media presion 15LxM 08:00&gt;21:00_x000a_(nocturna) 7 LxM 21:00&gt;05:00_x000a_lectura medidor; 207282"/>
    <m/>
    <x v="5"/>
    <n v="6"/>
  </r>
  <r>
    <x v="17"/>
    <x v="73"/>
    <s v="Maurico Orellana"/>
    <x v="465"/>
    <x v="0"/>
    <x v="1"/>
    <x v="5"/>
    <s v="regulacion de caudal, alta presion 11 LxM de 05:00&gt;21:00_x000a_(nocturna) 7 LxM lectura medidor; 207233"/>
    <m/>
    <x v="5"/>
    <n v="6"/>
  </r>
  <r>
    <x v="8"/>
    <x v="25"/>
    <s v="Maurico Orellana"/>
    <x v="466"/>
    <x v="0"/>
    <x v="0"/>
    <x v="0"/>
    <s v="punto desconectado, placa aparentemente pegada, se reinicia sistema, chequeo de voltajes, chequeo hora y fecha quedando punto comunicando a app wes."/>
    <m/>
    <x v="5"/>
    <n v="6"/>
  </r>
  <r>
    <x v="15"/>
    <x v="83"/>
    <s v="Maurico Orellana"/>
    <x v="404"/>
    <x v="1"/>
    <x v="3"/>
    <x v="54"/>
    <s v="cambio de chip actualisacion a wom."/>
    <m/>
    <x v="5"/>
    <n v="7"/>
  </r>
  <r>
    <x v="15"/>
    <x v="81"/>
    <s v="Maurico Orellana"/>
    <x v="467"/>
    <x v="0"/>
    <x v="3"/>
    <x v="6"/>
    <s v="sistema de internet caido, se reinicia sistema recuperando la conectividad a app wes_x000a_recalibracion de todo los puntos de tablero."/>
    <m/>
    <x v="5"/>
    <n v="7"/>
  </r>
  <r>
    <x v="15"/>
    <x v="83"/>
    <s v="Maurico Orellana"/>
    <x v="383"/>
    <x v="0"/>
    <x v="0"/>
    <x v="14"/>
    <s v="sistema desconectado por desconfiguracion de memoria, cambio de memoria en placa matriz principal_x000a_normalisacion de memoria en placa riego, se restablecen las dos placas y quedan _x000a_comunicando a app wes."/>
    <m/>
    <x v="5"/>
    <n v="7"/>
  </r>
  <r>
    <x v="15"/>
    <x v="107"/>
    <s v="Maurico Orellana"/>
    <x v="360"/>
    <x v="0"/>
    <x v="3"/>
    <x v="57"/>
    <s v="punto lavado automatico sur desconectado, comunicacion no concluida ya que _x000a_cable de conectividad rs232 defectuoso no permite comunicacion._x000a_se retira placa para su revicion y posterior instalacion."/>
    <m/>
    <x v="5"/>
    <n v="8"/>
  </r>
  <r>
    <x v="15"/>
    <x v="88"/>
    <s v="Maurico Orellana"/>
    <x v="372"/>
    <x v="0"/>
    <x v="4"/>
    <x v="28"/>
    <s v="reinstalacion de placa wes en cir, sistema monitoreando con normalidad_x000a_sistema funcionando al 100%."/>
    <m/>
    <x v="5"/>
    <n v="8"/>
  </r>
  <r>
    <x v="15"/>
    <x v="79"/>
    <s v="Anibal Aranda"/>
    <x v="468"/>
    <x v="0"/>
    <x v="1"/>
    <x v="12"/>
    <s v="punto denominado riego registra &quot;0&quot; consumo por cable cortado (reparado)_x000a_m. principal opera correctamente_x000a_reutilisacion tiene medidor dañado, requiere cambio."/>
    <m/>
    <x v="5"/>
    <n v="8"/>
  </r>
  <r>
    <x v="15"/>
    <x v="82"/>
    <s v="Maurico Orellana"/>
    <x v="351"/>
    <x v="0"/>
    <x v="1"/>
    <x v="12"/>
    <s v="instalacion de medidor para remplazo del equipo dañado_x000a_entrega del medidor defectuoso_x000a_equipo 100% operatino."/>
    <m/>
    <x v="5"/>
    <n v="9"/>
  </r>
  <r>
    <x v="15"/>
    <x v="88"/>
    <s v="Maurico Orellana"/>
    <x v="362"/>
    <x v="0"/>
    <x v="0"/>
    <x v="14"/>
    <s v="punto conectado y no guardando data, chequeo y test de memoria. gravado _x000a_de codigo en integrado para placas de&gt; riego- reutilisacion - matriz principal,_x000a_punto queda guardando data ok, sistema 100% operativo."/>
    <m/>
    <x v="5"/>
    <n v="9"/>
  </r>
  <r>
    <x v="15"/>
    <x v="88"/>
    <s v="Maurico Orellana"/>
    <x v="344"/>
    <x v="0"/>
    <x v="0"/>
    <x v="9"/>
    <s v="placa apagado por reguladores de voltaje defectuosos,_x000a_placa wes es remplasada quedando punto monitoriando _x000a_100% operativo."/>
    <m/>
    <x v="5"/>
    <n v="10"/>
  </r>
  <r>
    <x v="15"/>
    <x v="53"/>
    <s v="Maurico Orellana"/>
    <x v="336"/>
    <x v="0"/>
    <x v="0"/>
    <x v="0"/>
    <s v="visita por desconeccion, placa pegada._x000a_esta es reiniciada y conectada a app wes, sistema operativo."/>
    <m/>
    <x v="5"/>
    <n v="11"/>
  </r>
  <r>
    <x v="15"/>
    <x v="53"/>
    <s v="Maurico Orellana"/>
    <x v="313"/>
    <x v="0"/>
    <x v="4"/>
    <x v="19"/>
    <s v="cambio de fuente switching, equipo conectado 100% operativo."/>
    <m/>
    <x v="5"/>
    <n v="12"/>
  </r>
  <r>
    <x v="15"/>
    <x v="88"/>
    <s v="Maurico Orellana"/>
    <x v="299"/>
    <x v="0"/>
    <x v="0"/>
    <x v="0"/>
    <s v="desconexion por placa pegada, esta es reiniciada y chequeada, equipo 100% operativa."/>
    <m/>
    <x v="4"/>
    <n v="2"/>
  </r>
  <r>
    <x v="15"/>
    <x v="88"/>
    <s v="Maurico Orellana"/>
    <x v="299"/>
    <x v="0"/>
    <x v="4"/>
    <x v="19"/>
    <s v="descinexion por fuente quemada, esta es remplazada y chequeada _x000a_equipo 100% operativo."/>
    <m/>
    <x v="4"/>
    <n v="2"/>
  </r>
  <r>
    <x v="15"/>
    <x v="107"/>
    <s v="Maurico Orellana"/>
    <x v="278"/>
    <x v="0"/>
    <x v="3"/>
    <x v="55"/>
    <s v="problemas de comunicacion, cambio de max 232, equipo 100% operativo."/>
    <m/>
    <x v="4"/>
    <n v="2"/>
  </r>
  <r>
    <x v="15"/>
    <x v="81"/>
    <s v="Maurico Orellana"/>
    <x v="278"/>
    <x v="0"/>
    <x v="0"/>
    <x v="14"/>
    <s v="desconexion por desconfiguracion se cambia memoria y pick it equipo 100% operativo."/>
    <m/>
    <x v="4"/>
    <n v="2"/>
  </r>
  <r>
    <x v="15"/>
    <x v="88"/>
    <s v="Maurico Orellana"/>
    <x v="305"/>
    <x v="0"/>
    <x v="0"/>
    <x v="14"/>
    <s v="memoria desconfigurada, chequeo de memoria cero error , esta es _x000a_reprogramada y puesta en marcha."/>
    <m/>
    <x v="4"/>
    <n v="3"/>
  </r>
  <r>
    <x v="15"/>
    <x v="88"/>
    <s v="Maurico Orellana"/>
    <x v="305"/>
    <x v="0"/>
    <x v="0"/>
    <x v="0"/>
    <s v="placa pegada, cambio y gravado de pick it"/>
    <m/>
    <x v="4"/>
    <n v="3"/>
  </r>
  <r>
    <x v="15"/>
    <x v="53"/>
    <s v="Maurico Orellana"/>
    <x v="293"/>
    <x v="0"/>
    <x v="0"/>
    <x v="0"/>
    <s v="placa pegada, esta es reiniciada y chequeado los voltajes, _x000a_equipo de monitoreo 100% operativo."/>
    <m/>
    <x v="4"/>
    <n v="3"/>
  </r>
  <r>
    <x v="15"/>
    <x v="54"/>
    <s v="Maurico Orellana"/>
    <x v="469"/>
    <x v="0"/>
    <x v="1"/>
    <x v="12"/>
    <s v="sensor de pulso removido por terceros, este es fijado quedando operativo."/>
    <m/>
    <x v="4"/>
    <n v="6"/>
  </r>
  <r>
    <x v="3"/>
    <x v="4"/>
    <s v="Anibal Aranda"/>
    <x v="470"/>
    <x v="0"/>
    <x v="1"/>
    <x v="12"/>
    <s v="instalacion sensor de pulso por equipo defectuoso, se encuentra llave de emergencia_x000a_al 100 %."/>
    <m/>
    <x v="6"/>
    <n v="7"/>
  </r>
  <r>
    <x v="3"/>
    <x v="4"/>
    <s v="Anibal Aranda"/>
    <x v="471"/>
    <x v="0"/>
    <x v="1"/>
    <x v="12"/>
    <s v="sensor para lectura de consumo descalibrado, se calibra para dejar sistema 100%operativo._x000a_lectura medidor; 307035."/>
    <m/>
    <x v="3"/>
    <n v="10"/>
  </r>
  <r>
    <x v="15"/>
    <x v="56"/>
    <s v="Maurico Orellana"/>
    <x v="250"/>
    <x v="0"/>
    <x v="3"/>
    <x v="21"/>
    <s v="puntos desconectados por router &quot;pegado&quot; este se cambia de empalme,_x000a_provocando su reinicio cada 1 hora."/>
    <m/>
    <x v="4"/>
    <n v="7"/>
  </r>
  <r>
    <x v="15"/>
    <x v="88"/>
    <s v="Maurico Orellana"/>
    <x v="181"/>
    <x v="0"/>
    <x v="3"/>
    <x v="6"/>
    <s v="desconexion por desconfiguracion a causa de ruido en placa , _x000a_esta es reconfigurada quedando equipo operativo."/>
    <m/>
    <x v="4"/>
    <n v="8"/>
  </r>
  <r>
    <x v="15"/>
    <x v="88"/>
    <s v="Maurico Orellana"/>
    <x v="181"/>
    <x v="0"/>
    <x v="0"/>
    <x v="40"/>
    <s v="desconexion por desconfiguracion y ruido en placa, esta se regulariza quedando totalmente operativa."/>
    <m/>
    <x v="4"/>
    <n v="8"/>
  </r>
  <r>
    <x v="15"/>
    <x v="88"/>
    <s v="Maurico Orellana"/>
    <x v="472"/>
    <x v="0"/>
    <x v="0"/>
    <x v="14"/>
    <s v="punto costanera memoria defectuosa esta es remplazada, equipo en linea."/>
    <m/>
    <x v="4"/>
    <n v="10"/>
  </r>
  <r>
    <x v="15"/>
    <x v="88"/>
    <s v="Maurico Orellana"/>
    <x v="473"/>
    <x v="1"/>
    <x v="2"/>
    <x v="3"/>
    <s v="actualización de programa control de todos los equipos."/>
    <m/>
    <x v="4"/>
    <n v="10"/>
  </r>
  <r>
    <x v="15"/>
    <x v="83"/>
    <s v="Maurico Orellana"/>
    <x v="176"/>
    <x v="0"/>
    <x v="1"/>
    <x v="12"/>
    <s v="cable sensor de pulso defectoso (sulfatado) tramo de cable es _x000a_remplazado quedando equipo operativo"/>
    <m/>
    <x v="4"/>
    <n v="10"/>
  </r>
  <r>
    <x v="15"/>
    <x v="88"/>
    <s v="Maurico Orellana"/>
    <x v="176"/>
    <x v="0"/>
    <x v="1"/>
    <x v="12"/>
    <s v="cable de sensor de pulso defectuoso (sulfatada). tramo de cable es remplazado quedando totalmente operativo."/>
    <m/>
    <x v="4"/>
    <n v="10"/>
  </r>
  <r>
    <x v="15"/>
    <x v="83"/>
    <s v="Maurico Orellana"/>
    <x v="474"/>
    <x v="1"/>
    <x v="2"/>
    <x v="3"/>
    <s v="actualización programa de control en todo los puntos."/>
    <m/>
    <x v="4"/>
    <n v="10"/>
  </r>
  <r>
    <x v="15"/>
    <x v="83"/>
    <s v="Maurico Orellana"/>
    <x v="474"/>
    <x v="0"/>
    <x v="1"/>
    <x v="12"/>
    <s v="restauracion de cañeria corriente debil, tramo map a _x000a_gabinete matriz principal."/>
    <m/>
    <x v="4"/>
    <n v="10"/>
  </r>
  <r>
    <x v="15"/>
    <x v="88"/>
    <s v="Maurico Orellana"/>
    <x v="474"/>
    <x v="0"/>
    <x v="0"/>
    <x v="28"/>
    <s v="rerstauracion de cañeria corriente debil tamaño map a gabinete matriz principal."/>
    <m/>
    <x v="4"/>
    <n v="10"/>
  </r>
  <r>
    <x v="15"/>
    <x v="88"/>
    <s v="Maurico Orellana"/>
    <x v="475"/>
    <x v="0"/>
    <x v="0"/>
    <x v="14"/>
    <s v="memoria defectuosa , esta es remplazada, equipo 100% operativo"/>
    <m/>
    <x v="4"/>
    <n v="11"/>
  </r>
  <r>
    <x v="15"/>
    <x v="88"/>
    <s v="Maurico Orellana"/>
    <x v="101"/>
    <x v="0"/>
    <x v="0"/>
    <x v="0"/>
    <s v="desconexion a causa de placa pegada, esta es remplazada + integrado pik it _x000a_sulfato en bornes de conexion pick it."/>
    <m/>
    <x v="0"/>
    <n v="7"/>
  </r>
  <r>
    <x v="15"/>
    <x v="107"/>
    <s v="Maurico Orellana"/>
    <x v="476"/>
    <x v="0"/>
    <x v="3"/>
    <x v="21"/>
    <s v="router en estado &quot;pegaado&quot; este es reiniciado, equipo 100% operativo."/>
    <m/>
    <x v="0"/>
    <n v="8"/>
  </r>
  <r>
    <x v="15"/>
    <x v="80"/>
    <s v="Maurico Orellana"/>
    <x v="5"/>
    <x v="0"/>
    <x v="0"/>
    <x v="9"/>
    <s v="placa dañada por sulfatacion, esta es remplazada, equipo de monitoreo _x000a_100% operativo"/>
    <m/>
    <x v="0"/>
    <n v="9"/>
  </r>
  <r>
    <x v="15"/>
    <x v="53"/>
    <s v="Maurico Orellana"/>
    <x v="24"/>
    <x v="0"/>
    <x v="3"/>
    <x v="6"/>
    <s v="problema de memoria no guarda data, este es remplazado"/>
    <m/>
    <x v="1"/>
    <n v="1"/>
  </r>
  <r>
    <x v="15"/>
    <x v="79"/>
    <s v="Maurico Orellana"/>
    <x v="54"/>
    <x v="0"/>
    <x v="0"/>
    <x v="9"/>
    <s v="equipo con problemas de pulso, placa es remplazada"/>
    <m/>
    <x v="1"/>
    <n v="2"/>
  </r>
  <r>
    <x v="15"/>
    <x v="88"/>
    <s v="Maurico Orellana"/>
    <x v="91"/>
    <x v="0"/>
    <x v="2"/>
    <x v="18"/>
    <s v="desconexion por cable de red en mal estado, este es remplazado"/>
    <m/>
    <x v="1"/>
    <n v="3"/>
  </r>
  <r>
    <x v="15"/>
    <x v="88"/>
    <s v="Maurico Orellana"/>
    <x v="477"/>
    <x v="0"/>
    <x v="0"/>
    <x v="9"/>
    <s v="placa electronica con reguladores quemados, tambien se daña placa roja de _x000a_comunicacion, placa mas tarjeta roja son remplazados equipo queda operativo"/>
    <m/>
    <x v="1"/>
    <n v="5"/>
  </r>
  <r>
    <x v="15"/>
    <x v="81"/>
    <s v="Maurico Orellana"/>
    <x v="478"/>
    <x v="0"/>
    <x v="0"/>
    <x v="24"/>
    <s v="desconexion por ruido electrico, desconfiguracion_x000a_interfaz, equipo es reprogramado y conectado"/>
    <m/>
    <x v="1"/>
    <n v="12"/>
  </r>
  <r>
    <x v="10"/>
    <x v="55"/>
    <s v="Anibal Aranda"/>
    <x v="479"/>
    <x v="3"/>
    <x v="8"/>
    <x v="18"/>
    <s v="Emplame Electrico"/>
    <m/>
    <x v="6"/>
    <n v="12"/>
  </r>
  <r>
    <x v="10"/>
    <x v="41"/>
    <s v="Anibal Aranda"/>
    <x v="479"/>
    <x v="3"/>
    <x v="8"/>
    <x v="18"/>
    <s v="Emplame Electrico"/>
    <m/>
    <x v="6"/>
    <n v="12"/>
  </r>
  <r>
    <x v="10"/>
    <x v="87"/>
    <s v="Anibal Aranda"/>
    <x v="479"/>
    <x v="3"/>
    <x v="8"/>
    <x v="18"/>
    <s v="Emplame Electrico"/>
    <m/>
    <x v="6"/>
    <n v="12"/>
  </r>
  <r>
    <x v="10"/>
    <x v="46"/>
    <s v="Anibal Aranda"/>
    <x v="479"/>
    <x v="3"/>
    <x v="8"/>
    <x v="18"/>
    <s v="Emplame Electrico"/>
    <m/>
    <x v="6"/>
    <n v="12"/>
  </r>
  <r>
    <x v="10"/>
    <x v="46"/>
    <s v="Anibal Aranda"/>
    <x v="479"/>
    <x v="1"/>
    <x v="9"/>
    <x v="36"/>
    <s v="Lectura 000201"/>
    <m/>
    <x v="6"/>
    <n v="12"/>
  </r>
  <r>
    <x v="10"/>
    <x v="87"/>
    <s v="Anibal Aranda"/>
    <x v="479"/>
    <x v="1"/>
    <x v="9"/>
    <x v="36"/>
    <s v="Lectura 000503"/>
    <m/>
    <x v="6"/>
    <n v="12"/>
  </r>
  <r>
    <x v="10"/>
    <x v="41"/>
    <s v="Anibal Aranda"/>
    <x v="479"/>
    <x v="1"/>
    <x v="9"/>
    <x v="36"/>
    <s v="Lectura 000605"/>
    <m/>
    <x v="6"/>
    <n v="12"/>
  </r>
  <r>
    <x v="10"/>
    <x v="55"/>
    <s v="Anibal Aranda"/>
    <x v="479"/>
    <x v="1"/>
    <x v="9"/>
    <x v="36"/>
    <s v="Lectura 000320"/>
    <m/>
    <x v="6"/>
    <n v="12"/>
  </r>
  <r>
    <x v="10"/>
    <x v="41"/>
    <s v="Anibal Aranda"/>
    <x v="480"/>
    <x v="0"/>
    <x v="1"/>
    <x v="47"/>
    <s v="Retiro de medidor WES mas instalacion de manometro_x000a_Matriz mantiene baja presion 0.5 bar"/>
    <m/>
    <x v="6"/>
    <n v="12"/>
  </r>
  <r>
    <x v="10"/>
    <x v="41"/>
    <s v="Anibal Aranda"/>
    <x v="481"/>
    <x v="0"/>
    <x v="1"/>
    <x v="7"/>
    <s v="Sistema sin medidor por solicitud del cliente"/>
    <m/>
    <x v="6"/>
    <n v="12"/>
  </r>
  <r>
    <x v="10"/>
    <x v="55"/>
    <s v="Anibal Aranda"/>
    <x v="481"/>
    <x v="0"/>
    <x v="0"/>
    <x v="9"/>
    <s v="Circuito de respaldo esta en corte por falla en el rele._x000a_Se elimina circuito de respaldo"/>
    <m/>
    <x v="6"/>
    <n v="12"/>
  </r>
  <r>
    <x v="10"/>
    <x v="46"/>
    <s v="Anibal Aranda"/>
    <x v="481"/>
    <x v="0"/>
    <x v="0"/>
    <x v="14"/>
    <s v="Data completa desde el 13-12-2022 hasta 26-12-2022._x000a_Por error en memoria se realiza el cambio"/>
    <m/>
    <x v="6"/>
    <n v="12"/>
  </r>
  <r>
    <x v="10"/>
    <x v="87"/>
    <s v="Anibal Aranda"/>
    <x v="481"/>
    <x v="0"/>
    <x v="0"/>
    <x v="28"/>
    <s v="Circuito de respaldo esta en corte por falla en el rele y guardado de memoria._x000a_Se elimina el circuito de reapaldo yu se remplaza memoria"/>
    <m/>
    <x v="6"/>
    <n v="12"/>
  </r>
  <r>
    <x v="10"/>
    <x v="41"/>
    <s v="Maurico Orellana"/>
    <x v="482"/>
    <x v="0"/>
    <x v="3"/>
    <x v="55"/>
    <s v="Conectivida defectuosa por Max 232 y porque la lluvia mojo el router agunsa el cual requiere cambio"/>
    <m/>
    <x v="5"/>
    <n v="5"/>
  </r>
  <r>
    <x v="10"/>
    <x v="41"/>
    <s v="Maurico Orellana"/>
    <x v="483"/>
    <x v="0"/>
    <x v="1"/>
    <x v="12"/>
    <s v="Sensor de pulso fuera del medidor, se realiza una contramedida dejando fijado con amarras plasticas"/>
    <m/>
    <x v="5"/>
    <n v="5"/>
  </r>
  <r>
    <x v="19"/>
    <x v="98"/>
    <s v="Anibal Aranda"/>
    <x v="484"/>
    <x v="0"/>
    <x v="1"/>
    <x v="47"/>
    <s v="Medior defectuaoso, no gira por lo tanto no emite pulso"/>
    <m/>
    <x v="6"/>
    <n v="8"/>
  </r>
  <r>
    <x v="19"/>
    <x v="98"/>
    <s v="Anibal Aranda"/>
    <x v="485"/>
    <x v="1"/>
    <x v="3"/>
    <x v="52"/>
    <s v="Activacion de amplimax"/>
    <m/>
    <x v="6"/>
    <n v="10"/>
  </r>
  <r>
    <x v="19"/>
    <x v="98"/>
    <s v="Anibal Aranda"/>
    <x v="485"/>
    <x v="0"/>
    <x v="1"/>
    <x v="47"/>
    <s v="Mantenimiento completo a medidor de agua, por porblemas de contaminacion en el interior"/>
    <m/>
    <x v="6"/>
    <n v="10"/>
  </r>
  <r>
    <x v="19"/>
    <x v="98"/>
    <s v="Anibal Aranda"/>
    <x v="486"/>
    <x v="7"/>
    <x v="1"/>
    <x v="18"/>
    <s v="Instalacion de sistema de monitore WES"/>
    <m/>
    <x v="3"/>
    <n v="5"/>
  </r>
  <r>
    <x v="20"/>
    <x v="108"/>
    <s v="Maurico Orellana"/>
    <x v="487"/>
    <x v="0"/>
    <x v="1"/>
    <x v="47"/>
    <s v="Medidor detenido por teflon liquido en su interior"/>
    <m/>
    <x v="5"/>
    <n v="6"/>
  </r>
  <r>
    <x v="20"/>
    <x v="109"/>
    <s v="Maurico Orellana"/>
    <x v="487"/>
    <x v="0"/>
    <x v="1"/>
    <x v="47"/>
    <s v="Medidor detenido por teflon liquido en su interior"/>
    <m/>
    <x v="5"/>
    <n v="6"/>
  </r>
  <r>
    <x v="20"/>
    <x v="109"/>
    <s v="Maurico Orellana"/>
    <x v="488"/>
    <x v="0"/>
    <x v="1"/>
    <x v="47"/>
    <s v="Cambio de medidor itron por medidor de inoxidable."/>
    <m/>
    <x v="5"/>
    <n v="5"/>
  </r>
  <r>
    <x v="20"/>
    <x v="108"/>
    <s v="Maurico Orellana"/>
    <x v="488"/>
    <x v="0"/>
    <x v="1"/>
    <x v="47"/>
    <s v="Cambio de medidor itron por medidor de inoxidable."/>
    <m/>
    <x v="5"/>
    <n v="5"/>
  </r>
  <r>
    <x v="20"/>
    <x v="83"/>
    <s v="Mirko Lorca"/>
    <x v="489"/>
    <x v="0"/>
    <x v="4"/>
    <x v="19"/>
    <s v="Fuente de poder dañanda genera problemas en el monitoreo. Se realiza cambio de fuente para evitar futuros problemas._x000a_Dejando el equipo 100% operativo"/>
    <m/>
    <x v="5"/>
    <n v="3"/>
  </r>
  <r>
    <x v="20"/>
    <x v="108"/>
    <s v="Mirko Lorca"/>
    <x v="490"/>
    <x v="0"/>
    <x v="0"/>
    <x v="9"/>
    <s v="Regulador de voltaje 7809 genera que el ruoter no este alimentado._x000a_Se realiza cambio de regulador quedando operativo"/>
    <m/>
    <x v="5"/>
    <n v="3"/>
  </r>
  <r>
    <x v="20"/>
    <x v="110"/>
    <s v="Mirko Lorca"/>
    <x v="491"/>
    <x v="1"/>
    <x v="9"/>
    <x v="32"/>
    <s v="Validacion de data App V/S Lectura medidor"/>
    <m/>
    <x v="5"/>
    <n v="1"/>
  </r>
  <r>
    <x v="20"/>
    <x v="111"/>
    <s v="Mirko Lorca"/>
    <x v="491"/>
    <x v="1"/>
    <x v="9"/>
    <x v="32"/>
    <s v="Validacion de data App V/S Lectura medidor"/>
    <m/>
    <x v="5"/>
    <n v="1"/>
  </r>
  <r>
    <x v="20"/>
    <x v="109"/>
    <s v="Mirko Lorca"/>
    <x v="491"/>
    <x v="1"/>
    <x v="9"/>
    <x v="32"/>
    <s v="Validacion de data App V/S Lectura medidor"/>
    <m/>
    <x v="5"/>
    <n v="1"/>
  </r>
  <r>
    <x v="20"/>
    <x v="108"/>
    <s v="Mirko Lorca"/>
    <x v="491"/>
    <x v="1"/>
    <x v="9"/>
    <x v="32"/>
    <s v="Validacion de data App V/S Lectura medidor"/>
    <m/>
    <x v="5"/>
    <n v="1"/>
  </r>
  <r>
    <x v="20"/>
    <x v="112"/>
    <s v="Mirko Lorca"/>
    <x v="491"/>
    <x v="1"/>
    <x v="9"/>
    <x v="32"/>
    <s v="Validacion de data App V/S Lectura medidor"/>
    <m/>
    <x v="5"/>
    <n v="1"/>
  </r>
  <r>
    <x v="20"/>
    <x v="111"/>
    <s v="Anibal Aranda"/>
    <x v="492"/>
    <x v="0"/>
    <x v="1"/>
    <x v="47"/>
    <s v="Reviosn de medidor, contaminacion detiene aspa de movimeiento mecanico_x000a_Se limpia dejando el medidor 100% operativo"/>
    <m/>
    <x v="5"/>
    <n v="1"/>
  </r>
  <r>
    <x v="17"/>
    <x v="66"/>
    <s v="Maurico Orellana"/>
    <x v="493"/>
    <x v="1"/>
    <x v="9"/>
    <x v="36"/>
    <s v="termino auditoria sin control, comienzo auditoria con control_x000a_lectura medidor red sur ; 350957- - lectura medidor sacyr; 775488"/>
    <m/>
    <x v="5"/>
    <n v="6"/>
  </r>
  <r>
    <x v="3"/>
    <x v="4"/>
    <s v="Anibal Aranda"/>
    <x v="494"/>
    <x v="0"/>
    <x v="1"/>
    <x v="16"/>
    <s v="visita por urgencia, colegio queda sin agua, se visita establesimiento y se detecta solenoide_x000a_defectuosa, se remplazan 2 solenoides dejando sistema operativo 100%_x000a_lectura medidor; 287247"/>
    <m/>
    <x v="5"/>
    <n v="6"/>
  </r>
  <r>
    <x v="3"/>
    <x v="4"/>
    <s v="Anibal Aranda"/>
    <x v="495"/>
    <x v="1"/>
    <x v="2"/>
    <x v="39"/>
    <s v="actualizacion de conectividad, cambio de pic, sistema 100% operativo"/>
    <m/>
    <x v="5"/>
    <n v="5"/>
  </r>
  <r>
    <x v="3"/>
    <x v="4"/>
    <s v="Anibal Aranda"/>
    <x v="496"/>
    <x v="0"/>
    <x v="1"/>
    <x v="8"/>
    <s v="reparacion de valvula alta presion."/>
    <m/>
    <x v="6"/>
    <n v="8"/>
  </r>
  <r>
    <x v="3"/>
    <x v="4"/>
    <s v="Anibal Aranda"/>
    <x v="497"/>
    <x v="0"/>
    <x v="4"/>
    <x v="28"/>
    <s v="automatico que alimenta cir wes se encuentra caido, por lo tanto sistema cpa se encuentra fuera de fincion._x000a_se normaliza automatico quedando sistema operativo."/>
    <m/>
    <x v="6"/>
    <n v="12"/>
  </r>
  <r>
    <x v="15"/>
    <x v="83"/>
    <s v="Maurico Orellana"/>
    <x v="469"/>
    <x v="0"/>
    <x v="1"/>
    <x v="7"/>
    <s v="sensor de pulso fuera de postura por reparacion hidrca efectuada._x000a_esta es reinstalada quedando operativo."/>
    <m/>
    <x v="4"/>
    <n v="6"/>
  </r>
  <r>
    <x v="15"/>
    <x v="83"/>
    <s v="Maurico Orellana"/>
    <x v="469"/>
    <x v="0"/>
    <x v="1"/>
    <x v="7"/>
    <s v="sensor de pulso fuera de postura por reparacion hidrca efectuada._x000a_esta es reinstalada quedando operativo."/>
    <m/>
    <x v="4"/>
    <n v="6"/>
  </r>
  <r>
    <x v="3"/>
    <x v="4"/>
    <s v="Anibal Aranda"/>
    <x v="420"/>
    <x v="1"/>
    <x v="0"/>
    <x v="45"/>
    <s v="visita por cambio de modem, sistema queda conectado y comunicando a app wes"/>
    <m/>
    <x v="6"/>
    <n v="4"/>
  </r>
  <r>
    <x v="3"/>
    <x v="4"/>
    <s v="Mirko Lorca"/>
    <x v="413"/>
    <x v="0"/>
    <x v="1"/>
    <x v="5"/>
    <s v="regulacion programacion; 06:00&gt;23:00- -programacion nocturna en corte, revision de placa, _x000a_revision de programacion, sistema funcionando."/>
    <m/>
    <x v="6"/>
    <n v="3"/>
  </r>
  <r>
    <x v="3"/>
    <x v="4"/>
    <s v="Anibal Aranda"/>
    <x v="498"/>
    <x v="0"/>
    <x v="1"/>
    <x v="16"/>
    <s v="visita por emergencia, se activa llave de emergencia por solenoide defectuoso, se cambia solenoide_x000a_y valvula de sistema queda trabajando 100%. lectura medidor; 312543"/>
    <m/>
    <x v="6"/>
    <n v="2"/>
  </r>
  <r>
    <x v="3"/>
    <x v="4"/>
    <s v="Cristian Sepulveda"/>
    <x v="499"/>
    <x v="7"/>
    <x v="1"/>
    <x v="18"/>
    <s v="medidor de sistema wes detenido por contaminacion al interior de la turbina, motivo por el cual marca cero _x000a_en app wes, se retira objeto y medidor queda 100% operativo._x000a_lectura medidor las tarrias; 311663"/>
    <m/>
    <x v="3"/>
    <n v="12"/>
  </r>
  <r>
    <x v="3"/>
    <x v="4"/>
    <s v="Anibal Aranda"/>
    <x v="500"/>
    <x v="7"/>
    <x v="1"/>
    <x v="18"/>
    <m/>
    <m/>
    <x v="3"/>
    <n v="11"/>
  </r>
  <r>
    <x v="3"/>
    <x v="4"/>
    <s v="Cristian Sepulveda"/>
    <x v="501"/>
    <x v="7"/>
    <x v="4"/>
    <x v="18"/>
    <s v="fuente switching mala por lo que se remplaza por una nueva._x000a_se remplazan 2 solenoides, y se ajustan caudales; alta 120LxM- -baja 80LxM"/>
    <m/>
    <x v="3"/>
    <n v="6"/>
  </r>
  <r>
    <x v="3"/>
    <x v="4"/>
    <s v="Cristian Sepulveda"/>
    <x v="502"/>
    <x v="7"/>
    <x v="1"/>
    <x v="18"/>
    <s v="se detecta membrana en mal estado por lo que se deja una sola valvula en funcionamiento."/>
    <m/>
    <x v="3"/>
    <n v="6"/>
  </r>
  <r>
    <x v="3"/>
    <x v="4"/>
    <s v="Cristian Sepulveda"/>
    <x v="503"/>
    <x v="7"/>
    <x v="1"/>
    <x v="18"/>
    <s v="se cambian 2 membranas de ambas valvulas de control, y 2 solenoides , se programa horario"/>
    <m/>
    <x v="3"/>
    <n v="10"/>
  </r>
  <r>
    <x v="3"/>
    <x v="4"/>
    <s v="Cristian Sepulveda"/>
    <x v="504"/>
    <x v="7"/>
    <x v="0"/>
    <x v="18"/>
    <s v="se cambia memoria del sistema wes por problemas visualen en app ( no guarda los LxM)"/>
    <m/>
    <x v="3"/>
    <n v="10"/>
  </r>
  <r>
    <x v="3"/>
    <x v="4"/>
    <s v="Mirko Lorca"/>
    <x v="505"/>
    <x v="0"/>
    <x v="1"/>
    <x v="7"/>
    <s v="apertura valvula bypass, por toma en colegio."/>
    <m/>
    <x v="6"/>
    <n v="5"/>
  </r>
  <r>
    <x v="3"/>
    <x v="4"/>
    <s v="Anibal Aranda"/>
    <x v="506"/>
    <x v="7"/>
    <x v="1"/>
    <x v="18"/>
    <s v="visita por baja presion baños segundo piso, se hace la apertura de sistema wes al 100%, se revisa baño segundo piso sin encontrar diferencia de caudal_x000a_se normaliza sistema en regulacion y horario."/>
    <m/>
    <x v="3"/>
    <n v="10"/>
  </r>
  <r>
    <x v="3"/>
    <x v="4"/>
    <s v="Anibal Aranda"/>
    <x v="507"/>
    <x v="7"/>
    <x v="1"/>
    <x v="18"/>
    <s v="visita por falta de agua, se revisa sistema sin encontrar problemas, revision de puntos en el colegio, _x000a_todos los puntos con agua."/>
    <m/>
    <x v="3"/>
    <n v="4"/>
  </r>
  <r>
    <x v="3"/>
    <x v="4"/>
    <s v="Anibal Aranda"/>
    <x v="508"/>
    <x v="7"/>
    <x v="1"/>
    <x v="18"/>
    <s v="se aumenta caudal de un 40% a un 70% para llegar con caudal y presion suficiente a casino."/>
    <m/>
    <x v="2"/>
    <n v="11"/>
  </r>
  <r>
    <x v="3"/>
    <x v="4"/>
    <s v="Anibal Aranda"/>
    <x v="509"/>
    <x v="7"/>
    <x v="1"/>
    <x v="18"/>
    <s v="se aumenta caudal de un 40% a un 70% para llegar con caudal y presion suficiente a casino."/>
    <m/>
    <x v="2"/>
    <n v="10"/>
  </r>
  <r>
    <x v="3"/>
    <x v="4"/>
    <s v="Anibal Aranda"/>
    <x v="510"/>
    <x v="1"/>
    <x v="9"/>
    <x v="36"/>
    <s v="fin auditoria con control; 249745"/>
    <m/>
    <x v="2"/>
    <n v="9"/>
  </r>
  <r>
    <x v="3"/>
    <x v="4"/>
    <s v="Anibal Aranda"/>
    <x v="511"/>
    <x v="1"/>
    <x v="9"/>
    <x v="36"/>
    <s v="fin auditoria sin control, inicio auditoria con control.; 249195"/>
    <m/>
    <x v="2"/>
    <n v="9"/>
  </r>
  <r>
    <x v="3"/>
    <x v="4"/>
    <s v="Anibal Aranda"/>
    <x v="512"/>
    <x v="1"/>
    <x v="9"/>
    <x v="36"/>
    <s v="fin auditoria sin control, inicio auditoria con control.; 247202"/>
    <m/>
    <x v="2"/>
    <n v="9"/>
  </r>
  <r>
    <x v="3"/>
    <x v="4"/>
    <s v="Anibal Aranda"/>
    <x v="513"/>
    <x v="1"/>
    <x v="9"/>
    <x v="35"/>
    <s v="inicio de auditoria sin control. lectura medidor; 245743"/>
    <m/>
    <x v="2"/>
    <n v="8"/>
  </r>
  <r>
    <x v="3"/>
    <x v="4"/>
    <s v="Anibal Aranda"/>
    <x v="514"/>
    <x v="1"/>
    <x v="1"/>
    <x v="15"/>
    <s v="programacion horarios; 07:00&gt;17:00 alta- - 17:00&gt;23:59 baja _x000a_se realiza cambio de solenoide, se revisa presion y caudal en casino 2do piso, resepcion conforme."/>
    <m/>
    <x v="3"/>
    <n v="3"/>
  </r>
  <r>
    <x v="3"/>
    <x v="4"/>
    <s v="Anibal Aranda"/>
    <x v="515"/>
    <x v="7"/>
    <x v="1"/>
    <x v="18"/>
    <s v="problemas en corte de agua por una llave manipulada al interior del colegio, visita sirvio para ajustar sistema que fue modificado, pensando que el problema estaba en el sistema cpa."/>
    <m/>
    <x v="7"/>
    <n v="11"/>
  </r>
  <r>
    <x v="3"/>
    <x v="4"/>
    <s v="Anibal Aranda"/>
    <x v="516"/>
    <x v="7"/>
    <x v="1"/>
    <x v="18"/>
    <s v="se realiza ajuste de horario para regulacion de caudal._x000a_alta; 07:00&gt;13:00_x000a_baja 13:00&gt;20:00_x000a_"/>
    <s v="se agenda ajuste de prision para elecciones de peru el dia 25 y 26 de enero"/>
    <x v="7"/>
    <n v="12"/>
  </r>
  <r>
    <x v="3"/>
    <x v="4"/>
    <s v="Anibal Aranda"/>
    <x v="517"/>
    <x v="7"/>
    <x v="1"/>
    <x v="18"/>
    <s v="se revisa condicion de calefont y casiono, funcionando sin problema; la falta de agua no es lineal, depende del dia y la noche, por ese motivo se deside _x000a_realizar una prueba dejando el 100% del caudal en horario de 06:00&gt;17:30 durante 7 dias para evaluar el funcionamiento de la red hidrica,_x000a_se registra lectura medidor aguas andinas para ver el aumento de consumo. lectura; 206050"/>
    <m/>
    <x v="7"/>
    <n v="10"/>
  </r>
  <r>
    <x v="0"/>
    <x v="21"/>
    <s v="Maurico Orellana"/>
    <x v="493"/>
    <x v="0"/>
    <x v="0"/>
    <x v="14"/>
    <s v="visita por emergencia, desconfiguracion de horario, se realiza chequeo de memoria quedando ok._x000a_se cambia solenoide en valvula quedando operativa, queda en funcionamiento solo valvula de altaen horario 6:30&gt;23:30,_x000a_cambio de placa wes por voltajes erroneos."/>
    <m/>
    <x v="5"/>
    <n v="6"/>
  </r>
  <r>
    <x v="17"/>
    <x v="67"/>
    <s v="Maurico Orellana"/>
    <x v="518"/>
    <x v="1"/>
    <x v="9"/>
    <x v="36"/>
    <s v="termino de auditoria _x000a_lectura medidor red impulsion; 381588_x000a_lectura medidor red sur ; 351259_x000a_lectura medidor sacyr ; 777585"/>
    <s v="rendimiento red impulsion ; 47%_x000a_rendimiento red sur; 28%"/>
    <x v="5"/>
    <n v="6"/>
  </r>
  <r>
    <x v="17"/>
    <x v="62"/>
    <s v="Maurico Orellana"/>
    <x v="493"/>
    <x v="1"/>
    <x v="4"/>
    <x v="19"/>
    <s v="cambio preventivo de fuente switching 5v"/>
    <m/>
    <x v="5"/>
    <n v="6"/>
  </r>
  <r>
    <x v="3"/>
    <x v="4"/>
    <s v="Anibal Aranda"/>
    <x v="519"/>
    <x v="1"/>
    <x v="9"/>
    <x v="35"/>
    <s v="auditoria ; 187243"/>
    <m/>
    <x v="7"/>
    <n v="5"/>
  </r>
  <r>
    <x v="3"/>
    <x v="4"/>
    <s v="Anibal Aranda"/>
    <x v="520"/>
    <x v="1"/>
    <x v="9"/>
    <x v="35"/>
    <s v="auditoria sin control; 186934"/>
    <m/>
    <x v="7"/>
    <n v="5"/>
  </r>
  <r>
    <x v="3"/>
    <x v="4"/>
    <s v="Anibal Aranda"/>
    <x v="521"/>
    <x v="1"/>
    <x v="9"/>
    <x v="35"/>
    <s v="auditoria sin control; 186506"/>
    <m/>
    <x v="7"/>
    <n v="5"/>
  </r>
  <r>
    <x v="3"/>
    <x v="4"/>
    <s v="Anibal Aranda"/>
    <x v="522"/>
    <x v="1"/>
    <x v="9"/>
    <x v="35"/>
    <s v="registro lectura medidor para informe fin auditoria 182385"/>
    <s v="mantencion de medidor wes."/>
    <x v="7"/>
    <n v="4"/>
  </r>
  <r>
    <x v="3"/>
    <x v="4"/>
    <s v="Anibal Aranda"/>
    <x v="523"/>
    <x v="1"/>
    <x v="9"/>
    <x v="35"/>
    <s v="registro lectura medidor para informe fin auditoria 182230"/>
    <m/>
    <x v="7"/>
    <n v="4"/>
  </r>
  <r>
    <x v="3"/>
    <x v="4"/>
    <s v="Anibal Aranda"/>
    <x v="524"/>
    <x v="1"/>
    <x v="9"/>
    <x v="35"/>
    <s v="registro lectura medidor para informe; 182014"/>
    <m/>
    <x v="7"/>
    <n v="4"/>
  </r>
  <r>
    <x v="3"/>
    <x v="4"/>
    <s v="Anibal Aranda"/>
    <x v="525"/>
    <x v="1"/>
    <x v="9"/>
    <x v="35"/>
    <s v="registro lectura medidor para informe; 181807"/>
    <m/>
    <x v="7"/>
    <n v="4"/>
  </r>
  <r>
    <x v="3"/>
    <x v="4"/>
    <s v="Anibal Aranda"/>
    <x v="526"/>
    <x v="7"/>
    <x v="1"/>
    <x v="18"/>
    <m/>
    <m/>
    <x v="7"/>
    <n v="3"/>
  </r>
  <r>
    <x v="12"/>
    <x v="78"/>
    <s v="Anibal Aranda"/>
    <x v="527"/>
    <x v="0"/>
    <x v="3"/>
    <x v="7"/>
    <s v="problema de conexion punto a punto."/>
    <m/>
    <x v="5"/>
    <n v="4"/>
  </r>
  <r>
    <x v="12"/>
    <x v="105"/>
    <s v="Anibal Aranda"/>
    <x v="527"/>
    <x v="1"/>
    <x v="1"/>
    <x v="15"/>
    <s v="limpieza de cpa wes,"/>
    <m/>
    <x v="5"/>
    <n v="4"/>
  </r>
  <r>
    <x v="12"/>
    <x v="105"/>
    <s v="Anibal Aranda"/>
    <x v="527"/>
    <x v="0"/>
    <x v="1"/>
    <x v="12"/>
    <s v="reconexion sensor de pulso puntos high school, elementary , teatro."/>
    <m/>
    <x v="5"/>
    <n v="4"/>
  </r>
  <r>
    <x v="12"/>
    <x v="51"/>
    <s v="Anibal Aranda"/>
    <x v="528"/>
    <x v="0"/>
    <x v="1"/>
    <x v="7"/>
    <s v="llave de manometro abierta provoca inundacion, se vacia sistema._x000a_pendiente revicion de medidor estanque b"/>
    <m/>
    <x v="6"/>
    <n v="11"/>
  </r>
  <r>
    <x v="12"/>
    <x v="51"/>
    <s v="Anibal Aranda"/>
    <x v="529"/>
    <x v="0"/>
    <x v="1"/>
    <x v="47"/>
    <s v="visita a estanque b por consumo constante de 0 m3 _x000a_se revisa medidor y se detecta relojeria de medidor detenida._x000a_se toma registro fotografico de los puntos high school, elementary, teatro."/>
    <m/>
    <x v="6"/>
    <n v="9"/>
  </r>
  <r>
    <x v="12"/>
    <x v="113"/>
    <s v="Mirko Lorca"/>
    <x v="530"/>
    <x v="0"/>
    <x v="4"/>
    <x v="7"/>
    <s v="tablero wes sin alimentacion por causa del accionamiento de un interruptor automatico _x000a_se normalisa situacion, chequeo de voltajes. por peticion de ricardo se mantiene el sistema sin corte nocturno."/>
    <m/>
    <x v="6"/>
    <n v="2"/>
  </r>
  <r>
    <x v="12"/>
    <x v="113"/>
    <s v="Mirko Lorca"/>
    <x v="531"/>
    <x v="1"/>
    <x v="0"/>
    <x v="15"/>
    <s v="visita normalización comandos y comunicación placas eléctronicas ,_x000a_chequeo general, revisión y mantención"/>
    <m/>
    <x v="6"/>
    <n v="1"/>
  </r>
  <r>
    <x v="12"/>
    <x v="97"/>
    <s v="Mirko Lorca"/>
    <x v="531"/>
    <x v="1"/>
    <x v="0"/>
    <x v="15"/>
    <s v="visita normalización comandos y comunicación placas eléctronicas ,_x000a_chequeo general, revisión y mantención"/>
    <m/>
    <x v="6"/>
    <n v="1"/>
  </r>
  <r>
    <x v="12"/>
    <x v="105"/>
    <s v="Mirko Lorca"/>
    <x v="531"/>
    <x v="1"/>
    <x v="0"/>
    <x v="15"/>
    <s v="visita normalización comandos y comunicación placas eléctronicas ,_x000a_chequeo general, revisión y mantención"/>
    <m/>
    <x v="6"/>
    <n v="1"/>
  </r>
  <r>
    <x v="12"/>
    <x v="114"/>
    <s v="Anibal Aranda"/>
    <x v="532"/>
    <x v="0"/>
    <x v="1"/>
    <x v="47"/>
    <s v="cambio de cable por problemas de lectura, instalacion de bateria respaldo._x000a_"/>
    <s v="cpa requiere cambio de membrana para poner equipo en funcionamiento."/>
    <x v="6"/>
    <n v="1"/>
  </r>
  <r>
    <x v="12"/>
    <x v="51"/>
    <s v="Anibal Aranda"/>
    <x v="533"/>
    <x v="1"/>
    <x v="1"/>
    <x v="16"/>
    <s v="cambio de solenoide por mantencion preventiva."/>
    <m/>
    <x v="3"/>
    <n v="9"/>
  </r>
  <r>
    <x v="12"/>
    <x v="51"/>
    <s v="Anibal Aranda"/>
    <x v="534"/>
    <x v="1"/>
    <x v="1"/>
    <x v="47"/>
    <s v="mantencion de valvula de contro, cambio de membrana y filtro."/>
    <m/>
    <x v="3"/>
    <n v="5"/>
  </r>
  <r>
    <x v="12"/>
    <x v="51"/>
    <s v="Anibal Aranda"/>
    <x v="535"/>
    <x v="7"/>
    <x v="1"/>
    <x v="18"/>
    <s v="filtracion en matriz que alimenta porteria, la matriz que alimenta del estanque c al b tiene un bypass_x000a_de 63mm que entrega suministro a las dependencias de la porteria."/>
    <m/>
    <x v="3"/>
    <n v="6"/>
  </r>
  <r>
    <x v="12"/>
    <x v="51"/>
    <s v="Anibal Aranda"/>
    <x v="536"/>
    <x v="7"/>
    <x v="1"/>
    <x v="18"/>
    <s v="se sube regulacion nocturna a 150 LxM para evitar desavastecimiento de agua en baño guardias."/>
    <m/>
    <x v="3"/>
    <n v="6"/>
  </r>
  <r>
    <x v="12"/>
    <x v="97"/>
    <s v="Anibal Aranda"/>
    <x v="537"/>
    <x v="7"/>
    <x v="3"/>
    <x v="18"/>
    <s v="regulacion de 20% a 25% en horario pm de 20:00&gt;05:30"/>
    <m/>
    <x v="3"/>
    <n v="6"/>
  </r>
  <r>
    <x v="12"/>
    <x v="97"/>
    <s v="Anibal Aranda"/>
    <x v="537"/>
    <x v="7"/>
    <x v="1"/>
    <x v="18"/>
    <s v="programacion de cpa para control de consumo._x000a_05:30&gt;20:00 100%_x000a_20:00&gt;05:30 20%"/>
    <m/>
    <x v="3"/>
    <n v="6"/>
  </r>
  <r>
    <x v="12"/>
    <x v="43"/>
    <s v="Anibal Aranda"/>
    <x v="538"/>
    <x v="7"/>
    <x v="2"/>
    <x v="18"/>
    <s v="conectividad poso profundo normalizado por equipo it, pero queda reparacion de antena punto a punto del estanque c _x000a_la cual sra revisada por redicom."/>
    <m/>
    <x v="3"/>
    <n v="5"/>
  </r>
  <r>
    <x v="12"/>
    <x v="114"/>
    <s v="Anibal Aranda"/>
    <x v="538"/>
    <x v="0"/>
    <x v="4"/>
    <x v="28"/>
    <s v="sistema desconectado por motivo de automatico caido en tablero de nido, eduardo rivas levanta sistema y vuelve conexion sin problemas."/>
    <m/>
    <x v="3"/>
    <n v="5"/>
  </r>
  <r>
    <x v="12"/>
    <x v="78"/>
    <s v="Anibal Aranda"/>
    <x v="538"/>
    <x v="1"/>
    <x v="9"/>
    <x v="32"/>
    <s v="finalisacion y validacion de funcionamiento sistema de monitoreo estanque c."/>
    <m/>
    <x v="3"/>
    <n v="5"/>
  </r>
  <r>
    <x v="12"/>
    <x v="78"/>
    <s v="Anibal Aranda"/>
    <x v="539"/>
    <x v="1"/>
    <x v="3"/>
    <x v="6"/>
    <s v="se solicita revicion de punto lan en poso profundo y estanque c."/>
    <m/>
    <x v="3"/>
    <n v="5"/>
  </r>
  <r>
    <x v="12"/>
    <x v="43"/>
    <s v="Anibal Aranda"/>
    <x v="539"/>
    <x v="1"/>
    <x v="3"/>
    <x v="6"/>
    <s v="sistema operativo"/>
    <m/>
    <x v="3"/>
    <n v="5"/>
  </r>
  <r>
    <x v="12"/>
    <x v="78"/>
    <s v="Anibal Aranda"/>
    <x v="539"/>
    <x v="7"/>
    <x v="1"/>
    <x v="18"/>
    <s v="revicion funcionamiento medidor estanque c equipo operativo 100%"/>
    <m/>
    <x v="3"/>
    <n v="5"/>
  </r>
  <r>
    <x v="12"/>
    <x v="97"/>
    <s v="Anibal Aranda"/>
    <x v="540"/>
    <x v="7"/>
    <x v="1"/>
    <x v="18"/>
    <s v="filtracion matriz elementary, de 2,7 m3 hora, se realizan pruebas de corte._x000a_por lo anterior se determina que la filtracion esta entre medidor de agua y matriz."/>
    <m/>
    <x v="3"/>
    <n v="4"/>
  </r>
  <r>
    <x v="12"/>
    <x v="44"/>
    <s v="Mirko Lorca"/>
    <x v="541"/>
    <x v="7"/>
    <x v="4"/>
    <x v="18"/>
    <s v="normalisacion de alimentacion tablero picina._x000a_chequeo de sistema y programacion."/>
    <m/>
    <x v="3"/>
    <n v="3"/>
  </r>
  <r>
    <x v="12"/>
    <x v="114"/>
    <s v="Mirko Lorca"/>
    <x v="542"/>
    <x v="0"/>
    <x v="3"/>
    <x v="6"/>
    <s v="programacion de placa conversora, sistema comunicando, tablero control nido, mejora de placa sistema comunicando,_x000a_mejora de tablero picina 3 puntos, estanque c , picina, cancha. revicion y chequeo de sistema."/>
    <m/>
    <x v="3"/>
    <n v="3"/>
  </r>
  <r>
    <x v="12"/>
    <x v="51"/>
    <s v="Anibal Aranda"/>
    <x v="543"/>
    <x v="1"/>
    <x v="0"/>
    <x v="15"/>
    <s v="se realiza mejora de conexiones, mejora en cableado, transformadores reubicados, chequeo de placas,_x000a_cambio en protexion de corto circuito, mediante portafusible para riel din."/>
    <m/>
    <x v="3"/>
    <n v="2"/>
  </r>
  <r>
    <x v="12"/>
    <x v="51"/>
    <s v="Anibal Aranda"/>
    <x v="544"/>
    <x v="7"/>
    <x v="1"/>
    <x v="18"/>
    <m/>
    <m/>
    <x v="3"/>
    <n v="1"/>
  </r>
  <r>
    <x v="12"/>
    <x v="51"/>
    <s v="Anibal Aranda"/>
    <x v="545"/>
    <x v="7"/>
    <x v="3"/>
    <x v="18"/>
    <m/>
    <m/>
    <x v="2"/>
    <n v="10"/>
  </r>
  <r>
    <x v="4"/>
    <x v="91"/>
    <s v="Anibal Aranda"/>
    <x v="495"/>
    <x v="0"/>
    <x v="3"/>
    <x v="41"/>
    <s v="se visita punto por desconexion, cambio de placa comunicacion (placa roja) por sulfato en circuito integrado,_x000a_sistema operativo conectado a app wes."/>
    <m/>
    <x v="5"/>
    <n v="5"/>
  </r>
  <r>
    <x v="4"/>
    <x v="91"/>
    <s v="Anibal Aranda"/>
    <x v="546"/>
    <x v="0"/>
    <x v="3"/>
    <x v="55"/>
    <s v="se interviene punto por desconexion, se remplaza max 232 y pick it"/>
    <m/>
    <x v="5"/>
    <n v="5"/>
  </r>
  <r>
    <x v="4"/>
    <x v="5"/>
    <s v="Anibal Aranda"/>
    <x v="388"/>
    <x v="1"/>
    <x v="1"/>
    <x v="16"/>
    <s v="mantencion preventiva, cambio de solenoide en ambas valvulas 1un NO 1 un NC._x000a_"/>
    <m/>
    <x v="5"/>
    <n v="5"/>
  </r>
  <r>
    <x v="4"/>
    <x v="32"/>
    <s v="Anibal Aranda"/>
    <x v="547"/>
    <x v="0"/>
    <x v="3"/>
    <x v="6"/>
    <s v="mantencion de punto desconectado, se deja conectado a app wes."/>
    <m/>
    <x v="5"/>
    <n v="4"/>
  </r>
  <r>
    <x v="4"/>
    <x v="90"/>
    <s v="Anibal Aranda"/>
    <x v="547"/>
    <x v="0"/>
    <x v="3"/>
    <x v="6"/>
    <s v="mantencion de punto desconectado, se deja conectado a app wes."/>
    <m/>
    <x v="5"/>
    <n v="4"/>
  </r>
  <r>
    <x v="4"/>
    <x v="91"/>
    <s v="Anibal Aranda"/>
    <x v="547"/>
    <x v="0"/>
    <x v="3"/>
    <x v="6"/>
    <s v="mantencion de punto desconectado, se deja conectado a app wes."/>
    <m/>
    <x v="5"/>
    <n v="4"/>
  </r>
  <r>
    <x v="4"/>
    <x v="102"/>
    <s v="Anibal Aranda"/>
    <x v="527"/>
    <x v="0"/>
    <x v="3"/>
    <x v="6"/>
    <s v="mantencion y conexion de todos los puntos desconectados."/>
    <m/>
    <x v="5"/>
    <n v="4"/>
  </r>
  <r>
    <x v="4"/>
    <x v="5"/>
    <s v="Anibal Aranda"/>
    <x v="548"/>
    <x v="0"/>
    <x v="1"/>
    <x v="5"/>
    <s v="nueva programacion orarios y caudales._x000a_lunes a sabado alta presion 05:00&gt;09:00 80%- -12:00&gt;15:00 80%- - 17:00&gt;21:00 80%_x000a_lunes a sabado media presion 09:00&gt;12:00 60%- -15:00&gt;17:00 60%_x000a_horario domingo 1m3 hora."/>
    <m/>
    <x v="5"/>
    <n v="4"/>
  </r>
  <r>
    <x v="4"/>
    <x v="5"/>
    <s v="Anibal Aranda"/>
    <x v="549"/>
    <x v="0"/>
    <x v="1"/>
    <x v="5"/>
    <s v="visita por emergencia, se regula cpa quedando con el siguiente orario."/>
    <s v="presion alta 07:00&gt;09:00- -12:00&gt;15:00- -17:00&gt;21:00_x000a_presion media 09:00&gt;12:00- -15:00&gt;17:00_x000a_presion domingo al 20%de cauadal"/>
    <x v="5"/>
    <n v="4"/>
  </r>
  <r>
    <x v="4"/>
    <x v="5"/>
    <s v="Anibal Aranda"/>
    <x v="439"/>
    <x v="0"/>
    <x v="1"/>
    <x v="5"/>
    <s v="normalizacion sistema cpa"/>
    <m/>
    <x v="6"/>
    <n v="4"/>
  </r>
  <r>
    <x v="4"/>
    <x v="5"/>
    <s v="Anibal Aranda"/>
    <x v="550"/>
    <x v="0"/>
    <x v="1"/>
    <x v="10"/>
    <s v="llave de emergencia activada dia domingo 02-04-2023"/>
    <s v="se realiza nueva programacion para dia domingo; 08:00&gt;08:30- -10:00&gt;10:30- -12&gt;12:30_x000a_14:00&gt;14:30- -16:00&gt;16:30- -18:00&gt;18:30 al 50%"/>
    <x v="5"/>
    <n v="4"/>
  </r>
  <r>
    <x v="17"/>
    <x v="62"/>
    <s v="Maurico Orellana"/>
    <x v="551"/>
    <x v="0"/>
    <x v="1"/>
    <x v="16"/>
    <s v="a causa de solenoide en corte, se quema fusible dejando cir apagado sin conexion._x000a_se remplaza solenoide y fusible,se chequean voltajes, dejando sistema 100% operativo."/>
    <s v="regulacion dia 1050LxM_x000a_regulacion noche 150LxM"/>
    <x v="5"/>
    <n v="6"/>
  </r>
  <r>
    <x v="17"/>
    <x v="67"/>
    <s v="Maurico Orellana"/>
    <x v="551"/>
    <x v="1"/>
    <x v="9"/>
    <x v="35"/>
    <s v="comienzo auditoria sin wes _x000a_lectura medidor; 377413_x000a_lectura sasyr ; 72246"/>
    <s v="se mide amperaje en alimentacion cir desde fuente switching a placa + solenoide 0,57 A_x000a_se mide amperaje desde entrada de fuente switchin 0,05A, se mide amperaje desde salida fuente switching 0,018A"/>
    <x v="5"/>
    <n v="6"/>
  </r>
  <r>
    <x v="17"/>
    <x v="66"/>
    <s v="Maurico Orellana"/>
    <x v="551"/>
    <x v="1"/>
    <x v="9"/>
    <x v="35"/>
    <s v="comienzo auditoria sin wes _x000a_lectura medidor; 350390_x000a_lectura sasyr ; 72246"/>
    <m/>
    <x v="5"/>
    <n v="6"/>
  </r>
  <r>
    <x v="10"/>
    <x v="41"/>
    <s v="Maurico Orellana"/>
    <x v="483"/>
    <x v="0"/>
    <x v="1"/>
    <x v="12"/>
    <s v="sensor de pulso fuera de posocion, se reinstala queda operativo."/>
    <m/>
    <x v="5"/>
    <n v="5"/>
  </r>
  <r>
    <x v="4"/>
    <x v="5"/>
    <s v="Anibal Aranda"/>
    <x v="552"/>
    <x v="1"/>
    <x v="1"/>
    <x v="5"/>
    <s v="Regulacion CPA 05:00&gt;09:00 80%- - 09:00&gt;12:00 50%- - 12:00&gt;15:00 80%- - 15:00&gt;17:00 50%_x000a_17:00&gt;21:00 80%- - 21:00&gt;05:00 8%"/>
    <m/>
    <x v="5"/>
    <n v="3"/>
  </r>
  <r>
    <x v="4"/>
    <x v="5"/>
    <s v="Mirko Lorca"/>
    <x v="489"/>
    <x v="1"/>
    <x v="2"/>
    <x v="39"/>
    <s v="cambio de codigo pick, revicion de puntos de medicion, cambio de horarios invierno."/>
    <m/>
    <x v="5"/>
    <n v="3"/>
  </r>
  <r>
    <x v="4"/>
    <x v="5"/>
    <s v="Anibal Aranda"/>
    <x v="553"/>
    <x v="1"/>
    <x v="9"/>
    <x v="35"/>
    <s v="inicio auditoria sin wes _x000a_lectura medidor; 50612"/>
    <m/>
    <x v="5"/>
    <n v="1"/>
  </r>
  <r>
    <x v="4"/>
    <x v="5"/>
    <s v="Anibal Aranda"/>
    <x v="554"/>
    <x v="1"/>
    <x v="9"/>
    <x v="35"/>
    <s v="regulacion de sistema CPA _x000a_06:00&gt;21:00 alta presion 80% 130LxM_x000a_21:00&gt;06:00 naja presion 20% 30LxM_x000a_"/>
    <s v="fin auditoria sin wes _x000a_lectura medidor; 50813"/>
    <x v="5"/>
    <n v="1"/>
  </r>
  <r>
    <x v="4"/>
    <x v="5"/>
    <s v="Anibal Aranda"/>
    <x v="555"/>
    <x v="0"/>
    <x v="1"/>
    <x v="5"/>
    <s v="entregando el 100% de caudal, la presion de manometro esta en 2,1 bar, dicha condicion impide regular el dia._x000a_regulacion nocturna se regula 60 LxM = al 30% de su maximo caudal._x000a_horario de 05:00&gt;23:50 100% caudal- 00:01&gt;05:00 30%."/>
    <m/>
    <x v="6"/>
    <n v="12"/>
  </r>
  <r>
    <x v="4"/>
    <x v="5"/>
    <s v="Anibal Aranda"/>
    <x v="481"/>
    <x v="1"/>
    <x v="9"/>
    <x v="35"/>
    <s v="comienzo auditoria sin wes_x000a_lectura medidor; 47618"/>
    <m/>
    <x v="6"/>
    <n v="12"/>
  </r>
  <r>
    <x v="4"/>
    <x v="102"/>
    <s v="Anibal Aranda"/>
    <x v="422"/>
    <x v="1"/>
    <x v="3"/>
    <x v="45"/>
    <s v="retiro de modem comunicacion para gestion de actualizacion electronica, todo funcionando ok."/>
    <m/>
    <x v="6"/>
    <n v="3"/>
  </r>
  <r>
    <x v="4"/>
    <x v="33"/>
    <s v="Mirko Lorca"/>
    <x v="556"/>
    <x v="1"/>
    <x v="3"/>
    <x v="15"/>
    <s v="revicion de conectividad, cambio de modem y router."/>
    <m/>
    <x v="3"/>
    <n v="2"/>
  </r>
  <r>
    <x v="4"/>
    <x v="34"/>
    <s v="Mirko Lorca"/>
    <x v="557"/>
    <x v="1"/>
    <x v="0"/>
    <x v="45"/>
    <s v="cambio de placa electronica, normalizacion de conectividad , mantencion general."/>
    <m/>
    <x v="3"/>
    <n v="1"/>
  </r>
  <r>
    <x v="4"/>
    <x v="5"/>
    <s v="Mirko Lorca"/>
    <x v="557"/>
    <x v="1"/>
    <x v="0"/>
    <x v="15"/>
    <s v="normalización de conectividad, mantencion general"/>
    <m/>
    <x v="3"/>
    <n v="1"/>
  </r>
  <r>
    <x v="4"/>
    <x v="100"/>
    <s v="Anibal Aranda"/>
    <x v="558"/>
    <x v="1"/>
    <x v="0"/>
    <x v="15"/>
    <s v="cambio de integrado, modificacion lectura LxM (calibracion) chequeo general, funcionamiento correcto."/>
    <m/>
    <x v="3"/>
    <n v="3"/>
  </r>
  <r>
    <x v="4"/>
    <x v="85"/>
    <s v="Anibal Aranda"/>
    <x v="213"/>
    <x v="7"/>
    <x v="2"/>
    <x v="18"/>
    <s v="actualizacion de sofware de monitoreo WES"/>
    <m/>
    <x v="3"/>
    <n v="3"/>
  </r>
  <r>
    <x v="4"/>
    <x v="102"/>
    <s v="Anibal Aranda"/>
    <x v="213"/>
    <x v="7"/>
    <x v="2"/>
    <x v="18"/>
    <s v="actualizacion de sofware de monitoreo WES"/>
    <m/>
    <x v="3"/>
    <n v="3"/>
  </r>
  <r>
    <x v="4"/>
    <x v="102"/>
    <s v="Anibal Aranda"/>
    <x v="213"/>
    <x v="7"/>
    <x v="2"/>
    <x v="18"/>
    <s v="actualizacion de sofware de monitoreo WES"/>
    <m/>
    <x v="3"/>
    <n v="3"/>
  </r>
  <r>
    <x v="4"/>
    <x v="100"/>
    <s v="Anibal Aranda"/>
    <x v="213"/>
    <x v="7"/>
    <x v="2"/>
    <x v="18"/>
    <s v="actualizacion de sofware de monitoreo WES"/>
    <m/>
    <x v="3"/>
    <n v="3"/>
  </r>
  <r>
    <x v="4"/>
    <x v="86"/>
    <s v="Anibal Aranda"/>
    <x v="213"/>
    <x v="7"/>
    <x v="2"/>
    <x v="18"/>
    <s v="actualizacion de sofware de monitoreo WES"/>
    <m/>
    <x v="3"/>
    <n v="3"/>
  </r>
  <r>
    <x v="4"/>
    <x v="103"/>
    <s v="Anibal Aranda"/>
    <x v="213"/>
    <x v="7"/>
    <x v="2"/>
    <x v="18"/>
    <m/>
    <m/>
    <x v="3"/>
    <n v="3"/>
  </r>
  <r>
    <x v="4"/>
    <x v="103"/>
    <s v="Anibal Aranda"/>
    <x v="559"/>
    <x v="7"/>
    <x v="0"/>
    <x v="18"/>
    <s v="instalacion de sistema monitoreo WES_x000a_esta comprende la instalacion de control inteligente de recurson (CIR) junto con medidor el cual esta cubicando en linea de salida de agua tratada."/>
    <m/>
    <x v="3"/>
    <n v="1"/>
  </r>
  <r>
    <x v="4"/>
    <x v="103"/>
    <s v="Mirko Lorca"/>
    <x v="560"/>
    <x v="7"/>
    <x v="0"/>
    <x v="18"/>
    <s v="al momento de llegar, tablero wes se encuentra abierto con candado cortado._x000a_modem 36 sin datos, posiblemente alguna 3sera persona consumio datos de modem, _x000a_se remplaza max 232, placa conversora sin data, se remplaza y programa, se conectan condensadores electricos en entrada de alimentacion de placa_x000a_y en alimentacion de 5v, esto mara ayudar a filtrar de mejor manera la linea, el sistema queda conectado y enviando datos."/>
    <m/>
    <x v="3"/>
    <n v="2"/>
  </r>
  <r>
    <x v="4"/>
    <x v="103"/>
    <s v="Mirko Lorca"/>
    <x v="95"/>
    <x v="7"/>
    <x v="4"/>
    <x v="18"/>
    <m/>
    <m/>
    <x v="3"/>
    <n v="2"/>
  </r>
  <r>
    <x v="4"/>
    <x v="103"/>
    <s v="Mirko Lorca"/>
    <x v="561"/>
    <x v="7"/>
    <x v="3"/>
    <x v="18"/>
    <s v="se realiza cambio de sistema completo, placa electronica, placa conversora, modem, router, transformador de alimentacion."/>
    <m/>
    <x v="3"/>
    <n v="2"/>
  </r>
  <r>
    <x v="4"/>
    <x v="103"/>
    <s v="Mirko Lorca"/>
    <x v="562"/>
    <x v="7"/>
    <x v="3"/>
    <x v="18"/>
    <s v="se realiza mejora de conectividad, reconfifuracion router, cambio modem 36, mejora de señal."/>
    <m/>
    <x v="3"/>
    <n v="2"/>
  </r>
  <r>
    <x v="17"/>
    <x v="67"/>
    <s v="Maurico Orellana"/>
    <x v="563"/>
    <x v="0"/>
    <x v="1"/>
    <x v="10"/>
    <s v="visita por activacion de llave emergencia."/>
    <s v="se regula caudal nocturno 100LxM, se cambia de valvula por no funcionamiento dejando sistema operativo al 100%"/>
    <x v="5"/>
    <n v="5"/>
  </r>
  <r>
    <x v="17"/>
    <x v="67"/>
    <s v="Anibal Aranda"/>
    <x v="546"/>
    <x v="1"/>
    <x v="3"/>
    <x v="11"/>
    <s v="punto desconectado, se interviene placa wes,cambio de max 232, reloc, memoria, dejando punto conectado funcionanlo al 100 %"/>
    <m/>
    <x v="5"/>
    <n v="5"/>
  </r>
  <r>
    <x v="17"/>
    <x v="66"/>
    <s v="Anibal Aranda"/>
    <x v="564"/>
    <x v="0"/>
    <x v="1"/>
    <x v="12"/>
    <s v="mantencion sensor de pulso sistema operativo 100%"/>
    <m/>
    <x v="5"/>
    <n v="4"/>
  </r>
  <r>
    <x v="17"/>
    <x v="67"/>
    <s v="Anibal Aranda"/>
    <x v="564"/>
    <x v="0"/>
    <x v="0"/>
    <x v="9"/>
    <s v="cambio de placa en cir, se agrega fuente de poder 24v para independizar consumo de amplimax, cambio de fusible proteccion._x000a_"/>
    <m/>
    <x v="5"/>
    <n v="4"/>
  </r>
  <r>
    <x v="17"/>
    <x v="67"/>
    <s v="Anibal Aranda"/>
    <x v="392"/>
    <x v="0"/>
    <x v="1"/>
    <x v="16"/>
    <s v="sistema de control apagado, producto de un corte circuito en solenoide nocturna._x000a_se realiza cambio de solenoide junto con el fusible de proteccion, sistema 100% normalizado"/>
    <m/>
    <x v="5"/>
    <n v="4"/>
  </r>
  <r>
    <x v="17"/>
    <x v="67"/>
    <s v="Anibal Aranda"/>
    <x v="565"/>
    <x v="0"/>
    <x v="1"/>
    <x v="16"/>
    <s v="cambio de placa en cir, cambio de solenoide, se interviene medidor por obtruccion, se encuentra golilla proviniente de bombas anteriormente reparada, se repara medidor y vuelve a funcionamiento normal"/>
    <m/>
    <x v="5"/>
    <n v="4"/>
  </r>
  <r>
    <x v="17"/>
    <x v="67"/>
    <s v="Maurico Orellana"/>
    <x v="489"/>
    <x v="0"/>
    <x v="1"/>
    <x v="47"/>
    <s v="se revisa medidor encontrando golilla proviniente de bombas anteriormente reparadas."/>
    <m/>
    <x v="5"/>
    <n v="3"/>
  </r>
  <r>
    <x v="17"/>
    <x v="67"/>
    <s v="Anibal Aranda"/>
    <x v="566"/>
    <x v="0"/>
    <x v="0"/>
    <x v="40"/>
    <s v="placa con ruidos, impide el buen funcionamiento, se conecta linea 220v aguas arriba para evitar problemas futuros _x000a_se cambia solenoide dañados en ambas valvulas, medidor detenido requiere revision."/>
    <m/>
    <x v="5"/>
    <n v="3"/>
  </r>
  <r>
    <x v="17"/>
    <x v="67"/>
    <s v="Maurico Orellana"/>
    <x v="567"/>
    <x v="0"/>
    <x v="1"/>
    <x v="1"/>
    <s v="cambio de membrana y solenoide en valvuula de alta."/>
    <m/>
    <x v="5"/>
    <n v="3"/>
  </r>
  <r>
    <x v="17"/>
    <x v="66"/>
    <s v="Anibal Aranda"/>
    <x v="568"/>
    <x v="0"/>
    <x v="1"/>
    <x v="16"/>
    <s v="mantencion de solenoide_x000a_regulacion horaria; 06:00&gt;22:00 60% 350LxM_x000a_22:00&gt;06:00 10% 90LxM"/>
    <m/>
    <x v="5"/>
    <n v="1"/>
  </r>
  <r>
    <x v="17"/>
    <x v="66"/>
    <s v="Anibal Aranda"/>
    <x v="569"/>
    <x v="0"/>
    <x v="3"/>
    <x v="6"/>
    <s v="se reconecta sistema con app wes."/>
    <m/>
    <x v="5"/>
    <n v="1"/>
  </r>
  <r>
    <x v="17"/>
    <x v="67"/>
    <s v="Anibal Aranda"/>
    <x v="569"/>
    <x v="1"/>
    <x v="1"/>
    <x v="15"/>
    <s v="se requiere cambio de membrana"/>
    <m/>
    <x v="5"/>
    <n v="1"/>
  </r>
  <r>
    <x v="17"/>
    <x v="67"/>
    <s v="Anibal Aranda"/>
    <x v="570"/>
    <x v="1"/>
    <x v="1"/>
    <x v="5"/>
    <s v="regulacion de caudal alta presion dia; 1200LxM"/>
    <m/>
    <x v="5"/>
    <n v="2"/>
  </r>
  <r>
    <x v="17"/>
    <x v="66"/>
    <s v="Anibal Aranda"/>
    <x v="570"/>
    <x v="1"/>
    <x v="3"/>
    <x v="45"/>
    <s v="cambio de router por actualisacion."/>
    <m/>
    <x v="5"/>
    <n v="2"/>
  </r>
  <r>
    <x v="17"/>
    <x v="67"/>
    <s v="Anibal Aranda"/>
    <x v="571"/>
    <x v="0"/>
    <x v="1"/>
    <x v="13"/>
    <s v="cambio de brida fisurada en valvula de baja presion _x000a_cpa 100% operativo."/>
    <m/>
    <x v="5"/>
    <n v="1"/>
  </r>
  <r>
    <x v="17"/>
    <x v="67"/>
    <s v="Mirko Lorca"/>
    <x v="572"/>
    <x v="1"/>
    <x v="4"/>
    <x v="25"/>
    <s v="se realiza cambio de lugar posicion gabinete wes , sistema con corte nocturno, sistema queda con problemas de comunicacion, se requiere cambiar tarjeta de comunicacion."/>
    <m/>
    <x v="5"/>
    <n v="3"/>
  </r>
  <r>
    <x v="17"/>
    <x v="67"/>
    <s v="Anibal Aranda"/>
    <x v="573"/>
    <x v="0"/>
    <x v="4"/>
    <x v="19"/>
    <s v="cambio de fuente swutching, equipo conectado y comunicando."/>
    <m/>
    <x v="5"/>
    <n v="3"/>
  </r>
  <r>
    <x v="17"/>
    <x v="67"/>
    <s v="Anibal Aranda"/>
    <x v="572"/>
    <x v="0"/>
    <x v="4"/>
    <x v="19"/>
    <s v="cambio de fuente swutching, equipo conectado y comunicando."/>
    <m/>
    <x v="5"/>
    <n v="3"/>
  </r>
  <r>
    <x v="17"/>
    <x v="67"/>
    <s v="Anibal Aranda"/>
    <x v="574"/>
    <x v="0"/>
    <x v="1"/>
    <x v="7"/>
    <s v="se informa que sala de bombas de la unidad sufre inundacion por flotador de corte defectuoso, a causa de esta, gabinete wes se ve afectado por inundacion _x000a_se retiran componentes de gabinete y se programa cambio de componentes para el dia 16/12"/>
    <m/>
    <x v="6"/>
    <n v="12"/>
  </r>
  <r>
    <x v="17"/>
    <x v="67"/>
    <s v="Anibal Aranda"/>
    <x v="575"/>
    <x v="0"/>
    <x v="1"/>
    <x v="10"/>
    <s v="llave bypass abierta, prueba de corte ;OK_x000a_LxM 470 LxM con 2 bombas en funcionamiento; corte 100 LxM, Comunicacion; OK _x000a_"/>
    <s v="faltan 2 bombas para el funcionamiento de salade bombas al 100 %"/>
    <x v="6"/>
    <n v="11"/>
  </r>
  <r>
    <x v="17"/>
    <x v="67"/>
    <s v="Anibal Aranda"/>
    <x v="576"/>
    <x v="0"/>
    <x v="1"/>
    <x v="1"/>
    <s v="cambio de membrana por no activacion de valvula nocturna._x000a_caudal de 3 bombas esta en un 50 % mas bajo de lo normal &gt; 1500LxM a 720LxM"/>
    <m/>
    <x v="6"/>
    <n v="10"/>
  </r>
  <r>
    <x v="17"/>
    <x v="66"/>
    <s v="Cristian Sepulveda"/>
    <x v="577"/>
    <x v="1"/>
    <x v="9"/>
    <x v="35"/>
    <s v="lectura medidor sasyr; 437291_x000a_lectura medidor wes ; 239898"/>
    <m/>
    <x v="6"/>
    <n v="8"/>
  </r>
  <r>
    <x v="17"/>
    <x v="67"/>
    <s v="Cristian Sepulveda"/>
    <x v="577"/>
    <x v="1"/>
    <x v="9"/>
    <x v="35"/>
    <s v="lectura medidor sasyr; 437291_x000a_lectura medidor wes ; 164919"/>
    <m/>
    <x v="6"/>
    <n v="8"/>
  </r>
  <r>
    <x v="17"/>
    <x v="67"/>
    <s v="Anibal Aranda"/>
    <x v="578"/>
    <x v="1"/>
    <x v="0"/>
    <x v="45"/>
    <s v="puesta en marcha valvula de alta presion, actualisacion de sistema de comunicacion de xbee a amplimax."/>
    <s v="horarios programados; alta 06:00&gt;23:00_x000a_baja 23:00&gt;06:00"/>
    <x v="6"/>
    <n v="9"/>
  </r>
  <r>
    <x v="17"/>
    <x v="67"/>
    <s v="Anibal Aranda"/>
    <x v="579"/>
    <x v="1"/>
    <x v="9"/>
    <x v="35"/>
    <s v="lectura medidor sacyr; 429359_x000a_lectura medidor wes; 159942"/>
    <m/>
    <x v="6"/>
    <n v="8"/>
  </r>
  <r>
    <x v="17"/>
    <x v="66"/>
    <s v="Anibal Aranda"/>
    <x v="579"/>
    <x v="1"/>
    <x v="9"/>
    <x v="35"/>
    <s v="lectura medidor sacyr; 429359_x000a_lectura medidor wes; 236964"/>
    <m/>
    <x v="6"/>
    <n v="8"/>
  </r>
  <r>
    <x v="17"/>
    <x v="66"/>
    <s v="Anibal Aranda"/>
    <x v="580"/>
    <x v="1"/>
    <x v="9"/>
    <x v="35"/>
    <s v="lectura medidor sacyr; 420392_x000a_lectura medidor wes; 234703"/>
    <m/>
    <x v="6"/>
    <n v="8"/>
  </r>
  <r>
    <x v="17"/>
    <x v="67"/>
    <s v="Anibal Aranda"/>
    <x v="580"/>
    <x v="1"/>
    <x v="9"/>
    <x v="35"/>
    <s v="lectura medidor sacyr; 420392_x000a_lectura medidor wes; 153101"/>
    <m/>
    <x v="6"/>
    <n v="8"/>
  </r>
  <r>
    <x v="17"/>
    <x v="67"/>
    <s v="Cristian Sepulveda"/>
    <x v="581"/>
    <x v="1"/>
    <x v="1"/>
    <x v="1"/>
    <s v="mantencion preventiva de membrana y solenoide en valvulas de control."/>
    <m/>
    <x v="6"/>
    <n v="4"/>
  </r>
  <r>
    <x v="17"/>
    <x v="66"/>
    <s v="Anibal Aranda"/>
    <x v="582"/>
    <x v="0"/>
    <x v="0"/>
    <x v="6"/>
    <s v="cambio de horario por falla electronica, se restablese horario quedando de la siguiente manera;_x000a_media presion 06:00&gt;19:00 baja presion 19:00&gt;06:00"/>
    <m/>
    <x v="6"/>
    <n v="6"/>
  </r>
  <r>
    <x v="17"/>
    <x v="67"/>
    <s v="Anibal Aranda"/>
    <x v="582"/>
    <x v="0"/>
    <x v="3"/>
    <x v="6"/>
    <s v="reinicio de comunicacion para tomar valores de app wes"/>
    <m/>
    <x v="6"/>
    <n v="6"/>
  </r>
  <r>
    <x v="17"/>
    <x v="67"/>
    <s v="Cristian Sepulveda"/>
    <x v="583"/>
    <x v="1"/>
    <x v="3"/>
    <x v="45"/>
    <s v="se instala equipo de conectividad, equipo 100%operativo"/>
    <s v="control remoto queda desabilitado por problemas en sala de bombas; flotadores de nivel defectuoso."/>
    <x v="6"/>
    <n v="5"/>
  </r>
  <r>
    <x v="17"/>
    <x v="67"/>
    <s v="Anibal Aranda"/>
    <x v="584"/>
    <x v="0"/>
    <x v="0"/>
    <x v="9"/>
    <s v="_x000a_cambio de placa wea, placa sulfatada por condensacion producida en sala de bombas, queda pendiete la coneccion app wes, se requiere cambiar placa de comunicacion (placa roja)_x000a_"/>
    <s v="se deja caudal al 100% devido a falla interna de la unidad, flotadores de corte en llenado de estanque estan fallando."/>
    <x v="6"/>
    <n v="5"/>
  </r>
  <r>
    <x v="17"/>
    <x v="66"/>
    <s v="Anibal Aranda"/>
    <x v="435"/>
    <x v="0"/>
    <x v="1"/>
    <x v="5"/>
    <s v="regulacion nocturna 100 LxM _x000a_regulacion alta 400 LxM"/>
    <m/>
    <x v="6"/>
    <n v="3"/>
  </r>
  <r>
    <x v="17"/>
    <x v="67"/>
    <s v="Anibal Aranda"/>
    <x v="435"/>
    <x v="0"/>
    <x v="1"/>
    <x v="5"/>
    <s v="regulacion nocturna 150 LxM _x000a_regulacion alta 1200 LxM"/>
    <m/>
    <x v="6"/>
    <n v="3"/>
  </r>
  <r>
    <x v="17"/>
    <x v="67"/>
    <s v="Cristian Sepulveda"/>
    <x v="585"/>
    <x v="7"/>
    <x v="1"/>
    <x v="18"/>
    <s v="medidor detenido, requiere revision, se coordina visita tecnica con la unidad."/>
    <m/>
    <x v="3"/>
    <n v="11"/>
  </r>
  <r>
    <x v="17"/>
    <x v="67"/>
    <s v="Cristian Sepulveda"/>
    <x v="586"/>
    <x v="7"/>
    <x v="1"/>
    <x v="18"/>
    <s v="visita de emergenia, nueva regulacion cpa."/>
    <s v="horarios; 06:00&gt;18:00 100% caudal_x000a_18:00&gt;06:00 20% caudal"/>
    <x v="3"/>
    <n v="11"/>
  </r>
  <r>
    <x v="17"/>
    <x v="66"/>
    <s v="Anibal Aranda"/>
    <x v="587"/>
    <x v="0"/>
    <x v="1"/>
    <x v="47"/>
    <s v="cambio de medidor por equipo defectuoso"/>
    <s v="inicio auditoria,medidor impulsion 000017_x000a_medidor sanitario 199838"/>
    <x v="3"/>
    <n v="12"/>
  </r>
  <r>
    <x v="17"/>
    <x v="67"/>
    <s v="Anibal Aranda"/>
    <x v="587"/>
    <x v="0"/>
    <x v="1"/>
    <x v="47"/>
    <s v="cambio de medidor por equipo defectuoso"/>
    <s v="inicio auditoria,medidor impulsion 000017_x000a_medidor sanitario 199838"/>
    <x v="3"/>
    <n v="12"/>
  </r>
  <r>
    <x v="17"/>
    <x v="67"/>
    <s v="Anibal Aranda"/>
    <x v="587"/>
    <x v="0"/>
    <x v="1"/>
    <x v="47"/>
    <s v="cambio de medidor por equipo defectuoso"/>
    <s v="inicio auditoria,medidor impulsion 000017_x000a_medidor sanitario 199838"/>
    <x v="3"/>
    <n v="12"/>
  </r>
  <r>
    <x v="17"/>
    <x v="67"/>
    <s v="Cristian Sepulveda"/>
    <x v="588"/>
    <x v="1"/>
    <x v="9"/>
    <x v="35"/>
    <s v="lectura medidor; 739384_x000a_lectura medidor sanitaria 207746"/>
    <m/>
    <x v="3"/>
    <n v="12"/>
  </r>
  <r>
    <x v="17"/>
    <x v="66"/>
    <s v="Cristian Sepulveda"/>
    <x v="588"/>
    <x v="1"/>
    <x v="9"/>
    <x v="35"/>
    <s v="lectura medidor; 739384_x000a_lectura medidor sanitaria 207746"/>
    <s v="se remplasa rejos en placa, se programan horario normalizando sistema."/>
    <x v="3"/>
    <n v="12"/>
  </r>
  <r>
    <x v="17"/>
    <x v="66"/>
    <s v="Anibal Aranda"/>
    <x v="589"/>
    <x v="1"/>
    <x v="9"/>
    <x v="36"/>
    <s v="regulacion activada"/>
    <s v="lectura medidor; 176921_x000a_lectura medidor sanitaria; 213345"/>
    <x v="3"/>
    <n v="12"/>
  </r>
  <r>
    <x v="17"/>
    <x v="67"/>
    <s v="Anibal Aranda"/>
    <x v="589"/>
    <x v="1"/>
    <x v="9"/>
    <x v="36"/>
    <s v="regulacion activada"/>
    <s v="lectura medidor; 005347_x000a_lectura medidor sanitaria; 213345"/>
    <x v="3"/>
    <n v="12"/>
  </r>
  <r>
    <x v="17"/>
    <x v="67"/>
    <s v="Anibal Aranda"/>
    <x v="590"/>
    <x v="0"/>
    <x v="1"/>
    <x v="47"/>
    <s v="reparacion de filtracion en brida de empalme a medidor ."/>
    <m/>
    <x v="6"/>
    <n v="1"/>
  </r>
  <r>
    <x v="17"/>
    <x v="67"/>
    <s v="Anibal Aranda"/>
    <x v="591"/>
    <x v="1"/>
    <x v="1"/>
    <x v="5"/>
    <s v="regulacion temporada verano."/>
    <s v="horarios de verano; 06:00&gt;23:59 alta presion 900LxM_x000a_00:01&gt;06:00 baja presion 200LxM"/>
    <x v="6"/>
    <n v="1"/>
  </r>
  <r>
    <x v="17"/>
    <x v="67"/>
    <s v="Cristian Sepulveda"/>
    <x v="592"/>
    <x v="1"/>
    <x v="0"/>
    <x v="15"/>
    <s v="se realiza mantencion preventiva a cpa, limpieza y cambio de solenoides."/>
    <s v="se detecta horarios desconfigurados, se vuelve a configurar."/>
    <x v="3"/>
    <n v="9"/>
  </r>
  <r>
    <x v="17"/>
    <x v="66"/>
    <s v="Cristian Sepulveda"/>
    <x v="592"/>
    <x v="1"/>
    <x v="0"/>
    <x v="15"/>
    <s v="se realiza mantencio a cpa, se cambia solenoides, verificavion de voltajes"/>
    <m/>
    <x v="3"/>
    <n v="9"/>
  </r>
  <r>
    <x v="17"/>
    <x v="66"/>
    <s v="Cristian Sepulveda"/>
    <x v="593"/>
    <x v="7"/>
    <x v="1"/>
    <x v="18"/>
    <s v="se detecta mal funcionamiento de membrana valvula baja, de deja en funcionamiento valvula de alta."/>
    <s v="se ajustan horarios; 07:00&gt;10:00 am_x000a_12:00&gt;19:00 pm"/>
    <x v="3"/>
    <n v="9"/>
  </r>
  <r>
    <x v="17"/>
    <x v="67"/>
    <s v="Cristian Sepulveda"/>
    <x v="593"/>
    <x v="7"/>
    <x v="1"/>
    <x v="18"/>
    <s v="se detecta membrana de valvula baja que no esta cerrando, se debe cambiar."/>
    <s v="nuevo horario alta; 07:00&gt;12:00"/>
    <x v="3"/>
    <n v="9"/>
  </r>
  <r>
    <x v="17"/>
    <x v="67"/>
    <s v="Cristian Sepulveda"/>
    <x v="594"/>
    <x v="7"/>
    <x v="1"/>
    <x v="18"/>
    <s v="ajuste de horario y litros por minutos."/>
    <s v="baja presion 06:00&gt;19:30 200LxM_x000a_presion alta 19"/>
    <x v="3"/>
    <n v="10"/>
  </r>
  <r>
    <x v="17"/>
    <x v="66"/>
    <s v="Anibal Aranda"/>
    <x v="595"/>
    <x v="7"/>
    <x v="1"/>
    <x v="18"/>
    <s v="problemas de suministro de agua provocada por llave de paso correspondiente al resito penal."/>
    <s v="ajuste de regulacion; 02:00&gt;03:00 - 07:00&gt;17:30 alta presion 300LxM_x000a_17:30&gt;02:00 - 03:00&gt;07:00 baja presion 100 LxM"/>
    <x v="3"/>
    <n v="10"/>
  </r>
  <r>
    <x v="17"/>
    <x v="66"/>
    <s v="Anibal Aranda"/>
    <x v="595"/>
    <x v="7"/>
    <x v="1"/>
    <x v="18"/>
    <s v="problemas de suministro de agua provocada por llave de paso correspondiente al resito penal."/>
    <s v="ajuste de regulacion; 02:00&gt;03:00 - 07:00&gt;17:30 alta presion 300LxM"/>
    <x v="3"/>
    <n v="10"/>
  </r>
  <r>
    <x v="17"/>
    <x v="67"/>
    <s v="Anibal Aranda"/>
    <x v="595"/>
    <x v="7"/>
    <x v="1"/>
    <x v="18"/>
    <s v="membrana de valvulas alta y baja con membranas defectuosas, requiere cambio programado para el dia 06-10-2021"/>
    <s v="se regula caudal en una de las valvulas dejando 800LxM para mitigar consumo de agua las 24hrs."/>
    <x v="3"/>
    <n v="10"/>
  </r>
  <r>
    <x v="17"/>
    <x v="67"/>
    <s v="Anibal Aranda"/>
    <x v="596"/>
    <x v="7"/>
    <x v="1"/>
    <x v="18"/>
    <s v="se realiza cambio de membrana en valvula de baja presion y alta presion dejando 100% operativo"/>
    <s v="regulacion 07:00&gt;17:30 alta presion 700LxM_x000a_17:30&gt;19:30 presion 300LxM_x000a_19:00&gt;07:00 presion nocturna 100LxM"/>
    <x v="3"/>
    <n v="10"/>
  </r>
  <r>
    <x v="17"/>
    <x v="66"/>
    <s v="Anibal Aranda"/>
    <x v="596"/>
    <x v="7"/>
    <x v="1"/>
    <x v="18"/>
    <s v="se realiza cambio de membrana en valvula de baja presion, dejando 100% apertura cpa"/>
    <s v="regulacion 07:00&gt;17:30 alta presion 500LxM_x000a_17:30&gt;19:30 - 02:00&gt;04:00media presion 300LxM_x000a_19:00&gt;02:00 - 04:00&gt;07:00 presion nocturna 100LxM"/>
    <x v="3"/>
    <n v="10"/>
  </r>
  <r>
    <x v="17"/>
    <x v="67"/>
    <s v="Anibal Aranda"/>
    <x v="597"/>
    <x v="7"/>
    <x v="1"/>
    <x v="18"/>
    <s v="llave de paso tipo espejo no abre, por agripamiento impidiendo el normal caudal de la matriz, se nesesita reparar llave."/>
    <s v="se deja las llaves de cpa con apertura completa para la reparacion"/>
    <x v="3"/>
    <n v="10"/>
  </r>
  <r>
    <x v="17"/>
    <x v="67"/>
    <s v="Anibal Aranda"/>
    <x v="506"/>
    <x v="7"/>
    <x v="1"/>
    <x v="18"/>
    <s v="llave matriz principal reparada, cpa regulado."/>
    <m/>
    <x v="3"/>
    <n v="10"/>
  </r>
  <r>
    <x v="17"/>
    <x v="67"/>
    <s v="Anibal Aranda"/>
    <x v="598"/>
    <x v="7"/>
    <x v="1"/>
    <x v="18"/>
    <s v="llave de emergencia activada al 100%_x000a_se modifica horarios de presion y caudal."/>
    <s v="horarios 06:00&gt;18:00 100%_x000a_18:00&gt;23:59 - 00:01&gt;06:00 20%"/>
    <x v="3"/>
    <n v="11"/>
  </r>
  <r>
    <x v="17"/>
    <x v="66"/>
    <s v="Cristian Sepulveda"/>
    <x v="599"/>
    <x v="7"/>
    <x v="1"/>
    <x v="18"/>
    <s v="se sierra valvula de baja y se configura valvula de alta con nuevos horarios"/>
    <m/>
    <x v="3"/>
    <n v="5"/>
  </r>
  <r>
    <x v="17"/>
    <x v="66"/>
    <s v="Anibal Aranda"/>
    <x v="600"/>
    <x v="7"/>
    <x v="1"/>
    <x v="18"/>
    <s v="revision de app wes indica herror en valvula de baja presion producto de esto se realiza visita de emergencia._x000a_se detecta solenoide defectuoso, se remplaza ambas solenoides de valvulas decando mantencion completa."/>
    <m/>
    <x v="3"/>
    <n v="5"/>
  </r>
  <r>
    <x v="17"/>
    <x v="67"/>
    <s v="Anibal Aranda"/>
    <x v="601"/>
    <x v="1"/>
    <x v="9"/>
    <x v="35"/>
    <s v="lectura medidor sanitaria 026923_x000a_lectura medidor sala de bomba 012513_x000a_inicio auditoria con wes"/>
    <m/>
    <x v="3"/>
    <n v="5"/>
  </r>
  <r>
    <x v="17"/>
    <x v="66"/>
    <s v="Anibal Aranda"/>
    <x v="601"/>
    <x v="1"/>
    <x v="9"/>
    <x v="35"/>
    <s v="lectura medidor cpa sur 077916"/>
    <m/>
    <x v="3"/>
    <n v="5"/>
  </r>
  <r>
    <x v="17"/>
    <x v="66"/>
    <s v="Anibal Aranda"/>
    <x v="602"/>
    <x v="1"/>
    <x v="9"/>
    <x v="35"/>
    <s v="lectura medidor cpa sur 077916"/>
    <m/>
    <x v="3"/>
    <n v="5"/>
  </r>
  <r>
    <x v="17"/>
    <x v="67"/>
    <s v="Anibal Aranda"/>
    <x v="602"/>
    <x v="1"/>
    <x v="9"/>
    <x v="35"/>
    <s v="lectura medidor santario 024523_x000a_medidor sala de bomba 011649"/>
    <m/>
    <x v="3"/>
    <n v="5"/>
  </r>
  <r>
    <x v="17"/>
    <x v="66"/>
    <s v="Anibal Aranda"/>
    <x v="603"/>
    <x v="7"/>
    <x v="1"/>
    <x v="18"/>
    <s v="cambio solenoide a valvulas de control_x000a_regulacion alta ; 600LxM 07:00&gt;12:00-19:00&gt;22:00_x000a_regulacion baja ; 100LxM 12:00&gt;19:00- 22:00&gt;07:00"/>
    <m/>
    <x v="3"/>
    <n v="6"/>
  </r>
  <r>
    <x v="17"/>
    <x v="67"/>
    <s v="Anibal Aranda"/>
    <x v="603"/>
    <x v="7"/>
    <x v="1"/>
    <x v="18"/>
    <s v="cambio solenoide a valvulas de control_x000a_regulacion alta ; 600LxM 06:00&gt;17:00_x000a_regulacion baja ; 150LxM 17:00&gt;06:00"/>
    <m/>
    <x v="3"/>
    <n v="6"/>
  </r>
  <r>
    <x v="17"/>
    <x v="68"/>
    <s v="Anibal Aranda"/>
    <x v="604"/>
    <x v="7"/>
    <x v="1"/>
    <x v="18"/>
    <s v="visita por baja presion en casino; prueba N°1 se entrega 100% de caudal y no hay diferencia en presion de agua en casino; prueba N°2 se activan 3 bombas, sin tener mejora en presion de agua en casino, se detecta que red de distribusion esta con posibles problemas."/>
    <m/>
    <x v="3"/>
    <n v="6"/>
  </r>
  <r>
    <x v="17"/>
    <x v="66"/>
    <s v="Anibal Aranda"/>
    <x v="605"/>
    <x v="7"/>
    <x v="1"/>
    <x v="18"/>
    <s v="cambio de solenoide por falla detectada en app wes."/>
    <m/>
    <x v="3"/>
    <n v="6"/>
  </r>
  <r>
    <x v="17"/>
    <x v="66"/>
    <s v="Anibal Aranda"/>
    <x v="606"/>
    <x v="1"/>
    <x v="1"/>
    <x v="8"/>
    <s v="cambio de posicion llave alta presion, prueba de funcionamiento ambas valvulas operativas."/>
    <m/>
    <x v="3"/>
    <n v="6"/>
  </r>
  <r>
    <x v="17"/>
    <x v="68"/>
    <s v="Anibal Aranda"/>
    <x v="607"/>
    <x v="1"/>
    <x v="1"/>
    <x v="13"/>
    <s v="instalacion de golillas de precion en brida de empalme"/>
    <s v="regulacion cpa _x000a_07:00&gt;10:00-12:00&gt;16:00 alta presion 1000LxM_x000a_10:00&gt;12:00-16:00&gt;07:00 baja presion 200LxM"/>
    <x v="3"/>
    <n v="5"/>
  </r>
  <r>
    <x v="17"/>
    <x v="68"/>
    <s v="Anibal Aranda"/>
    <x v="539"/>
    <x v="1"/>
    <x v="1"/>
    <x v="5"/>
    <s v="primera regulacion cpa wes."/>
    <s v="regulacion de caudal ; nocturna presion 20:00&gt;07:00 430LxM_x000a_media presion 10:00&gt;12:00 - 16:00&gt;22:00 710LxM_x000a_alta prsion 07:00&gt;10:00 - 12:00&gt;16:00 1025"/>
    <x v="3"/>
    <n v="5"/>
  </r>
  <r>
    <x v="17"/>
    <x v="68"/>
    <s v="Anibal Aranda"/>
    <x v="608"/>
    <x v="1"/>
    <x v="9"/>
    <x v="35"/>
    <s v="filtracion en llave salida cpa reparada, inicio auditoria sin control_x000a_lectura medidor 934,44"/>
    <m/>
    <x v="3"/>
    <n v="5"/>
  </r>
  <r>
    <x v="17"/>
    <x v="67"/>
    <s v="Anibal Aranda"/>
    <x v="609"/>
    <x v="7"/>
    <x v="1"/>
    <x v="18"/>
    <s v="regulacion de caudales- nocturna presion 200LxM_x000a_alta presion 1000LxM_x000a_baja presion 600LxM"/>
    <m/>
    <x v="3"/>
    <n v="5"/>
  </r>
  <r>
    <x v="17"/>
    <x v="66"/>
    <s v="Anibal Aranda"/>
    <x v="610"/>
    <x v="1"/>
    <x v="9"/>
    <x v="36"/>
    <s v="fin auditoria de control y monitoreo. lectura medidor&gt; 56557-433434"/>
    <m/>
    <x v="3"/>
    <n v="4"/>
  </r>
  <r>
    <x v="17"/>
    <x v="66"/>
    <s v="Anibal Aranda"/>
    <x v="611"/>
    <x v="1"/>
    <x v="9"/>
    <x v="35"/>
    <s v="segunda lectura auditoria- lectura medidor 55538-441478,8"/>
    <s v="regulacion de caudales;_x000a_alta presion &gt;600LxM_x000a_baja presion&gt;350LxM_x000a_nocturna &gt;170LxM"/>
    <x v="3"/>
    <n v="4"/>
  </r>
  <r>
    <x v="17"/>
    <x v="66"/>
    <s v="Anibal Aranda"/>
    <x v="612"/>
    <x v="1"/>
    <x v="4"/>
    <x v="15"/>
    <s v="revicion de funcionamiento cpa y cir_x000a_comienzo auditoria."/>
    <s v="lectura medidor 54036-439229,4"/>
    <x v="3"/>
    <n v="4"/>
  </r>
  <r>
    <x v="17"/>
    <x v="66"/>
    <s v="Anibal Aranda"/>
    <x v="613"/>
    <x v="1"/>
    <x v="1"/>
    <x v="5"/>
    <s v="cuarto ajuste de rendimiento, se mantiene presiones alta y baja._x000a_se regula caudal nocturno de 300LxM a 200LxM"/>
    <m/>
    <x v="3"/>
    <n v="2"/>
  </r>
  <r>
    <x v="17"/>
    <x v="66"/>
    <s v="Mirko Lorca"/>
    <x v="614"/>
    <x v="1"/>
    <x v="0"/>
    <x v="15"/>
    <s v="se programa horario baja presion hasta las 19:00hrs, chequeo de placa, funcionamiento de valvulas y conectividad, sistema ok."/>
    <m/>
    <x v="3"/>
    <n v="1"/>
  </r>
  <r>
    <x v="17"/>
    <x v="66"/>
    <s v="Anibal Aranda"/>
    <x v="615"/>
    <x v="1"/>
    <x v="1"/>
    <x v="5"/>
    <s v="regulacio de presion Nocturno &gt;300LxM 22:00-07:00_x000a_presion alta 650LxM 07:00-12:00; 17:00-22:00_x000a_presion baja 400 LxM 12:00-17:00"/>
    <m/>
    <x v="3"/>
    <n v="1"/>
  </r>
  <r>
    <x v="17"/>
    <x v="66"/>
    <s v="Maurico Orellana"/>
    <x v="616"/>
    <x v="1"/>
    <x v="1"/>
    <x v="5"/>
    <s v="ajuste y regulacion de sistema cpa, entrenamiento de protocolo de emergencia y entrega de llave para acceso a cpa."/>
    <s v="lecturas medidor 11-01-2021&gt; 2636_x000a_11-01-2021&gt;5121"/>
    <x v="2"/>
    <n v="1"/>
  </r>
  <r>
    <x v="17"/>
    <x v="74"/>
    <s v="Maurico Orellana"/>
    <x v="617"/>
    <x v="0"/>
    <x v="1"/>
    <x v="5"/>
    <s v="regulacion de caudal en cpa dejando abastesimiento en un 30% de su maximo caudal."/>
    <m/>
    <x v="5"/>
    <n v="5"/>
  </r>
  <r>
    <x v="17"/>
    <x v="74"/>
    <s v="Maurico Orellana"/>
    <x v="618"/>
    <x v="1"/>
    <x v="1"/>
    <x v="16"/>
    <s v="cambio de solenoides en ambas valvulas de control."/>
    <s v="cambio de 2 valvulas de tipo &quot;NO&quot;"/>
    <x v="5"/>
    <n v="5"/>
  </r>
  <r>
    <x v="17"/>
    <x v="68"/>
    <s v="Maurico Orellana"/>
    <x v="482"/>
    <x v="0"/>
    <x v="4"/>
    <x v="19"/>
    <s v="cambio de fuente switching + instalacion de fuente switching 24v, para alimentacion independiente de router amplimax._x000a_cambio de memoria y solenoides en ambas valvulas de control."/>
    <s v="mal funcionamiento de solenoide , afecta directamente a placa wes, producto de alimentacion desde fuente switching 24v._x000a_se instala fuente switching extra para independisar alimentacion 24v de amplimax corriente continua._x000a_se instala fuente switching 12v para alimentacion de placa wes, sensor de pulso, placa roja y solenoides."/>
    <x v="5"/>
    <n v="5"/>
  </r>
  <r>
    <x v="17"/>
    <x v="68"/>
    <s v="Maurico Orellana"/>
    <x v="549"/>
    <x v="0"/>
    <x v="1"/>
    <x v="16"/>
    <s v="cambio de solenoides en valvulas, cambio de placa wes por falla, sistema operativo."/>
    <s v="se cambia 2 solenoides de tipo &quot;NO&quot;"/>
    <x v="5"/>
    <n v="4"/>
  </r>
  <r>
    <x v="17"/>
    <x v="68"/>
    <s v="Mirko Lorca"/>
    <x v="619"/>
    <x v="0"/>
    <x v="1"/>
    <x v="5"/>
    <s v="ajuste de horarios, ajuste y revicion de valvulas, corte nocturno."/>
    <m/>
    <x v="5"/>
    <n v="1"/>
  </r>
  <r>
    <x v="17"/>
    <x v="74"/>
    <s v="Mirko Lorca"/>
    <x v="620"/>
    <x v="1"/>
    <x v="1"/>
    <x v="5"/>
    <s v="regulacion sistema cpa wes- cambio de solenoide"/>
    <s v="regulacion nocturno 50LTxM"/>
    <x v="6"/>
    <n v="9"/>
  </r>
  <r>
    <x v="17"/>
    <x v="74"/>
    <s v="Anibal Aranda"/>
    <x v="621"/>
    <x v="1"/>
    <x v="9"/>
    <x v="36"/>
    <s v="fin auditoria con control, lectura medidor 490329"/>
    <m/>
    <x v="6"/>
    <n v="9"/>
  </r>
  <r>
    <x v="17"/>
    <x v="68"/>
    <s v="Anibal Aranda"/>
    <x v="622"/>
    <x v="0"/>
    <x v="0"/>
    <x v="28"/>
    <s v="cambio de placa wes"/>
    <m/>
    <x v="6"/>
    <n v="7"/>
  </r>
  <r>
    <x v="17"/>
    <x v="74"/>
    <s v="Anibal Aranda"/>
    <x v="623"/>
    <x v="1"/>
    <x v="9"/>
    <x v="35"/>
    <s v="inicio auditoria sin control, lectura 488037"/>
    <m/>
    <x v="6"/>
    <n v="8"/>
  </r>
  <r>
    <x v="17"/>
    <x v="68"/>
    <s v="Anibal Aranda"/>
    <x v="530"/>
    <x v="1"/>
    <x v="2"/>
    <x v="3"/>
    <s v="actualización de programa en placa wes."/>
    <m/>
    <x v="6"/>
    <n v="2"/>
  </r>
  <r>
    <x v="17"/>
    <x v="74"/>
    <s v="Mirko Lorca"/>
    <x v="624"/>
    <x v="0"/>
    <x v="1"/>
    <x v="47"/>
    <s v="se realiza extraccion de medidor para chequeo , se encuentran restos de material, se deja en _x000a_funcionamiento y queda pendiente el cambio de medidor."/>
    <m/>
    <x v="6"/>
    <n v="1"/>
  </r>
  <r>
    <x v="17"/>
    <x v="74"/>
    <s v="Anibal Aranda"/>
    <x v="625"/>
    <x v="0"/>
    <x v="4"/>
    <x v="28"/>
    <s v="se esta realizando mantencion en torres con corte hidrica general, disminuyendo consumo."/>
    <m/>
    <x v="3"/>
    <n v="5"/>
  </r>
  <r>
    <x v="17"/>
    <x v="74"/>
    <s v="Mirko Lorca"/>
    <x v="626"/>
    <x v="1"/>
    <x v="0"/>
    <x v="15"/>
    <s v="revicion sistema wes, funcionamiento placa, solenoides en buen estado, chequeo de sistema electronicos,_x000a_gabinete en buen estado, comunicacion de sistema ok."/>
    <m/>
    <x v="3"/>
    <n v="1"/>
  </r>
  <r>
    <x v="17"/>
    <x v="68"/>
    <s v="Mirko Lorca"/>
    <x v="626"/>
    <x v="1"/>
    <x v="0"/>
    <x v="15"/>
    <s v="revicion sistema wes, funcionamiento placa, solenoides en buen estado, chequeo de sistema electronicos, gabinete en buen estado, comunicacion de sistema ok."/>
    <m/>
    <x v="3"/>
    <n v="1"/>
  </r>
  <r>
    <x v="17"/>
    <x v="68"/>
    <s v="Anibal Aranda"/>
    <x v="627"/>
    <x v="7"/>
    <x v="1"/>
    <x v="18"/>
    <s v="se solicita por parte de jorge tilleria realizar prueba de funcionamiento de las calderas con el 100% de el sistema wes, esta prueba se solicito para el dia 06/07/2020_x000a_a las 09:00"/>
    <s v="se solicita habilitar 20% de presion nocturna, con esta condicion lo mas probable es que se produsca un vaciado de estanque."/>
    <x v="2"/>
    <n v="7"/>
  </r>
  <r>
    <x v="17"/>
    <x v="68"/>
    <s v="Anibal Aranda"/>
    <x v="628"/>
    <x v="1"/>
    <x v="1"/>
    <x v="8"/>
    <s v="mantencion de valvulas"/>
    <s v="se realizan pruebas en caldera detectando que el problema esta en la presurizacion interna del circuito primario de la cardera._x000a_se solisita por el encargado de mantencion mantener la programacion horaria de presion."/>
    <x v="2"/>
    <n v="7"/>
  </r>
  <r>
    <x v="17"/>
    <x v="74"/>
    <s v="Anibal Aranda"/>
    <x v="629"/>
    <x v="1"/>
    <x v="9"/>
    <x v="35"/>
    <s v="lectura medidor 27874"/>
    <m/>
    <x v="7"/>
    <n v="12"/>
  </r>
  <r>
    <x v="17"/>
    <x v="74"/>
    <s v="Anibal Aranda"/>
    <x v="630"/>
    <x v="1"/>
    <x v="9"/>
    <x v="35"/>
    <s v="lectura medidor 17017"/>
    <m/>
    <x v="7"/>
    <n v="11"/>
  </r>
  <r>
    <x v="17"/>
    <x v="68"/>
    <s v="Anibal Aranda"/>
    <x v="630"/>
    <x v="1"/>
    <x v="9"/>
    <x v="35"/>
    <s v="lectura medidor 106280"/>
    <m/>
    <x v="7"/>
    <n v="11"/>
  </r>
  <r>
    <x v="17"/>
    <x v="68"/>
    <s v="Anibal Aranda"/>
    <x v="631"/>
    <x v="7"/>
    <x v="1"/>
    <x v="18"/>
    <s v="regulacion sistema sala de bombas , se deja un 50% de caudal durante_x000a_los horarios que las internas no estan en las torres."/>
    <m/>
    <x v="7"/>
    <n v="11"/>
  </r>
  <r>
    <x v="17"/>
    <x v="68"/>
    <s v="Anibal Aranda"/>
    <x v="632"/>
    <x v="7"/>
    <x v="0"/>
    <x v="18"/>
    <s v="instalasion sistema electronico guardia principal, inicio de auditoria."/>
    <m/>
    <x v="7"/>
    <n v="10"/>
  </r>
  <r>
    <x v="17"/>
    <x v="101"/>
    <s v="Cristian Sepulveda"/>
    <x v="633"/>
    <x v="7"/>
    <x v="1"/>
    <x v="18"/>
    <s v="Segunda regulacion del CPA _x000a_Alta presion 430 LXM 06:00 a 10:00 / 12:00 a 14:00 / 16:00 a 23:59_x000a_Media Presion 200 LXM 10:00 a 12:00 / 14:00 a 16:00 _x000a_Baja presion 50 LXM 00:01 a 06:00"/>
    <s v="Se detecta solenoide con resorte mala, se cambia quedado operativa"/>
    <x v="3"/>
    <n v="10"/>
  </r>
  <r>
    <x v="17"/>
    <x v="101"/>
    <s v="Cristian Sepulveda"/>
    <x v="633"/>
    <x v="7"/>
    <x v="1"/>
    <x v="18"/>
    <s v="Segunda regulacion del CPA _x000a_Alta presion 90% 400 LXM 06:00 a 23:59_x000a_Baja presion 30% 80 LXM 00:01 a 06:00"/>
    <m/>
    <x v="3"/>
    <n v="10"/>
  </r>
  <r>
    <x v="17"/>
    <x v="101"/>
    <s v="Anibal Aranda"/>
    <x v="592"/>
    <x v="7"/>
    <x v="1"/>
    <x v="18"/>
    <s v="Segunda regulacion del CPA _x000a_Alta presion 90% 400 LXM 06:00 a 08:00 / 16:00 a 23:59_x000a_Baja presion 50% 210 LXM 00:01 a 06:00 / 08:00 a 16:00"/>
    <m/>
    <x v="3"/>
    <n v="9"/>
  </r>
  <r>
    <x v="17"/>
    <x v="65"/>
    <s v="Anibal Aranda"/>
    <x v="592"/>
    <x v="7"/>
    <x v="1"/>
    <x v="18"/>
    <s v="Se entrega soporte para activar rpotocolo de emergencia dejando el 100% del caudal para la unidad. 20-10-21 a 10:45 se asiste y se detecta falla en membrana de alta se realiza cambio dejando el CPA 100% operativo"/>
    <m/>
    <x v="3"/>
    <n v="9"/>
  </r>
  <r>
    <x v="17"/>
    <x v="65"/>
    <s v="Anibal Aranda"/>
    <x v="634"/>
    <x v="7"/>
    <x v="1"/>
    <x v="18"/>
    <s v="Se entrega soporte para activar rpotocolo de emergencia dejando el 100% del caudal para la unidad. 20-10-21 a 10:45 se asiste y se detecta falla en membrana de alta se realiza cambio dejando el CPA 100% operativo"/>
    <m/>
    <x v="3"/>
    <n v="10"/>
  </r>
  <r>
    <x v="17"/>
    <x v="65"/>
    <s v="Anibal Aranda"/>
    <x v="635"/>
    <x v="7"/>
    <x v="1"/>
    <x v="18"/>
    <s v="media presion regulada en los horarios 10:00 a 12:00 y 14:00 a 16:00"/>
    <m/>
    <x v="3"/>
    <n v="10"/>
  </r>
  <r>
    <x v="17"/>
    <x v="101"/>
    <s v="Anibal Aranda"/>
    <x v="635"/>
    <x v="7"/>
    <x v="1"/>
    <x v="18"/>
    <s v="Regulacion nocturna de 200 LXM entrega de candado CPA"/>
    <m/>
    <x v="3"/>
    <n v="10"/>
  </r>
  <r>
    <x v="17"/>
    <x v="65"/>
    <s v="Mirko Lorca"/>
    <x v="636"/>
    <x v="0"/>
    <x v="1"/>
    <x v="5"/>
    <s v="Regulacion nocturna de 200 LXM entrega de candado CPA"/>
    <m/>
    <x v="6"/>
    <n v="1"/>
  </r>
  <r>
    <x v="17"/>
    <x v="101"/>
    <s v="Cristian Sepulveda"/>
    <x v="637"/>
    <x v="7"/>
    <x v="2"/>
    <x v="18"/>
    <s v="Se instala antena amplimax en sector modulo y se estabiliza conectividad lectura del medidor 034430"/>
    <m/>
    <x v="3"/>
    <n v="12"/>
  </r>
  <r>
    <x v="17"/>
    <x v="64"/>
    <s v="Cristian Sepulveda"/>
    <x v="637"/>
    <x v="7"/>
    <x v="0"/>
    <x v="18"/>
    <s v="Se realiza cambio de placa WES y se asegura la conectividad con la app wes sin problemas lecturua de medidor tomada 016548"/>
    <m/>
    <x v="3"/>
    <n v="12"/>
  </r>
  <r>
    <x v="17"/>
    <x v="101"/>
    <s v="Anibal Aranda"/>
    <x v="638"/>
    <x v="7"/>
    <x v="1"/>
    <x v="18"/>
    <s v="se ajusta la regulacion 100% de presion durante el dia de 06:00 a 19:00 y un 50% de presion 19:00 a 23:59 y 00:01 a 06:00"/>
    <s v="Visita con claudio Quilodran se revisa detectando la falta una llave de paso para obtener el final de linea al momento de encender la sala de bombas."/>
    <x v="3"/>
    <n v="11"/>
  </r>
  <r>
    <x v="17"/>
    <x v="65"/>
    <s v="Anibal Aranda"/>
    <x v="638"/>
    <x v="7"/>
    <x v="1"/>
    <x v="18"/>
    <s v="Revison y cambio de solenoides alta presion ovalo. Regulaciones y mantenimiento"/>
    <m/>
    <x v="3"/>
    <n v="11"/>
  </r>
  <r>
    <x v="17"/>
    <x v="101"/>
    <s v="Anibal Aranda"/>
    <x v="639"/>
    <x v="7"/>
    <x v="1"/>
    <x v="18"/>
    <s v="Regulacion nocturna 100 LXM 00:01 a 06:00 Diurna 550 LXM 06:00 a 23:59"/>
    <m/>
    <x v="3"/>
    <n v="11"/>
  </r>
  <r>
    <x v="17"/>
    <x v="65"/>
    <s v="Anibal Aranda"/>
    <x v="639"/>
    <x v="7"/>
    <x v="1"/>
    <x v="18"/>
    <s v="Trabajos de prueba modulos se entrega el 100% del agua si poder llegar al piso superior. El sistema WES queda regulado para evitar vaciado de los estanques."/>
    <m/>
    <x v="3"/>
    <n v="11"/>
  </r>
  <r>
    <x v="17"/>
    <x v="101"/>
    <s v="Anibal Aranda"/>
    <x v="640"/>
    <x v="7"/>
    <x v="1"/>
    <x v="18"/>
    <s v="Trabajos de prueba modulos se entrega el 100% del agua si poder llegar al piso superior. El sistema WES queda regulado para evitar vaciado de los estanques."/>
    <m/>
    <x v="3"/>
    <n v="11"/>
  </r>
  <r>
    <x v="17"/>
    <x v="101"/>
    <s v="Anibal Aranda"/>
    <x v="445"/>
    <x v="7"/>
    <x v="1"/>
    <x v="18"/>
    <s v="Vista para revisar funcionameinto de las bombas pasando por el control CPA Wes."/>
    <s v="Se cordina visita para el lunes 22-11-21 pruebas de llenado estanque"/>
    <x v="3"/>
    <n v="11"/>
  </r>
  <r>
    <x v="17"/>
    <x v="101"/>
    <s v="Anibal Aranda"/>
    <x v="588"/>
    <x v="7"/>
    <x v="2"/>
    <x v="18"/>
    <s v="Up Grade puerto de conectividad"/>
    <m/>
    <x v="3"/>
    <n v="12"/>
  </r>
  <r>
    <x v="17"/>
    <x v="65"/>
    <s v="Mirko Lorca"/>
    <x v="641"/>
    <x v="1"/>
    <x v="2"/>
    <x v="3"/>
    <s v="Up Grade Pick"/>
    <m/>
    <x v="6"/>
    <n v="2"/>
  </r>
  <r>
    <x v="17"/>
    <x v="65"/>
    <s v="Mirko Lorca"/>
    <x v="642"/>
    <x v="0"/>
    <x v="1"/>
    <x v="5"/>
    <s v="Regulacion nocturna a 100 LXM"/>
    <m/>
    <x v="6"/>
    <n v="3"/>
  </r>
  <r>
    <x v="17"/>
    <x v="101"/>
    <s v="Mirko Lorca"/>
    <x v="642"/>
    <x v="0"/>
    <x v="3"/>
    <x v="45"/>
    <s v="Up Grade conectividad con amplimax"/>
    <m/>
    <x v="6"/>
    <n v="3"/>
  </r>
  <r>
    <x v="17"/>
    <x v="64"/>
    <s v="Anibal Aranda"/>
    <x v="642"/>
    <x v="1"/>
    <x v="2"/>
    <x v="3"/>
    <s v="Up Grade de sofware"/>
    <m/>
    <x v="6"/>
    <n v="3"/>
  </r>
  <r>
    <x v="17"/>
    <x v="63"/>
    <s v="Anibal Aranda"/>
    <x v="642"/>
    <x v="1"/>
    <x v="2"/>
    <x v="3"/>
    <s v="Up Grade de sofware"/>
    <m/>
    <x v="6"/>
    <n v="3"/>
  </r>
  <r>
    <x v="17"/>
    <x v="65"/>
    <s v="Anibal Aranda"/>
    <x v="642"/>
    <x v="1"/>
    <x v="2"/>
    <x v="3"/>
    <s v="Up Grade de sofware"/>
    <m/>
    <x v="6"/>
    <n v="3"/>
  </r>
  <r>
    <x v="17"/>
    <x v="101"/>
    <s v="Anibal Aranda"/>
    <x v="642"/>
    <x v="1"/>
    <x v="2"/>
    <x v="3"/>
    <s v="Up Grade de sofware"/>
    <m/>
    <x v="6"/>
    <n v="3"/>
  </r>
  <r>
    <x v="17"/>
    <x v="101"/>
    <s v="Anibal Aranda"/>
    <x v="426"/>
    <x v="0"/>
    <x v="4"/>
    <x v="28"/>
    <s v="Sisitema se encuentra apagado por corte Cto. el cual es reparado. En segunda instacia se detecta modificacion las tuberias de ingreso y salida del CPA WES de esta forma el equipo CPA queda fuera de operacion total"/>
    <m/>
    <x v="6"/>
    <n v="4"/>
  </r>
  <r>
    <x v="17"/>
    <x v="65"/>
    <s v="Anibal Aranda"/>
    <x v="426"/>
    <x v="1"/>
    <x v="0"/>
    <x v="15"/>
    <s v="Mtto. completo CIR y CPAde forma preventiva . Equipo queda conectado en App WES"/>
    <m/>
    <x v="6"/>
    <n v="4"/>
  </r>
  <r>
    <x v="17"/>
    <x v="101"/>
    <s v="Anibal Aranda"/>
    <x v="643"/>
    <x v="0"/>
    <x v="1"/>
    <x v="50"/>
    <s v="Verificacion de manifull en sala de bombas modulo se acredita que falta llave de corte para dejar en funcionamiento el sistema de control WES . Claudio Quilodran compromete instalacion de esta. Se verifica la necsidad de nuevo equipo CPA para la matriz principal para aumentar el % de control y ahorrro."/>
    <m/>
    <x v="6"/>
    <n v="4"/>
  </r>
  <r>
    <x v="17"/>
    <x v="63"/>
    <s v="Mirko Lorca"/>
    <x v="644"/>
    <x v="1"/>
    <x v="3"/>
    <x v="45"/>
    <s v="Cambio de Router, placa por falla de conexion 220 v Borner cortado. Revision General"/>
    <m/>
    <x v="6"/>
    <n v="10"/>
  </r>
  <r>
    <x v="17"/>
    <x v="65"/>
    <s v="Mirko Lorca"/>
    <x v="645"/>
    <x v="1"/>
    <x v="1"/>
    <x v="16"/>
    <s v="Cambio de Solenoide mtto preventivo por cambio planificado cada 6 meses"/>
    <m/>
    <x v="6"/>
    <n v="11"/>
  </r>
  <r>
    <x v="17"/>
    <x v="65"/>
    <s v="Mirko Lorca"/>
    <x v="645"/>
    <x v="0"/>
    <x v="0"/>
    <x v="4"/>
    <s v="Conexion de 5 volt suelta impide alimentar la plaxa Rs232 a Lan por lo que la conectivada se cae"/>
    <m/>
    <x v="6"/>
    <n v="11"/>
  </r>
  <r>
    <x v="17"/>
    <x v="63"/>
    <s v="Anibal Aranda"/>
    <x v="646"/>
    <x v="0"/>
    <x v="0"/>
    <x v="4"/>
    <s v="Conexion de 5 volt suelta impide alimentar la plaxa Rs232 a Lan por lo que la conectivada se cae"/>
    <m/>
    <x v="5"/>
    <n v="2"/>
  </r>
  <r>
    <x v="17"/>
    <x v="65"/>
    <s v="Anibal Aranda"/>
    <x v="646"/>
    <x v="0"/>
    <x v="0"/>
    <x v="28"/>
    <s v="Revison de sistema pero con datos con informacion Ambivalente. Se realiza cambio de placa y un UpGrade de sistema ,calibracion y pruebas de funcionamiento y finalmente revison confirmacion de conectivida app realizada"/>
    <s v="En la misma Visita se reviza Matriz Principal Ovalo"/>
    <x v="5"/>
    <n v="2"/>
  </r>
  <r>
    <x v="17"/>
    <x v="65"/>
    <s v="Anibal Aranda"/>
    <x v="647"/>
    <x v="0"/>
    <x v="4"/>
    <x v="28"/>
    <s v="Solenoides no realizan el corte hidrico junto con esto la memoria tiene problemas en el guardado de la calibracion y en los horarios. ademas de un cheque general al equipo Cir. Dejando el equipo totalmente operativo."/>
    <m/>
    <x v="5"/>
    <n v="1"/>
  </r>
  <r>
    <x v="17"/>
    <x v="65"/>
    <s v="Anibal Aranda"/>
    <x v="550"/>
    <x v="0"/>
    <x v="4"/>
    <x v="28"/>
    <s v="Equipo CIR sin energia desde el emplame principal de 220 volt. Se presume un corte Cto. En gabinete pricipal. Se activa el equipo nuevamente dejandolo operativo junto con esto se cambian el equipo de comunicacion de un router TP link D220 junto con un moden usb entel; por un roter Dlink MR921."/>
    <m/>
    <x v="5"/>
    <n v="4"/>
  </r>
  <r>
    <x v="17"/>
    <x v="65"/>
    <s v="Anibal Aranda"/>
    <x v="393"/>
    <x v="0"/>
    <x v="1"/>
    <x v="1"/>
    <s v="Membrana deformada impiden control del equipo CPA. Se requiere el cambio el cual se coordinara con el equipo de mantenimiento"/>
    <m/>
    <x v="5"/>
    <n v="4"/>
  </r>
  <r>
    <x v="17"/>
    <x v="65"/>
    <s v="Anibal Aranda"/>
    <x v="648"/>
    <x v="0"/>
    <x v="1"/>
    <x v="1"/>
    <s v="Cambio de membrana por desgaste. Se realiza el cambio en ambas membranas dejando el equipo CPA 100% operativo."/>
    <s v="Horario programado de 06:00 a 23:59 100% (550 LXM)de presion 00:01 a 06:00 20% (110 LXM)"/>
    <x v="5"/>
    <n v="4"/>
  </r>
  <r>
    <x v="17"/>
    <x v="61"/>
    <s v="Maurico Orellana"/>
    <x v="649"/>
    <x v="1"/>
    <x v="9"/>
    <x v="35"/>
    <s v="registro de consumo para rendimiento"/>
    <s v="registro lectura medidor 342210"/>
    <x v="7"/>
    <n v="1"/>
  </r>
  <r>
    <x v="17"/>
    <x v="61"/>
    <s v="Maurico Orellana"/>
    <x v="649"/>
    <x v="1"/>
    <x v="9"/>
    <x v="35"/>
    <s v="registro de consumo para rendimiento"/>
    <s v="registro lectura medidor 342210"/>
    <x v="7"/>
    <n v="1"/>
  </r>
  <r>
    <x v="17"/>
    <x v="61"/>
    <s v="Maurico Orellana"/>
    <x v="650"/>
    <x v="1"/>
    <x v="9"/>
    <x v="35"/>
    <s v="se realiza auditoria en unidad"/>
    <s v="28/10/2019&gt;lectura medidor-331082 ; 29/10/2019&gt;331925 ; 08/11/2019&gt;339340;- se realiza regulacion de caudal en sistema."/>
    <x v="7"/>
    <n v="11"/>
  </r>
  <r>
    <x v="17"/>
    <x v="61"/>
    <s v="Maurico Orellana"/>
    <x v="651"/>
    <x v="7"/>
    <x v="1"/>
    <x v="18"/>
    <s v="se realiza cambio de solenoide dañadas."/>
    <m/>
    <x v="7"/>
    <n v="12"/>
  </r>
  <r>
    <x v="17"/>
    <x v="61"/>
    <s v="Maurico Orellana"/>
    <x v="652"/>
    <x v="7"/>
    <x v="1"/>
    <x v="18"/>
    <s v="unidad se encuentra sin agua por solenoide defectuosa, se realiza cambio de esta dejando sistema operativo."/>
    <s v="se modifica mantenimiento de solenoides de 6 meses a cada 3 meses ya que solenoide se ve afectada por dureza de agua."/>
    <x v="7"/>
    <n v="1"/>
  </r>
  <r>
    <x v="17"/>
    <x v="61"/>
    <s v="Maurico Orellana"/>
    <x v="653"/>
    <x v="7"/>
    <x v="2"/>
    <x v="18"/>
    <s v="mantencion coneccion 36 y comunicacion"/>
    <m/>
    <x v="2"/>
    <n v="12"/>
  </r>
  <r>
    <x v="17"/>
    <x v="61"/>
    <s v="Maurico Orellana"/>
    <x v="654"/>
    <x v="7"/>
    <x v="1"/>
    <x v="18"/>
    <s v="mantension semestral solenoide."/>
    <m/>
    <x v="2"/>
    <n v="7"/>
  </r>
  <r>
    <x v="17"/>
    <x v="61"/>
    <s v="Maurico Orellana"/>
    <x v="655"/>
    <x v="7"/>
    <x v="2"/>
    <x v="18"/>
    <s v="revision, reparacion horaria y coneccion app wes."/>
    <m/>
    <x v="2"/>
    <n v="10"/>
  </r>
  <r>
    <x v="17"/>
    <x v="61"/>
    <s v="Maurico Orellana"/>
    <x v="656"/>
    <x v="7"/>
    <x v="1"/>
    <x v="18"/>
    <s v="se detecta sobre consumo prolongado en app wes, por lo tanto se prosede a revisar regulacion detectando alteracion en llaves de valvulas."/>
    <s v="se regula configuracion de presion alta 05:30&gt;01:00 media 01:00&gt;05:30 ; se asegura abastesimiento de agua a enfermeria de la unidad."/>
    <x v="2"/>
    <n v="9"/>
  </r>
  <r>
    <x v="17"/>
    <x v="61"/>
    <s v="Maurico Orellana"/>
    <x v="606"/>
    <x v="7"/>
    <x v="1"/>
    <x v="18"/>
    <s v="cambio de solenoide en valvula de alta"/>
    <s v="presion alta 940LxM- media 700LxM- baja 240LxM"/>
    <x v="3"/>
    <n v="6"/>
  </r>
  <r>
    <x v="17"/>
    <x v="61"/>
    <s v="Maurico Orellana"/>
    <x v="657"/>
    <x v="7"/>
    <x v="1"/>
    <x v="18"/>
    <s v="se activa llave de emergencia dejando caudal al 100%, por problema de caudal u presion en torre 3."/>
    <s v="se recomienda revisar shaff de alimentacion a las 3 torres y solisitar a aguas andinas limpieza de filtros."/>
    <x v="3"/>
    <n v="8"/>
  </r>
  <r>
    <x v="17"/>
    <x v="61"/>
    <s v="Maurico Orellana"/>
    <x v="276"/>
    <x v="7"/>
    <x v="1"/>
    <x v="18"/>
    <s v="por motivo de solenoide defectuosa, valvula permanece cerrada."/>
    <s v="se remplaza solenoide, dejando sistema operativo."/>
    <x v="3"/>
    <n v="7"/>
  </r>
  <r>
    <x v="17"/>
    <x v="61"/>
    <s v="Maurico Orellana"/>
    <x v="658"/>
    <x v="7"/>
    <x v="1"/>
    <x v="18"/>
    <s v="ajuste programacion horarios; presion alta&gt;06:00-14:00- baja&gt;14:00-22:00"/>
    <s v="presion alta; 900LxM media -500LxM baja 400LxM"/>
    <x v="3"/>
    <n v="6"/>
  </r>
  <r>
    <x v="17"/>
    <x v="61"/>
    <s v="Maurico Orellana"/>
    <x v="591"/>
    <x v="0"/>
    <x v="1"/>
    <x v="5"/>
    <s v="programacion horarios"/>
    <s v="presion alta; 06:00&gt;15:00&gt;900LxM media 15:00&gt;23:59-500LxM baja; 00:01&gt;06:00 300LxM - instalaion bateria de respaldo."/>
    <x v="6"/>
    <n v="1"/>
  </r>
  <r>
    <x v="17"/>
    <x v="61"/>
    <s v="Maurico Orellana"/>
    <x v="659"/>
    <x v="0"/>
    <x v="1"/>
    <x v="5"/>
    <s v="ajuste programacion horarios"/>
    <s v="presion alta; 06:00&gt;22:00-1150LxM media 22:00&gt;23:50-500LxM baja; 23:59&gt;06:00 300LxM"/>
    <x v="6"/>
    <n v="1"/>
  </r>
  <r>
    <x v="17"/>
    <x v="61"/>
    <s v="Maurico Orellana"/>
    <x v="532"/>
    <x v="0"/>
    <x v="4"/>
    <x v="28"/>
    <s v="alimentacion a placa wes sin energia"/>
    <s v="se normaliza alimentacion 24v a placa dejando equipo operativo."/>
    <x v="6"/>
    <n v="1"/>
  </r>
  <r>
    <x v="17"/>
    <x v="61"/>
    <s v="Maurico Orellana"/>
    <x v="660"/>
    <x v="0"/>
    <x v="1"/>
    <x v="10"/>
    <s v="apertura llave de emergencia."/>
    <s v="se regula caudal nocturno."/>
    <x v="6"/>
    <n v="2"/>
  </r>
  <r>
    <x v="17"/>
    <x v="61"/>
    <s v="Maurico Orellana"/>
    <x v="435"/>
    <x v="1"/>
    <x v="1"/>
    <x v="15"/>
    <s v="mantencion, cambio de solenoides, chequeo de horarios, regulacion caudal nocturno."/>
    <s v="regulaciones; nocturna 230LxM-alta dia 1030 LxM."/>
    <x v="6"/>
    <n v="3"/>
  </r>
  <r>
    <x v="17"/>
    <x v="61"/>
    <s v="Maurico Orellana"/>
    <x v="661"/>
    <x v="0"/>
    <x v="4"/>
    <x v="28"/>
    <s v="equipo de control CIR sin energia producto de diferencial caido en tablero principal empalmado, se normalisa situacion sin mayor modificacion."/>
    <s v="se realiza mantencion semestral a solenoides."/>
    <x v="6"/>
    <n v="4"/>
  </r>
  <r>
    <x v="17"/>
    <x v="61"/>
    <s v="Maurico Orellana"/>
    <x v="662"/>
    <x v="0"/>
    <x v="4"/>
    <x v="19"/>
    <s v="cambio de fuente switching"/>
    <s v="se remplaza fuente afectada y se mejora sellado en canalisacion para evitar ingreso de aguas lluvias a gavinete wes."/>
    <x v="6"/>
    <n v="7"/>
  </r>
  <r>
    <x v="17"/>
    <x v="61"/>
    <s v="Maurico Orellana"/>
    <x v="663"/>
    <x v="0"/>
    <x v="4"/>
    <x v="19"/>
    <s v="fuenete afectada por aguas lluvias."/>
    <s v="se activa bypass en valvulas para eventual cambio de fuente switching."/>
    <x v="6"/>
    <n v="7"/>
  </r>
  <r>
    <x v="17"/>
    <x v="61"/>
    <s v="Maurico Orellana"/>
    <x v="621"/>
    <x v="1"/>
    <x v="9"/>
    <x v="36"/>
    <s v="fin auditoria con control"/>
    <m/>
    <x v="6"/>
    <n v="9"/>
  </r>
  <r>
    <x v="17"/>
    <x v="61"/>
    <s v="Maurico Orellana"/>
    <x v="623"/>
    <x v="1"/>
    <x v="9"/>
    <x v="35"/>
    <s v="inicio auditoria sin control"/>
    <s v="lectura medidor 788728"/>
    <x v="6"/>
    <n v="8"/>
  </r>
  <r>
    <x v="17"/>
    <x v="61"/>
    <s v="Maurico Orellana"/>
    <x v="620"/>
    <x v="0"/>
    <x v="1"/>
    <x v="5"/>
    <s v="regulacion nocturna 65 LxM"/>
    <m/>
    <x v="6"/>
    <n v="9"/>
  </r>
  <r>
    <x v="17"/>
    <x v="61"/>
    <s v="Maurico Orellana"/>
    <x v="664"/>
    <x v="1"/>
    <x v="3"/>
    <x v="45"/>
    <s v="instalacion router comunicacion+ placa comunicacion, comunicacion y red de datos."/>
    <m/>
    <x v="6"/>
    <n v="10"/>
  </r>
  <r>
    <x v="17"/>
    <x v="61"/>
    <s v="Maurico Orellana"/>
    <x v="665"/>
    <x v="0"/>
    <x v="1"/>
    <x v="5"/>
    <s v="regulacion nocturna 180 LxM"/>
    <s v="se regulan valvulas de control presion alta-media-corte"/>
    <x v="6"/>
    <n v="11"/>
  </r>
  <r>
    <x v="17"/>
    <x v="61"/>
    <s v="Maurico Orellana"/>
    <x v="666"/>
    <x v="1"/>
    <x v="2"/>
    <x v="3"/>
    <s v="actualización pick it"/>
    <s v="se realiza mantenimiento a solenoide y se regula llave nocturna a 150LxM"/>
    <x v="6"/>
    <n v="11"/>
  </r>
  <r>
    <x v="17"/>
    <x v="61"/>
    <s v="Maurico Orellana"/>
    <x v="667"/>
    <x v="0"/>
    <x v="1"/>
    <x v="16"/>
    <s v="reparacion fuga en solenoide"/>
    <s v="prueba de corte y apertura, ok."/>
    <x v="5"/>
    <n v="2"/>
  </r>
  <r>
    <x v="17"/>
    <x v="61"/>
    <s v="Maurico Orellana"/>
    <x v="618"/>
    <x v="1"/>
    <x v="1"/>
    <x v="16"/>
    <s v="cambio de 2 solenoides (NO)"/>
    <s v="cambio de solenoide por mantencion"/>
    <x v="5"/>
    <n v="5"/>
  </r>
  <r>
    <x v="17"/>
    <x v="67"/>
    <s v="Mauricio Orellana"/>
    <x v="564"/>
    <x v="0"/>
    <x v="4"/>
    <x v="19"/>
    <s v="24 volt genenra daño en las bobinas de la solenide probocando corte circuto en la placa envindo un tren de pulsos que dañan la fuente y los integrados ( max232 reloj pick y memoria). por esta razon se instala fuente switching de 12 volt 5 amper para placa y control y una fuente switching de 24 volt 3 amper para el funcionamiento del amplimax"/>
    <s v="fusible de proteccion de placa esta operado"/>
    <x v="5"/>
    <n v="4"/>
  </r>
  <r>
    <x v="17"/>
    <x v="67"/>
    <s v="Mauricio Orellana"/>
    <x v="483"/>
    <x v="0"/>
    <x v="1"/>
    <x v="8"/>
    <s v="REGULACION LLAVE EMERGENCIA, CAMBIO DE VALVULA, EXTENCION HORARIO CORTE."/>
    <s v="SE DETERMINA QUE VALVULA EN FUNCIONAMIENTO NO CIERRA EN HORARIO CORTE, POR LO QUE SE CAMBIA SOLENOIDE (NO) A VALBULA EN FUNCIONAMIENTO."/>
    <x v="5"/>
    <n v="5"/>
  </r>
  <r>
    <x v="17"/>
    <x v="67"/>
    <s v="Anibal Aranda"/>
    <x v="546"/>
    <x v="0"/>
    <x v="3"/>
    <x v="55"/>
    <s v="Max 232 dañada, se cambia integrado dejando equipo operativo"/>
    <s v="Se mantien regulacion y horario de control"/>
    <x v="5"/>
    <n v="5"/>
  </r>
  <r>
    <x v="10"/>
    <x v="41"/>
    <s v="Mauricio Orellana"/>
    <x v="483"/>
    <x v="0"/>
    <x v="1"/>
    <x v="7"/>
    <s v="SE REINSTALA SENSOR DE PULSO FIJANDOLO CON AMARRAS PARA SU PERMANENCIA EN MEDIDOR."/>
    <m/>
    <x v="5"/>
    <n v="5"/>
  </r>
  <r>
    <x v="17"/>
    <x v="62"/>
    <s v="Mirko Lorca"/>
    <x v="668"/>
    <x v="7"/>
    <x v="1"/>
    <x v="18"/>
    <s v="Programacion valculas solenoides segun horario._x000a_Pruebas conectividad y funcionalidad._x000a_Chequeo de sistema general._x000a_Se realizaron visitas dentro de los proximos dias para lectura y medicion"/>
    <m/>
    <x v="3"/>
    <n v="1"/>
  </r>
  <r>
    <x v="17"/>
    <x v="62"/>
    <s v="Mirko Lorca"/>
    <x v="626"/>
    <x v="7"/>
    <x v="1"/>
    <x v="18"/>
    <s v="Regulacion N°1_x000a_07:00 a 23:00 100%_x000a_23:00 a 07:00 60%"/>
    <m/>
    <x v="3"/>
    <n v="1"/>
  </r>
  <r>
    <x v="17"/>
    <x v="62"/>
    <s v="Mirko Lorca"/>
    <x v="669"/>
    <x v="7"/>
    <x v="1"/>
    <x v="18"/>
    <s v="Via app se detecta violacion de sistemas con llaves de control abiertas 100%._x000a_Se realiza ajuste de presiones y caudal._x000a_ALta presion: 800LXM 90%_x000a_Baja preison: 600LXM 60%_x000a_Nocturna: 300 LXM 30%"/>
    <m/>
    <x v="3"/>
    <n v="2"/>
  </r>
  <r>
    <x v="17"/>
    <x v="62"/>
    <s v="Mirko Lorca"/>
    <x v="613"/>
    <x v="7"/>
    <x v="1"/>
    <x v="18"/>
    <s v="Regulacion alta presion 100% entre 14:00ma 22:00"/>
    <m/>
    <x v="3"/>
    <n v="2"/>
  </r>
  <r>
    <x v="17"/>
    <x v="62"/>
    <s v="Mirko Lorca"/>
    <x v="670"/>
    <x v="7"/>
    <x v="1"/>
    <x v="18"/>
    <m/>
    <m/>
    <x v="3"/>
    <n v="3"/>
  </r>
  <r>
    <x v="17"/>
    <x v="62"/>
    <s v="Anibal Aranda"/>
    <x v="541"/>
    <x v="7"/>
    <x v="1"/>
    <x v="18"/>
    <s v="Normalizacion de ajustes de caudal 12:00 a 22:30 100%_x000a_Reviosn del caudal de llenado para estanque de poblacion penal operativa._x000a_Presion en liceo adecuada para funcionameinto el problema esta localizado en una llave de paso defectuosa"/>
    <m/>
    <x v="3"/>
    <n v="3"/>
  </r>
  <r>
    <x v="17"/>
    <x v="62"/>
    <s v="Cristian Sepulveda"/>
    <x v="671"/>
    <x v="7"/>
    <x v="1"/>
    <x v="18"/>
    <s v="Reviosn completa del CIR y CPA_x000a_Regulacion:"/>
    <m/>
    <x v="3"/>
    <n v="5"/>
  </r>
  <r>
    <x v="17"/>
    <x v="62"/>
    <s v="Cristian Sepulveda"/>
    <x v="602"/>
    <x v="7"/>
    <x v="1"/>
    <x v="18"/>
    <s v="Se realiza regulacion de 600 lxm a 300 lxm"/>
    <m/>
    <x v="3"/>
    <n v="5"/>
  </r>
  <r>
    <x v="17"/>
    <x v="62"/>
    <s v="Anibal Aranda"/>
    <x v="672"/>
    <x v="7"/>
    <x v="1"/>
    <x v="18"/>
    <s v="Regulacion nocturna 200 LXM_x000a_Cambio de solenoide de NO a NC"/>
    <m/>
    <x v="3"/>
    <n v="5"/>
  </r>
  <r>
    <x v="17"/>
    <x v="62"/>
    <s v="Anibal Aranda"/>
    <x v="673"/>
    <x v="1"/>
    <x v="1"/>
    <x v="16"/>
    <s v="Cambio de solenoide por mtto preventvio._x000a_Avanzada de guardia con baja presion solicita apertura de llaver emergencia"/>
    <s v="Se realizan 2 pruebas entregando 200 LXM se verifica la presion en la avanzada y luego entregar el 100% en la avanada verificando la presion en ambas pruebas la presion fue igual por lo tanto el problema esta en la linea que alimenta la avzanda o en la llave de paso que tiene dicha linea."/>
    <x v="3"/>
    <n v="9"/>
  </r>
  <r>
    <x v="17"/>
    <x v="62"/>
    <s v="Anibal Aranda"/>
    <x v="674"/>
    <x v="7"/>
    <x v="1"/>
    <x v="18"/>
    <s v="Implementacion de regulacion 50% nocturno"/>
    <m/>
    <x v="3"/>
    <n v="12"/>
  </r>
  <r>
    <x v="17"/>
    <x v="62"/>
    <s v="Anibal Aranda"/>
    <x v="675"/>
    <x v="1"/>
    <x v="9"/>
    <x v="36"/>
    <s v="Fin Auditoria sin ciontrol_x000a_Wes: 352980_x000a_Sacyr: 283359"/>
    <m/>
    <x v="3"/>
    <n v="12"/>
  </r>
  <r>
    <x v="17"/>
    <x v="62"/>
    <s v="Anibal Aranda"/>
    <x v="676"/>
    <x v="1"/>
    <x v="9"/>
    <x v="35"/>
    <s v="Inicio Auditoria sin ciontrol_x000a_Wes: 343857_x000a_Sacyr: 273870"/>
    <m/>
    <x v="3"/>
    <n v="12"/>
  </r>
  <r>
    <x v="17"/>
    <x v="62"/>
    <s v="Mirko Lorca"/>
    <x v="677"/>
    <x v="0"/>
    <x v="1"/>
    <x v="16"/>
    <s v="Regulacion noncturna 20%_x000a_Regulacion día 100%Cambio de solenoides_x000a_sistema de comunicacion funcionando ok"/>
    <m/>
    <x v="6"/>
    <n v="5"/>
  </r>
  <r>
    <x v="17"/>
    <x v="62"/>
    <s v="Anibal Aranda"/>
    <x v="580"/>
    <x v="1"/>
    <x v="9"/>
    <x v="35"/>
    <s v="Lectura de medidores_x000a_WES: 603452_x000a_Sacyr: 565483"/>
    <m/>
    <x v="6"/>
    <n v="8"/>
  </r>
  <r>
    <x v="17"/>
    <x v="62"/>
    <s v="Anibal Aranda"/>
    <x v="678"/>
    <x v="0"/>
    <x v="1"/>
    <x v="1"/>
    <s v="Cambio de membran por no cierre de valvula_x000a_Se normaliza sistema de control"/>
    <m/>
    <x v="6"/>
    <n v="7"/>
  </r>
  <r>
    <x v="17"/>
    <x v="62"/>
    <s v="Anibal Aranda"/>
    <x v="679"/>
    <x v="1"/>
    <x v="9"/>
    <x v="35"/>
    <s v="Lectura de mediores _x000a_WES: 611328_x000a_Sacyr: 574441_x000a_"/>
    <m/>
    <x v="6"/>
    <n v="8"/>
  </r>
  <r>
    <x v="17"/>
    <x v="62"/>
    <s v="Mirko Lorca"/>
    <x v="680"/>
    <x v="1"/>
    <x v="9"/>
    <x v="35"/>
    <s v="Lectura de mediores _x000a_WES: 618072_x000a_Sacyr: 582233_x000a_"/>
    <m/>
    <x v="6"/>
    <n v="8"/>
  </r>
  <r>
    <x v="17"/>
    <x v="62"/>
    <s v="Maurico Orellana"/>
    <x v="574"/>
    <x v="0"/>
    <x v="0"/>
    <x v="14"/>
    <s v="Memoria de sistema electronico defectuoso provoca que falle el control del CPA en el horario nocturno_x000a_Cambio de memoria y de Solenoide"/>
    <m/>
    <x v="6"/>
    <n v="12"/>
  </r>
  <r>
    <x v="17"/>
    <x v="62"/>
    <s v="Maurico Orellana"/>
    <x v="573"/>
    <x v="0"/>
    <x v="1"/>
    <x v="5"/>
    <s v="Nueva regulacion y horario de baja presion ._x000a_sistema de comunicacion ok._x000a_Prueba de apertura y cierre de valvulas existoso."/>
    <m/>
    <x v="5"/>
    <n v="3"/>
  </r>
  <r>
    <x v="17"/>
    <x v="62"/>
    <s v="Mirko Lorca"/>
    <x v="681"/>
    <x v="0"/>
    <x v="1"/>
    <x v="5"/>
    <s v="Nueva regulacion y horario de baja presion ._x000a_sistema de comunicacion ok._x000a_Prueba de apertura y cierre de valvulas existoso."/>
    <m/>
    <x v="5"/>
    <n v="4"/>
  </r>
  <r>
    <x v="17"/>
    <x v="62"/>
    <s v="Anibal Aranda"/>
    <x v="392"/>
    <x v="0"/>
    <x v="3"/>
    <x v="4"/>
    <s v="Problema de configuracion en placa RS232 a LAn tiene mal configurado puerto, logrando llegar al servidor por no permiete conectarce desde el listener por el 2080._x000a_Regulacion de alta presion entre 05:00 a 23:00 y baja presion desde las 23:00 a 05:00"/>
    <m/>
    <x v="5"/>
    <n v="4"/>
  </r>
  <r>
    <x v="17"/>
    <x v="62"/>
    <s v="Anibal Aranda"/>
    <x v="682"/>
    <x v="0"/>
    <x v="1"/>
    <x v="16"/>
    <s v="Se cambia valvula se alta por valvula de baja para el control nocturno con una solenoide NO"/>
    <m/>
    <x v="5"/>
    <n v="2"/>
  </r>
  <r>
    <x v="17"/>
    <x v="94"/>
    <s v="Mirko Lorca"/>
    <x v="242"/>
    <x v="7"/>
    <x v="4"/>
    <x v="18"/>
    <m/>
    <m/>
    <x v="3"/>
    <n v="3"/>
  </r>
  <r>
    <x v="17"/>
    <x v="94"/>
    <s v="Anibal Aranda"/>
    <x v="683"/>
    <x v="7"/>
    <x v="1"/>
    <x v="18"/>
    <s v="Regulacion:"/>
    <s v="Regulacion:_x000a_06:00 a 07:00 ALta 60%_x000a_10:00 a 15:00 ALta 60%_x000a_19:00 a 20:30 ALta 60%_x000a_07:00 a 10:00 Baja 30%_x000a_15:00 a 19:00 Baja 30%_x000a_20:30 a 23:59 Baja 30%_x000a_23:59 a 06:00 nocturna corte"/>
    <x v="3"/>
    <n v="3"/>
  </r>
  <r>
    <x v="17"/>
    <x v="92"/>
    <s v="Anibal Aranda"/>
    <x v="683"/>
    <x v="7"/>
    <x v="1"/>
    <x v="18"/>
    <s v="Regulacion:"/>
    <s v="Regulacion:_x000a_06:00 a 07:00 ALta 60%_x000a_10:00 a 15:00 ALta 60%_x000a_19:00 a 20:30 ALta 60%_x000a_07:00 a 10:00 Baja 30%_x000a_15:00 a 19:00 Baja 30%_x000a_20:30 a 23:59 Baja 30%_x000a_23:59 a 06:00 nocturna 10%"/>
    <x v="3"/>
    <n v="3"/>
  </r>
  <r>
    <x v="17"/>
    <x v="92"/>
    <s v="Anibal Aranda"/>
    <x v="684"/>
    <x v="7"/>
    <x v="1"/>
    <x v="18"/>
    <s v="Regulacion:"/>
    <s v="Regulacion:_x000a_06:00 a 07:00 ALta 80%_x000a_10:00 a 15:00 ALta 80%_x000a_19:00 a 20:30 ALta 80%_x000a_07:00 a 10:00 Baja 50%_x000a_15:00 a 19:00 Baja 50%_x000a_20:30 a 23:59 Baja 50%_x000a_23:59 a 06:00 nocturna 10%"/>
    <x v="3"/>
    <n v="3"/>
  </r>
  <r>
    <x v="17"/>
    <x v="94"/>
    <s v="Anibal Aranda"/>
    <x v="684"/>
    <x v="7"/>
    <x v="1"/>
    <x v="18"/>
    <s v="Regulacion:"/>
    <s v="Regulacion:_x000a_06:00 a 07:00 ALta 80%_x000a_10:00 a 15:00 ALta 80%_x000a_19:00 a 20:30 ALta 80%_x000a_07:00 a 10:00 ALta 50%_x000a_15:00 a 19:00 ALta 50%_x000a_20:30 a 23:59 ALta 50%_x000a_Corte noctuno"/>
    <x v="3"/>
    <n v="3"/>
  </r>
  <r>
    <x v="17"/>
    <x v="94"/>
    <s v="Anibal Aranda"/>
    <x v="542"/>
    <x v="7"/>
    <x v="4"/>
    <x v="18"/>
    <s v="Se realiza visita por sistema desconectado._x000a_Motivo de la desconexion es el automatico del tablero genral bajado"/>
    <m/>
    <x v="3"/>
    <n v="3"/>
  </r>
  <r>
    <x v="17"/>
    <x v="94"/>
    <s v="Anibal Aranda"/>
    <x v="685"/>
    <x v="7"/>
    <x v="1"/>
    <x v="18"/>
    <s v="Regulacion:_x000a_05:30 a 23:59 80%_x000a_23:59 a 5:30 30 %"/>
    <m/>
    <x v="3"/>
    <n v="4"/>
  </r>
  <r>
    <x v="17"/>
    <x v="92"/>
    <s v="Anibal Aranda"/>
    <x v="685"/>
    <x v="7"/>
    <x v="1"/>
    <x v="18"/>
    <s v="Regulacion:_x000a_05:30 a 23:59 80%_x000a_23:59 a 5:30 30 %"/>
    <m/>
    <x v="3"/>
    <n v="4"/>
  </r>
  <r>
    <x v="17"/>
    <x v="92"/>
    <s v="Anibal Aranda"/>
    <x v="258"/>
    <x v="7"/>
    <x v="1"/>
    <x v="18"/>
    <s v="Aumento de presion en el equipo de adminitracion ñpor fuga en el edificio academico"/>
    <m/>
    <x v="3"/>
    <n v="4"/>
  </r>
  <r>
    <x v="17"/>
    <x v="92"/>
    <s v="Anibal Aranda"/>
    <x v="608"/>
    <x v="7"/>
    <x v="1"/>
    <x v="18"/>
    <s v="Regulacion horario nueva"/>
    <m/>
    <x v="3"/>
    <n v="5"/>
  </r>
  <r>
    <x v="17"/>
    <x v="92"/>
    <s v="Cristian Sepulveda"/>
    <x v="536"/>
    <x v="7"/>
    <x v="1"/>
    <x v="18"/>
    <s v="Regulacion: Especial para mejorar los rendimientos en el equipo"/>
    <m/>
    <x v="3"/>
    <n v="6"/>
  </r>
  <r>
    <x v="17"/>
    <x v="92"/>
    <s v="Anibal Aranda"/>
    <x v="605"/>
    <x v="7"/>
    <x v="1"/>
    <x v="18"/>
    <s v="Cambio de solenoides"/>
    <m/>
    <x v="3"/>
    <n v="6"/>
  </r>
  <r>
    <x v="17"/>
    <x v="94"/>
    <s v="Anibal Aranda"/>
    <x v="686"/>
    <x v="1"/>
    <x v="1"/>
    <x v="16"/>
    <s v="Cambio de solenoides"/>
    <m/>
    <x v="3"/>
    <n v="9"/>
  </r>
  <r>
    <x v="17"/>
    <x v="92"/>
    <s v="Anibal Aranda"/>
    <x v="686"/>
    <x v="1"/>
    <x v="1"/>
    <x v="16"/>
    <s v="Cambio de solenoides_x000a_Revison de conectividad"/>
    <m/>
    <x v="3"/>
    <n v="9"/>
  </r>
  <r>
    <x v="17"/>
    <x v="92"/>
    <s v="Anibal Aranda"/>
    <x v="657"/>
    <x v="7"/>
    <x v="4"/>
    <x v="18"/>
    <s v="Nirmalizacion de sistema administracion _x000a_Cambio de bateria"/>
    <m/>
    <x v="3"/>
    <n v="8"/>
  </r>
  <r>
    <x v="17"/>
    <x v="92"/>
    <s v="Anibal Aranda"/>
    <x v="687"/>
    <x v="7"/>
    <x v="4"/>
    <x v="18"/>
    <s v="Bateria Solar con 6.1 volt_x000a_No permite la pertura y cierre de valvulas_x000a_se pasa sistema a manual para no tenr problemas de falta de agua_x000a_Se realiza cambio de bateria para normalizar el funcionamiento"/>
    <m/>
    <x v="3"/>
    <n v="7"/>
  </r>
  <r>
    <x v="17"/>
    <x v="94"/>
    <s v="Anibal Aranda"/>
    <x v="687"/>
    <x v="7"/>
    <x v="0"/>
    <x v="18"/>
    <s v="Cambio de memoria"/>
    <m/>
    <x v="3"/>
    <n v="7"/>
  </r>
  <r>
    <x v="17"/>
    <x v="92"/>
    <s v="Mirko Lorca"/>
    <x v="688"/>
    <x v="0"/>
    <x v="4"/>
    <x v="28"/>
    <s v="Normalizacion de cto. _x000a_Pendiente goteo en solenoide"/>
    <m/>
    <x v="6"/>
    <n v="1"/>
  </r>
  <r>
    <x v="17"/>
    <x v="92"/>
    <s v="Anibal Aranda"/>
    <x v="689"/>
    <x v="1"/>
    <x v="9"/>
    <x v="35"/>
    <s v="Lectura AA: 742604_x000a_Lectura WES: 59990"/>
    <m/>
    <x v="6"/>
    <n v="2"/>
  </r>
  <r>
    <x v="17"/>
    <x v="94"/>
    <s v="Anibal Aranda"/>
    <x v="689"/>
    <x v="1"/>
    <x v="9"/>
    <x v="35"/>
    <s v="Lectura AA: 175249_x000a_Lectura WES: 20066"/>
    <m/>
    <x v="6"/>
    <n v="2"/>
  </r>
  <r>
    <x v="17"/>
    <x v="94"/>
    <s v="Mirko Lorca"/>
    <x v="690"/>
    <x v="0"/>
    <x v="1"/>
    <x v="5"/>
    <s v="Regulacion nocturna segun horarios emitidos por personal de genchi_x000a_90 LXM noche_x000a_Horario Baja 22:00 a 05:00_x000a_Pruebas de corte y bajo caudal._x000a_Sisitema en linea"/>
    <m/>
    <x v="6"/>
    <n v="2"/>
  </r>
  <r>
    <x v="17"/>
    <x v="94"/>
    <s v="Anibal Aranda"/>
    <x v="661"/>
    <x v="1"/>
    <x v="1"/>
    <x v="16"/>
    <s v="Mantenimeito CPA Cambio de Solenoides _x000a_Conectividad 3g cambiando Chip"/>
    <m/>
    <x v="6"/>
    <n v="4"/>
  </r>
  <r>
    <x v="17"/>
    <x v="92"/>
    <s v="Mirko Lorca"/>
    <x v="434"/>
    <x v="0"/>
    <x v="1"/>
    <x v="8"/>
    <s v="Sistema sin cerrar _x000a_Se debe cambiar solenoides y hacer mtto a las vlavulas"/>
    <m/>
    <x v="6"/>
    <n v="3"/>
  </r>
  <r>
    <x v="17"/>
    <x v="94"/>
    <s v="Mirko Lorca"/>
    <x v="434"/>
    <x v="0"/>
    <x v="1"/>
    <x v="16"/>
    <s v="Sistema regulado a 40 LXM niche placa queda ok_x000a_Se debe hacer cambio de solenoide y mtto a valvulas"/>
    <m/>
    <x v="6"/>
    <n v="3"/>
  </r>
  <r>
    <x v="17"/>
    <x v="94"/>
    <s v="Mirko Lorca"/>
    <x v="691"/>
    <x v="0"/>
    <x v="3"/>
    <x v="6"/>
    <s v="Cambio Borner de alimentacion tablero sin energia_x000a_Cambio de moden 3G y chip de comunicacion"/>
    <m/>
    <x v="6"/>
    <n v="5"/>
  </r>
  <r>
    <x v="17"/>
    <x v="92"/>
    <s v="Mirko Lorca"/>
    <x v="623"/>
    <x v="1"/>
    <x v="9"/>
    <x v="35"/>
    <s v="Inicio Auditoria sin Wes_x000a_Lecutura WES: 85391_x000a_Lectura AA: 768382"/>
    <m/>
    <x v="6"/>
    <n v="8"/>
  </r>
  <r>
    <x v="17"/>
    <x v="94"/>
    <s v="Mirko Lorca"/>
    <x v="623"/>
    <x v="1"/>
    <x v="9"/>
    <x v="35"/>
    <s v="Inicio Auditoria sin Wes_x000a_Lecutura WES:"/>
    <m/>
    <x v="6"/>
    <n v="8"/>
  </r>
  <r>
    <x v="17"/>
    <x v="94"/>
    <s v="Anibal Aranda"/>
    <x v="692"/>
    <x v="1"/>
    <x v="9"/>
    <x v="36"/>
    <s v="FIn Auditoria Sin WES_x000a_Inicio Auditoria Con Wes_x000a_Lecutura WES: 29290"/>
    <m/>
    <x v="6"/>
    <n v="8"/>
  </r>
  <r>
    <x v="17"/>
    <x v="92"/>
    <s v="Anibal Aranda"/>
    <x v="692"/>
    <x v="1"/>
    <x v="9"/>
    <x v="36"/>
    <s v="FIn Auditoria Sin WES_x000a_Inicio Auditoria Con Wes_x000a_Lecutura WES: 83414"/>
    <m/>
    <x v="6"/>
    <n v="8"/>
  </r>
  <r>
    <x v="17"/>
    <x v="92"/>
    <s v="Anibal Aranda"/>
    <x v="693"/>
    <x v="1"/>
    <x v="9"/>
    <x v="35"/>
    <s v="Lectura AA: 767157_x000a_Lecutura WES: 84185"/>
    <m/>
    <x v="6"/>
    <n v="8"/>
  </r>
  <r>
    <x v="17"/>
    <x v="94"/>
    <s v="Anibal Aranda"/>
    <x v="693"/>
    <x v="1"/>
    <x v="9"/>
    <x v="35"/>
    <s v="Lectura AA: 184111_x000a_Lecutura WES: 29712"/>
    <m/>
    <x v="6"/>
    <n v="8"/>
  </r>
  <r>
    <x v="17"/>
    <x v="94"/>
    <s v="Anibal Aranda"/>
    <x v="621"/>
    <x v="1"/>
    <x v="9"/>
    <x v="35"/>
    <s v="Lectura AA: 185277_x000a_Lecutura WES: 30885"/>
    <m/>
    <x v="6"/>
    <n v="9"/>
  </r>
  <r>
    <x v="17"/>
    <x v="92"/>
    <s v="Anibal Aranda"/>
    <x v="621"/>
    <x v="1"/>
    <x v="9"/>
    <x v="35"/>
    <s v="Lectura AA: 86799_x000a_Lecutura WES: 769805"/>
    <m/>
    <x v="6"/>
    <n v="9"/>
  </r>
  <r>
    <x v="17"/>
    <x v="92"/>
    <s v="Mirko Lorca"/>
    <x v="496"/>
    <x v="1"/>
    <x v="9"/>
    <x v="35"/>
    <s v="lectura 83849"/>
    <m/>
    <x v="6"/>
    <n v="8"/>
  </r>
  <r>
    <x v="17"/>
    <x v="94"/>
    <s v="Mirko Lorca"/>
    <x v="496"/>
    <x v="1"/>
    <x v="9"/>
    <x v="35"/>
    <s v="lectura 029539"/>
    <m/>
    <x v="6"/>
    <n v="8"/>
  </r>
  <r>
    <x v="17"/>
    <x v="94"/>
    <s v="Mirko Lorca"/>
    <x v="694"/>
    <x v="1"/>
    <x v="9"/>
    <x v="35"/>
    <s v="lectura 183353"/>
    <m/>
    <x v="6"/>
    <n v="8"/>
  </r>
  <r>
    <x v="17"/>
    <x v="92"/>
    <s v="Mirko Lorca"/>
    <x v="694"/>
    <x v="0"/>
    <x v="1"/>
    <x v="5"/>
    <s v="Reluacion nocturna 18 LXM"/>
    <m/>
    <x v="6"/>
    <n v="8"/>
  </r>
  <r>
    <x v="17"/>
    <x v="92"/>
    <s v="Mirko Lorca"/>
    <x v="620"/>
    <x v="0"/>
    <x v="1"/>
    <x v="5"/>
    <s v="Reluacion nocturna 18 LXM"/>
    <m/>
    <x v="6"/>
    <n v="9"/>
  </r>
  <r>
    <x v="17"/>
    <x v="94"/>
    <s v="Mirko Lorca"/>
    <x v="576"/>
    <x v="0"/>
    <x v="0"/>
    <x v="0"/>
    <s v="Placa pegada en propgramacion / ultima conexion a 7 días_x000a_13:50; 26-10-22_x000a_Segir monitoreando falla_x000a_Cheque general"/>
    <m/>
    <x v="6"/>
    <n v="10"/>
  </r>
  <r>
    <x v="17"/>
    <x v="92"/>
    <s v="Anibal Aranda"/>
    <x v="576"/>
    <x v="1"/>
    <x v="1"/>
    <x v="16"/>
    <s v="Se realiza mtto de solenoide."/>
    <m/>
    <x v="6"/>
    <n v="10"/>
  </r>
  <r>
    <x v="17"/>
    <x v="92"/>
    <s v="Anibal Aranda"/>
    <x v="492"/>
    <x v="0"/>
    <x v="3"/>
    <x v="24"/>
    <s v="Cable desconectado impide encendido de router ocacionando la no conectividad._x000a_Se encuentran llave de emergencia abierta sin notificaciones preventiva. Al revisar el CPA se detecta que la solenoide de alta presion no abre la valvula probocando baja presion._x000a_Se realiza mtto de solenoide."/>
    <m/>
    <x v="5"/>
    <n v="1"/>
  </r>
  <r>
    <x v="17"/>
    <x v="94"/>
    <s v="Anibal Aranda"/>
    <x v="492"/>
    <x v="0"/>
    <x v="1"/>
    <x v="29"/>
    <s v="Americana de manometro con filtracion se encuentran oring dañnado._x000a_Se realiza cambio quedando sin filtracion._x000a_Se realiza mmto Solenoides y se normaliza el funcionamiento de CPA"/>
    <m/>
    <x v="5"/>
    <n v="1"/>
  </r>
  <r>
    <x v="17"/>
    <x v="92"/>
    <s v="Maurico Orellana"/>
    <x v="695"/>
    <x v="1"/>
    <x v="9"/>
    <x v="35"/>
    <s v="Inicio de auditoria sin wes_x000a_Lectura Admin: 105087"/>
    <m/>
    <x v="5"/>
    <n v="4"/>
  </r>
  <r>
    <x v="17"/>
    <x v="94"/>
    <s v="Maurico Orellana"/>
    <x v="695"/>
    <x v="1"/>
    <x v="9"/>
    <x v="35"/>
    <s v="Inicio de auditoria sin wes_x000a_Lectura Academia: 43609"/>
    <m/>
    <x v="5"/>
    <n v="4"/>
  </r>
  <r>
    <x v="17"/>
    <x v="92"/>
    <s v="Maurico Orellana"/>
    <x v="648"/>
    <x v="1"/>
    <x v="9"/>
    <x v="35"/>
    <s v="Inicio de auditoria sin wes_x000a_Lectura Admin: 105841"/>
    <m/>
    <x v="5"/>
    <n v="4"/>
  </r>
  <r>
    <x v="17"/>
    <x v="92"/>
    <s v="Maurico Orellana"/>
    <x v="696"/>
    <x v="1"/>
    <x v="9"/>
    <x v="35"/>
    <s v="Inicio de auditoria sin wes_x000a_Lectura Admin: 106669"/>
    <m/>
    <x v="5"/>
    <n v="4"/>
  </r>
  <r>
    <x v="17"/>
    <x v="94"/>
    <s v="Maurico Orellana"/>
    <x v="696"/>
    <x v="1"/>
    <x v="9"/>
    <x v="35"/>
    <s v="Inicio de auditoria sin wes_x000a_Lectura Academia: 44448"/>
    <m/>
    <x v="5"/>
    <n v="4"/>
  </r>
  <r>
    <x v="17"/>
    <x v="94"/>
    <s v="Anibal Aranda"/>
    <x v="681"/>
    <x v="1"/>
    <x v="9"/>
    <x v="36"/>
    <s v="Fin de auditoria_x000a_Academia: 15%_x000a_Lectura Academia: 44999"/>
    <m/>
    <x v="5"/>
    <n v="4"/>
  </r>
  <r>
    <x v="17"/>
    <x v="92"/>
    <s v="Anibal Aranda"/>
    <x v="681"/>
    <x v="1"/>
    <x v="9"/>
    <x v="36"/>
    <s v="Fin de auditoria_x000a_Administracion: 8%_x000a_Lectura Admin: 107568"/>
    <m/>
    <x v="5"/>
    <n v="4"/>
  </r>
  <r>
    <x v="17"/>
    <x v="94"/>
    <s v="Anibal Aranda"/>
    <x v="697"/>
    <x v="1"/>
    <x v="1"/>
    <x v="16"/>
    <s v="Cambio de Solenoide CPA 100% operativo_x000a_"/>
    <m/>
    <x v="5"/>
    <n v="5"/>
  </r>
  <r>
    <x v="17"/>
    <x v="92"/>
    <s v="Anibal Aranda"/>
    <x v="697"/>
    <x v="1"/>
    <x v="1"/>
    <x v="16"/>
    <s v="Cambio de Solenoide CPA 100% operativo_x000a_Cambio de memoria y fusible del sistema CPA"/>
    <m/>
    <x v="5"/>
    <n v="5"/>
  </r>
  <r>
    <x v="17"/>
    <x v="73"/>
    <s v="Anibal Aranda"/>
    <x v="431"/>
    <x v="0"/>
    <x v="1"/>
    <x v="29"/>
    <s v="Filtracion terminal de PVC hidraulico en llave de sistema WESReparacion con cambio de terminal"/>
    <m/>
    <x v="6"/>
    <n v="3"/>
  </r>
  <r>
    <x v="17"/>
    <x v="73"/>
    <s v="Anibal Aranda"/>
    <x v="698"/>
    <x v="3"/>
    <x v="8"/>
    <x v="18"/>
    <s v="Instalacion final de equipo ECOagua WES_x000a_Recepcion Conforme"/>
    <m/>
    <x v="6"/>
    <n v="2"/>
  </r>
  <r>
    <x v="17"/>
    <x v="73"/>
    <s v="Anibal Aranda"/>
    <x v="434"/>
    <x v="0"/>
    <x v="3"/>
    <x v="54"/>
    <s v="Problema de conectividad Chip operador defectuoso, se solicita cambio para posterior instalacion"/>
    <m/>
    <x v="6"/>
    <n v="3"/>
  </r>
  <r>
    <x v="17"/>
    <x v="73"/>
    <s v="Mirko Lorca"/>
    <x v="432"/>
    <x v="0"/>
    <x v="4"/>
    <x v="19"/>
    <s v="Sistema comunicado_x000a_Calibracion de puklso_x000a_Cambio de Fuente switching"/>
    <m/>
    <x v="6"/>
    <n v="3"/>
  </r>
  <r>
    <x v="17"/>
    <x v="84"/>
    <s v="Mirko Lorca"/>
    <x v="699"/>
    <x v="1"/>
    <x v="1"/>
    <x v="16"/>
    <s v="Cambio de solenoide para valvula de alta y baja"/>
    <m/>
    <x v="6"/>
    <n v="5"/>
  </r>
  <r>
    <x v="17"/>
    <x v="84"/>
    <s v="Anibal Aranda"/>
    <x v="439"/>
    <x v="1"/>
    <x v="3"/>
    <x v="52"/>
    <s v="Conectividad del sistema con equipo amplimax opera sin novedad _x000a_Artemio: 19969_x000a_Carmen 189153"/>
    <m/>
    <x v="6"/>
    <n v="4"/>
  </r>
  <r>
    <x v="17"/>
    <x v="73"/>
    <s v="Mirko Lorca"/>
    <x v="583"/>
    <x v="1"/>
    <x v="1"/>
    <x v="58"/>
    <s v="Habilitacion de ssitema Carmen Alta presion 04:45 a 23:00_x000a_Entrenamiento protocolo WES para emergencias._x000a_Guillermo Zapata recibe entrenamiento._x000a_Llave y protocolo en guardia general._x000a_Lectura: 194951"/>
    <m/>
    <x v="6"/>
    <n v="5"/>
  </r>
  <r>
    <x v="17"/>
    <x v="73"/>
    <s v="Mirko Lorca"/>
    <x v="694"/>
    <x v="1"/>
    <x v="9"/>
    <x v="35"/>
    <s v="Incio Auitoria sin WES_x000a_Lectura: 194951"/>
    <m/>
    <x v="6"/>
    <n v="8"/>
  </r>
  <r>
    <x v="17"/>
    <x v="73"/>
    <s v="Anibal Aranda"/>
    <x v="692"/>
    <x v="1"/>
    <x v="9"/>
    <x v="36"/>
    <s v="Auditoria sin wes finalizada_x000a_Incio Auitoria con WES_x000a_Lectura: 195307"/>
    <m/>
    <x v="6"/>
    <n v="8"/>
  </r>
  <r>
    <x v="17"/>
    <x v="73"/>
    <s v="Mirko Lorca"/>
    <x v="700"/>
    <x v="1"/>
    <x v="3"/>
    <x v="54"/>
    <s v="Cambio de sim para coenctividad_x000a_Sitema queda conectado con App WES_x000a_Lectura artemio: 187981_x000a_Lectura Carmen: 019801"/>
    <m/>
    <x v="6"/>
    <n v="3"/>
  </r>
  <r>
    <x v="17"/>
    <x v="73"/>
    <s v="Mirko Lorca"/>
    <x v="665"/>
    <x v="0"/>
    <x v="1"/>
    <x v="5"/>
    <s v="Llave de emergencia abierta _x000a_Se hacer regulacion nocturna 10 LXM_x000a_Ver integracion de control remoto_x000a_Corte ok"/>
    <m/>
    <x v="6"/>
    <n v="11"/>
  </r>
  <r>
    <x v="17"/>
    <x v="73"/>
    <s v="Anibal Aranda"/>
    <x v="701"/>
    <x v="1"/>
    <x v="9"/>
    <x v="35"/>
    <s v="Inicio auditoria Sin WES_x000a_Lectura 203586"/>
    <m/>
    <x v="5"/>
    <n v="2"/>
  </r>
  <r>
    <x v="17"/>
    <x v="73"/>
    <s v="Mirko Lorca"/>
    <x v="702"/>
    <x v="0"/>
    <x v="3"/>
    <x v="6"/>
    <s v="Normalizacion de comunicacion App_x000a_Inicio auditoria Sin WES_x000a_Lectura 204603"/>
    <m/>
    <x v="5"/>
    <n v="3"/>
  </r>
  <r>
    <x v="17"/>
    <x v="73"/>
    <s v="Maurico Orellana"/>
    <x v="393"/>
    <x v="1"/>
    <x v="9"/>
    <x v="35"/>
    <s v="Inicio auditoria con wes _x000a_Lectura 205182"/>
    <m/>
    <x v="5"/>
    <n v="4"/>
  </r>
  <r>
    <x v="17"/>
    <x v="73"/>
    <s v="Maurico Orellana"/>
    <x v="695"/>
    <x v="1"/>
    <x v="9"/>
    <x v="35"/>
    <s v="Inicio auditoria Son wes _x000a_Lectura 205270"/>
    <m/>
    <x v="5"/>
    <n v="4"/>
  </r>
  <r>
    <x v="17"/>
    <x v="73"/>
    <s v="Anibal Aranda"/>
    <x v="648"/>
    <x v="1"/>
    <x v="9"/>
    <x v="36"/>
    <s v="Fin auditoria con wes _x000a_Rendimiento del 24%_x000a_344.17 M3 = 399.233 CLP_x000a_Lectura 205513"/>
    <m/>
    <x v="5"/>
    <n v="4"/>
  </r>
  <r>
    <x v="21"/>
    <x v="95"/>
    <m/>
    <x v="703"/>
    <x v="0"/>
    <x v="8"/>
    <x v="18"/>
    <m/>
    <m/>
    <x v="8"/>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EC086DF-23D0-4D05-8C91-47E9A7588B8F}" name="TablaDinámica1" cacheId="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11">
  <location ref="B4:C20" firstHeaderRow="1" firstDataRow="1" firstDataCol="1" rowPageCount="2" colPageCount="1"/>
  <pivotFields count="11">
    <pivotField axis="axisRow" multipleItemSelectionAllowed="1" showAll="0" sortType="descending">
      <items count="23">
        <item sd="0" x="10"/>
        <item sd="0" x="13"/>
        <item sd="0" x="15"/>
        <item sd="0" x="7"/>
        <item x="0"/>
        <item sd="0" x="4"/>
        <item sd="0" x="16"/>
        <item sd="0" x="2"/>
        <item h="1" sd="0" x="17"/>
        <item x="20"/>
        <item sd="0" x="9"/>
        <item sd="0" x="5"/>
        <item sd="0" x="6"/>
        <item sd="0" x="11"/>
        <item sd="0" x="18"/>
        <item x="19"/>
        <item sd="0" x="12"/>
        <item sd="0" x="1"/>
        <item sd="0" x="3"/>
        <item sd="0" x="8"/>
        <item sd="0" x="14"/>
        <item x="21"/>
        <item t="default"/>
      </items>
      <autoSortScope>
        <pivotArea dataOnly="0" outline="0" fieldPosition="0">
          <references count="1">
            <reference field="4294967294" count="1" selected="0">
              <x v="0"/>
            </reference>
          </references>
        </pivotArea>
      </autoSortScope>
    </pivotField>
    <pivotField showAll="0"/>
    <pivotField showAll="0"/>
    <pivotField showAll="0"/>
    <pivotField axis="axisPage" multipleItemSelectionAllowed="1" showAll="0">
      <items count="9">
        <item x="0"/>
        <item x="2"/>
        <item x="1"/>
        <item h="1" x="7"/>
        <item h="1" x="3"/>
        <item h="1" x="4"/>
        <item h="1" x="5"/>
        <item h="1" x="6"/>
        <item t="default"/>
      </items>
    </pivotField>
    <pivotField dataField="1" showAll="0"/>
    <pivotField showAll="0"/>
    <pivotField showAll="0"/>
    <pivotField showAll="0"/>
    <pivotField axis="axisPage" multipleItemSelectionAllowed="1" showAll="0">
      <items count="10">
        <item h="1" x="7"/>
        <item h="1" x="2"/>
        <item h="1" x="3"/>
        <item h="1" x="6"/>
        <item h="1" x="5"/>
        <item h="1" x="4"/>
        <item h="1" x="0"/>
        <item x="1"/>
        <item h="1" x="8"/>
        <item t="default"/>
      </items>
    </pivotField>
    <pivotField showAll="0"/>
  </pivotFields>
  <rowFields count="1">
    <field x="0"/>
  </rowFields>
  <rowItems count="16">
    <i>
      <x v="4"/>
    </i>
    <i>
      <x v="3"/>
    </i>
    <i>
      <x v="18"/>
    </i>
    <i>
      <x v="12"/>
    </i>
    <i>
      <x v="17"/>
    </i>
    <i>
      <x v="2"/>
    </i>
    <i>
      <x v="5"/>
    </i>
    <i>
      <x/>
    </i>
    <i>
      <x v="16"/>
    </i>
    <i>
      <x v="11"/>
    </i>
    <i>
      <x v="20"/>
    </i>
    <i>
      <x v="1"/>
    </i>
    <i>
      <x v="7"/>
    </i>
    <i>
      <x v="13"/>
    </i>
    <i>
      <x v="10"/>
    </i>
    <i t="grand">
      <x/>
    </i>
  </rowItems>
  <colItems count="1">
    <i/>
  </colItems>
  <pageFields count="2">
    <pageField fld="9" hier="-1"/>
    <pageField fld="4" hier="-1"/>
  </pageFields>
  <dataFields count="1">
    <dataField name="Cuenta de Tipo de Falla" fld="5" subtotal="count" baseField="0" baseItem="0"/>
  </dataFields>
  <chartFormats count="8">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series="1">
      <pivotArea type="data" outline="0" fieldPosition="0">
        <references count="2">
          <reference field="4294967294" count="1" selected="0">
            <x v="0"/>
          </reference>
          <reference field="9" count="1" selected="0">
            <x v="7"/>
          </reference>
        </references>
      </pivotArea>
    </chartFormat>
    <chartFormat chart="3" format="4" series="1">
      <pivotArea type="data" outline="0" fieldPosition="0">
        <references count="2">
          <reference field="4294967294" count="1" selected="0">
            <x v="0"/>
          </reference>
          <reference field="9" count="1" selected="0">
            <x v="6"/>
          </reference>
        </references>
      </pivotArea>
    </chartFormat>
    <chartFormat chart="10" format="5" series="1">
      <pivotArea type="data" outline="0" fieldPosition="0">
        <references count="2">
          <reference field="4294967294" count="1" selected="0">
            <x v="0"/>
          </reference>
          <reference field="9" count="1" selected="0">
            <x v="6"/>
          </reference>
        </references>
      </pivotArea>
    </chartFormat>
    <chartFormat chart="10" format="6" series="1">
      <pivotArea type="data" outline="0" fieldPosition="0">
        <references count="2">
          <reference field="4294967294" count="1" selected="0">
            <x v="0"/>
          </reference>
          <reference field="9" count="1" selected="0">
            <x v="7"/>
          </reference>
        </references>
      </pivotArea>
    </chartFormat>
    <chartFormat chart="10"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B74C5EE-210D-4E9E-911D-D3BEAE4ACD10}" name="TablaDinámica1" cacheId="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12">
  <location ref="B5:C10" firstHeaderRow="1" firstDataRow="1" firstDataCol="1" rowPageCount="3" colPageCount="1"/>
  <pivotFields count="11">
    <pivotField axis="axisPage" multipleItemSelectionAllowed="1" showAll="0">
      <items count="23">
        <item h="1" sd="0" x="10"/>
        <item h="1" sd="0" x="13"/>
        <item sd="0" x="15"/>
        <item h="1" sd="0" x="7"/>
        <item h="1" x="0"/>
        <item h="1" sd="0" x="4"/>
        <item h="1" sd="0" x="16"/>
        <item h="1" sd="0" x="2"/>
        <item h="1" sd="0" x="17"/>
        <item h="1" x="20"/>
        <item h="1" sd="0" x="9"/>
        <item h="1" sd="0" x="5"/>
        <item h="1" sd="0" x="6"/>
        <item h="1" sd="0" x="11"/>
        <item h="1" sd="0" x="18"/>
        <item h="1" x="19"/>
        <item h="1" sd="0" x="12"/>
        <item h="1" sd="0" x="1"/>
        <item h="1" sd="0" x="3"/>
        <item h="1" sd="0" x="8"/>
        <item h="1" sd="0" x="14"/>
        <item h="1" x="21"/>
        <item t="default"/>
      </items>
    </pivotField>
    <pivotField axis="axisRow" showAll="0" sortType="descending">
      <items count="116">
        <item x="112"/>
        <item x="16"/>
        <item x="20"/>
        <item x="42"/>
        <item x="52"/>
        <item x="114"/>
        <item x="69"/>
        <item x="18"/>
        <item x="47"/>
        <item x="98"/>
        <item x="77"/>
        <item x="61"/>
        <item x="48"/>
        <item x="13"/>
        <item x="45"/>
        <item x="62"/>
        <item x="66"/>
        <item x="67"/>
        <item x="11"/>
        <item x="104"/>
        <item x="88"/>
        <item x="101"/>
        <item x="65"/>
        <item x="74"/>
        <item x="68"/>
        <item x="55"/>
        <item x="93"/>
        <item x="97"/>
        <item x="19"/>
        <item x="92"/>
        <item x="94"/>
        <item x="84"/>
        <item x="73"/>
        <item x="12"/>
        <item x="22"/>
        <item x="26"/>
        <item x="9"/>
        <item x="29"/>
        <item x="17"/>
        <item x="14"/>
        <item x="38"/>
        <item x="15"/>
        <item x="27"/>
        <item x="10"/>
        <item x="72"/>
        <item x="71"/>
        <item x="51"/>
        <item x="78"/>
        <item x="2"/>
        <item x="76"/>
        <item x="82"/>
        <item x="40"/>
        <item x="39"/>
        <item x="6"/>
        <item x="30"/>
        <item x="105"/>
        <item x="111"/>
        <item x="110"/>
        <item x="35"/>
        <item x="24"/>
        <item x="7"/>
        <item x="37"/>
        <item x="4"/>
        <item x="56"/>
        <item x="54"/>
        <item x="81"/>
        <item x="107"/>
        <item x="31"/>
        <item x="8"/>
        <item x="28"/>
        <item x="0"/>
        <item x="85"/>
        <item x="103"/>
        <item x="86"/>
        <item x="100"/>
        <item x="102"/>
        <item x="1"/>
        <item x="60"/>
        <item x="3"/>
        <item x="57"/>
        <item x="83"/>
        <item x="87"/>
        <item x="41"/>
        <item x="46"/>
        <item x="64"/>
        <item x="63"/>
        <item x="80"/>
        <item x="99"/>
        <item x="44"/>
        <item x="36"/>
        <item x="106"/>
        <item x="43"/>
        <item x="53"/>
        <item x="50"/>
        <item x="58"/>
        <item x="32"/>
        <item x="96"/>
        <item x="90"/>
        <item x="91"/>
        <item x="34"/>
        <item x="5"/>
        <item x="33"/>
        <item x="59"/>
        <item x="25"/>
        <item x="109"/>
        <item x="79"/>
        <item x="70"/>
        <item x="49"/>
        <item x="108"/>
        <item x="89"/>
        <item x="23"/>
        <item x="113"/>
        <item x="21"/>
        <item x="75"/>
        <item x="95"/>
        <item t="default"/>
      </items>
      <autoSortScope>
        <pivotArea dataOnly="0" outline="0" fieldPosition="0">
          <references count="1">
            <reference field="4294967294" count="1" selected="0">
              <x v="0"/>
            </reference>
          </references>
        </pivotArea>
      </autoSortScope>
    </pivotField>
    <pivotField showAll="0"/>
    <pivotField showAll="0"/>
    <pivotField axis="axisPage" multipleItemSelectionAllowed="1" showAll="0">
      <items count="9">
        <item x="0"/>
        <item h="1" x="2"/>
        <item x="1"/>
        <item h="1" x="7"/>
        <item h="1" x="3"/>
        <item h="1" x="4"/>
        <item h="1" x="5"/>
        <item h="1" x="6"/>
        <item t="default"/>
      </items>
    </pivotField>
    <pivotField dataField="1" showAll="0"/>
    <pivotField showAll="0"/>
    <pivotField showAll="0"/>
    <pivotField showAll="0"/>
    <pivotField axis="axisPage" multipleItemSelectionAllowed="1" showAll="0">
      <items count="10">
        <item h="1" x="7"/>
        <item h="1" x="2"/>
        <item h="1" x="3"/>
        <item h="1" x="6"/>
        <item h="1" x="5"/>
        <item h="1" x="4"/>
        <item h="1" x="0"/>
        <item x="1"/>
        <item h="1" x="8"/>
        <item t="default"/>
      </items>
    </pivotField>
    <pivotField showAll="0"/>
  </pivotFields>
  <rowFields count="1">
    <field x="1"/>
  </rowFields>
  <rowItems count="5">
    <i>
      <x v="20"/>
    </i>
    <i>
      <x v="92"/>
    </i>
    <i>
      <x v="105"/>
    </i>
    <i>
      <x v="65"/>
    </i>
    <i t="grand">
      <x/>
    </i>
  </rowItems>
  <colItems count="1">
    <i/>
  </colItems>
  <pageFields count="3">
    <pageField fld="9" hier="-1"/>
    <pageField fld="0" hier="-1"/>
    <pageField fld="4" hier="-1"/>
  </pageFields>
  <dataFields count="1">
    <dataField name="Cuenta de Tipo de Falla" fld="5" subtotal="count" baseField="0" baseItem="0"/>
  </dataFields>
  <chartFormats count="1">
    <chartFormat chart="11"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F43D4A0-B108-4FB8-A75C-167D999641D3}" name="TablaDinámica3" cacheId="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27">
  <location ref="B9:C15" firstHeaderRow="1" firstDataRow="1" firstDataCol="1" rowPageCount="3" colPageCount="1"/>
  <pivotFields count="11">
    <pivotField axis="axisPage" multipleItemSelectionAllowed="1" showAll="0">
      <items count="23">
        <item h="1" sd="0" x="10"/>
        <item h="1" sd="0" x="13"/>
        <item h="1" sd="0" x="15"/>
        <item h="1" sd="0" x="7"/>
        <item h="1" x="0"/>
        <item h="1" sd="0" x="4"/>
        <item h="1" sd="0" x="16"/>
        <item h="1" sd="0" x="2"/>
        <item h="1" sd="0" x="17"/>
        <item h="1" x="20"/>
        <item h="1" sd="0" x="9"/>
        <item h="1" sd="0" x="5"/>
        <item sd="0" x="6"/>
        <item h="1" sd="0" x="11"/>
        <item h="1" sd="0" x="18"/>
        <item h="1" x="19"/>
        <item h="1" sd="0" x="12"/>
        <item h="1" sd="0" x="1"/>
        <item h="1" sd="0" x="3"/>
        <item h="1" sd="0" x="8"/>
        <item h="1" sd="0" x="14"/>
        <item h="1" x="21"/>
        <item t="default"/>
      </items>
    </pivotField>
    <pivotField showAll="0">
      <items count="116">
        <item x="112"/>
        <item x="16"/>
        <item x="20"/>
        <item x="42"/>
        <item x="52"/>
        <item x="114"/>
        <item x="69"/>
        <item x="18"/>
        <item x="47"/>
        <item x="98"/>
        <item x="77"/>
        <item x="61"/>
        <item x="48"/>
        <item x="13"/>
        <item x="45"/>
        <item x="62"/>
        <item x="66"/>
        <item x="67"/>
        <item x="11"/>
        <item x="104"/>
        <item x="88"/>
        <item x="101"/>
        <item x="65"/>
        <item x="74"/>
        <item x="68"/>
        <item x="55"/>
        <item x="93"/>
        <item x="97"/>
        <item x="19"/>
        <item x="92"/>
        <item x="94"/>
        <item x="84"/>
        <item x="73"/>
        <item x="12"/>
        <item x="22"/>
        <item x="26"/>
        <item x="9"/>
        <item x="29"/>
        <item x="17"/>
        <item x="14"/>
        <item x="38"/>
        <item x="15"/>
        <item x="27"/>
        <item x="10"/>
        <item x="72"/>
        <item x="71"/>
        <item x="51"/>
        <item x="78"/>
        <item x="2"/>
        <item x="76"/>
        <item x="82"/>
        <item x="40"/>
        <item x="39"/>
        <item x="6"/>
        <item x="30"/>
        <item x="105"/>
        <item x="111"/>
        <item x="110"/>
        <item x="35"/>
        <item x="24"/>
        <item x="7"/>
        <item x="37"/>
        <item x="4"/>
        <item x="56"/>
        <item x="54"/>
        <item x="81"/>
        <item x="107"/>
        <item x="31"/>
        <item x="8"/>
        <item x="28"/>
        <item x="0"/>
        <item x="85"/>
        <item x="103"/>
        <item x="86"/>
        <item x="100"/>
        <item x="102"/>
        <item x="1"/>
        <item x="60"/>
        <item x="3"/>
        <item x="57"/>
        <item x="83"/>
        <item x="87"/>
        <item x="41"/>
        <item x="46"/>
        <item x="64"/>
        <item x="63"/>
        <item x="80"/>
        <item x="99"/>
        <item x="44"/>
        <item x="36"/>
        <item x="106"/>
        <item x="43"/>
        <item x="53"/>
        <item x="50"/>
        <item x="58"/>
        <item x="32"/>
        <item x="96"/>
        <item x="90"/>
        <item x="91"/>
        <item x="34"/>
        <item x="5"/>
        <item x="33"/>
        <item x="59"/>
        <item x="25"/>
        <item x="109"/>
        <item x="79"/>
        <item x="70"/>
        <item x="49"/>
        <item x="108"/>
        <item x="89"/>
        <item x="23"/>
        <item x="113"/>
        <item x="21"/>
        <item x="75"/>
        <item x="95"/>
        <item t="default"/>
      </items>
    </pivotField>
    <pivotField showAll="0"/>
    <pivotField showAll="0"/>
    <pivotField axis="axisPage" multipleItemSelectionAllowed="1" showAll="0">
      <items count="9">
        <item x="0"/>
        <item x="2"/>
        <item x="1"/>
        <item x="7"/>
        <item x="3"/>
        <item x="4"/>
        <item x="5"/>
        <item x="6"/>
        <item t="default"/>
      </items>
    </pivotField>
    <pivotField showAll="0">
      <items count="25">
        <item h="1" x="9"/>
        <item m="1" x="16"/>
        <item x="3"/>
        <item m="1" x="19"/>
        <item x="4"/>
        <item m="1" x="12"/>
        <item x="0"/>
        <item m="1" x="17"/>
        <item x="1"/>
        <item h="1" m="1" x="14"/>
        <item h="1" m="1" x="21"/>
        <item m="1" x="15"/>
        <item m="1" x="13"/>
        <item h="1" m="1" x="20"/>
        <item h="1" m="1" x="22"/>
        <item h="1" x="5"/>
        <item h="1" x="10"/>
        <item h="1" m="1" x="23"/>
        <item x="2"/>
        <item m="1" x="18"/>
        <item x="7"/>
        <item h="1" x="8"/>
        <item h="1" x="6"/>
        <item h="1" x="11"/>
        <item t="default"/>
      </items>
    </pivotField>
    <pivotField axis="axisRow" dataField="1" showAll="0" sortType="descending">
      <items count="60">
        <item x="3"/>
        <item x="39"/>
        <item x="52"/>
        <item x="38"/>
        <item x="10"/>
        <item x="46"/>
        <item x="33"/>
        <item x="44"/>
        <item x="48"/>
        <item x="9"/>
        <item x="57"/>
        <item x="28"/>
        <item x="56"/>
        <item x="30"/>
        <item x="6"/>
        <item x="17"/>
        <item x="34"/>
        <item x="43"/>
        <item x="19"/>
        <item x="29"/>
        <item x="58"/>
        <item x="42"/>
        <item x="22"/>
        <item x="31"/>
        <item x="7"/>
        <item x="50"/>
        <item x="11"/>
        <item x="55"/>
        <item x="47"/>
        <item x="1"/>
        <item x="14"/>
        <item x="37"/>
        <item x="41"/>
        <item x="0"/>
        <item x="4"/>
        <item x="5"/>
        <item x="2"/>
        <item x="26"/>
        <item x="13"/>
        <item x="49"/>
        <item x="25"/>
        <item x="53"/>
        <item x="15"/>
        <item x="21"/>
        <item x="24"/>
        <item x="40"/>
        <item x="27"/>
        <item x="12"/>
        <item x="54"/>
        <item x="51"/>
        <item x="16"/>
        <item x="36"/>
        <item x="35"/>
        <item x="20"/>
        <item x="45"/>
        <item x="23"/>
        <item x="32"/>
        <item x="8"/>
        <item x="18"/>
        <item t="default"/>
      </items>
      <autoSortScope>
        <pivotArea dataOnly="0" outline="0" fieldPosition="0">
          <references count="1">
            <reference field="4294967294" count="1" selected="0">
              <x v="0"/>
            </reference>
          </references>
        </pivotArea>
      </autoSortScope>
    </pivotField>
    <pivotField showAll="0"/>
    <pivotField showAll="0"/>
    <pivotField axis="axisPage" multipleItemSelectionAllowed="1" showAll="0">
      <items count="10">
        <item h="1" x="7"/>
        <item h="1" x="2"/>
        <item h="1" x="3"/>
        <item h="1" x="6"/>
        <item h="1" x="5"/>
        <item h="1" x="4"/>
        <item h="1" x="0"/>
        <item x="1"/>
        <item h="1" x="8"/>
        <item t="default"/>
      </items>
    </pivotField>
    <pivotField showAll="0"/>
  </pivotFields>
  <rowFields count="1">
    <field x="6"/>
  </rowFields>
  <rowItems count="6">
    <i>
      <x v="42"/>
    </i>
    <i>
      <x v="9"/>
    </i>
    <i>
      <x v="15"/>
    </i>
    <i>
      <x v="24"/>
    </i>
    <i>
      <x v="58"/>
    </i>
    <i t="grand">
      <x/>
    </i>
  </rowItems>
  <colItems count="1">
    <i/>
  </colItems>
  <pageFields count="3">
    <pageField fld="0" hier="-1"/>
    <pageField fld="9" hier="-1"/>
    <pageField fld="4" hier="-1"/>
  </pageFields>
  <dataFields count="1">
    <dataField name="Cuenta de Falla Expecifica" fld="6" subtotal="count" baseField="0" baseItem="0"/>
  </dataFields>
  <chartFormats count="1">
    <chartFormat chart="21" format="3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EFE63E7-9366-4778-951D-C6BFC44CA220}" name="TablaDinámica1" cacheId="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12">
  <location ref="B4:E21" firstHeaderRow="1" firstDataRow="2" firstDataCol="1" rowPageCount="1" colPageCount="1"/>
  <pivotFields count="11">
    <pivotField axis="axisRow" multipleItemSelectionAllowed="1" showAll="0" sortType="descending">
      <items count="23">
        <item sd="0" x="10"/>
        <item sd="0" x="13"/>
        <item sd="0" x="15"/>
        <item sd="0" x="7"/>
        <item x="0"/>
        <item sd="0" x="4"/>
        <item sd="0" x="16"/>
        <item sd="0" x="2"/>
        <item h="1" sd="0" x="17"/>
        <item x="20"/>
        <item sd="0" x="9"/>
        <item sd="0" x="5"/>
        <item sd="0" x="6"/>
        <item sd="0" x="11"/>
        <item sd="0" x="18"/>
        <item x="19"/>
        <item sd="0" x="12"/>
        <item sd="0" x="1"/>
        <item sd="0" x="3"/>
        <item sd="0" x="8"/>
        <item sd="0" x="14"/>
        <item x="21"/>
        <item t="default"/>
      </items>
      <autoSortScope>
        <pivotArea dataOnly="0" outline="0" fieldPosition="0">
          <references count="2">
            <reference field="4294967294" count="1" selected="0">
              <x v="0"/>
            </reference>
            <reference field="4" count="1" selected="0">
              <x v="0"/>
            </reference>
          </references>
        </pivotArea>
      </autoSortScope>
    </pivotField>
    <pivotField showAll="0"/>
    <pivotField showAll="0"/>
    <pivotField showAll="0"/>
    <pivotField axis="axisCol" multipleItemSelectionAllowed="1" showAll="0">
      <items count="9">
        <item x="0"/>
        <item h="1" x="2"/>
        <item x="1"/>
        <item h="1" x="7"/>
        <item h="1" x="3"/>
        <item h="1" x="4"/>
        <item h="1" x="5"/>
        <item h="1" x="6"/>
        <item t="default"/>
      </items>
    </pivotField>
    <pivotField dataField="1" showAll="0"/>
    <pivotField showAll="0"/>
    <pivotField showAll="0"/>
    <pivotField showAll="0"/>
    <pivotField axis="axisPage" multipleItemSelectionAllowed="1" showAll="0">
      <items count="10">
        <item h="1" x="7"/>
        <item h="1" x="2"/>
        <item h="1" x="3"/>
        <item h="1" x="6"/>
        <item h="1" x="5"/>
        <item h="1" x="4"/>
        <item h="1" x="0"/>
        <item x="1"/>
        <item h="1" x="8"/>
        <item t="default"/>
      </items>
    </pivotField>
    <pivotField showAll="0"/>
  </pivotFields>
  <rowFields count="1">
    <field x="0"/>
  </rowFields>
  <rowItems count="16">
    <i>
      <x v="4"/>
    </i>
    <i>
      <x v="3"/>
    </i>
    <i>
      <x v="17"/>
    </i>
    <i>
      <x v="18"/>
    </i>
    <i>
      <x v="12"/>
    </i>
    <i>
      <x v="2"/>
    </i>
    <i>
      <x v="5"/>
    </i>
    <i>
      <x v="11"/>
    </i>
    <i>
      <x v="16"/>
    </i>
    <i>
      <x v="20"/>
    </i>
    <i>
      <x/>
    </i>
    <i>
      <x v="1"/>
    </i>
    <i>
      <x v="13"/>
    </i>
    <i>
      <x v="10"/>
    </i>
    <i>
      <x v="7"/>
    </i>
    <i t="grand">
      <x/>
    </i>
  </rowItems>
  <colFields count="1">
    <field x="4"/>
  </colFields>
  <colItems count="3">
    <i>
      <x/>
    </i>
    <i>
      <x v="2"/>
    </i>
    <i t="grand">
      <x/>
    </i>
  </colItems>
  <pageFields count="1">
    <pageField fld="9" hier="-1"/>
  </pageFields>
  <dataFields count="1">
    <dataField name="Cuenta de Tipo de Falla" fld="5" subtotal="count" baseField="0" baseItem="0"/>
  </dataFields>
  <chartFormats count="12">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series="1">
      <pivotArea type="data" outline="0" fieldPosition="0">
        <references count="2">
          <reference field="4294967294" count="1" selected="0">
            <x v="0"/>
          </reference>
          <reference field="9" count="1" selected="0">
            <x v="7"/>
          </reference>
        </references>
      </pivotArea>
    </chartFormat>
    <chartFormat chart="3" format="4" series="1">
      <pivotArea type="data" outline="0" fieldPosition="0">
        <references count="2">
          <reference field="4294967294" count="1" selected="0">
            <x v="0"/>
          </reference>
          <reference field="9" count="1" selected="0">
            <x v="6"/>
          </reference>
        </references>
      </pivotArea>
    </chartFormat>
    <chartFormat chart="10" format="5" series="1">
      <pivotArea type="data" outline="0" fieldPosition="0">
        <references count="2">
          <reference field="4294967294" count="1" selected="0">
            <x v="0"/>
          </reference>
          <reference field="9" count="1" selected="0">
            <x v="6"/>
          </reference>
        </references>
      </pivotArea>
    </chartFormat>
    <chartFormat chart="10" format="6" series="1">
      <pivotArea type="data" outline="0" fieldPosition="0">
        <references count="2">
          <reference field="4294967294" count="1" selected="0">
            <x v="0"/>
          </reference>
          <reference field="9" count="1" selected="0">
            <x v="7"/>
          </reference>
        </references>
      </pivotArea>
    </chartFormat>
    <chartFormat chart="10" format="7" series="1">
      <pivotArea type="data" outline="0" fieldPosition="0">
        <references count="3">
          <reference field="4294967294" count="1" selected="0">
            <x v="0"/>
          </reference>
          <reference field="4" count="1" selected="0">
            <x v="0"/>
          </reference>
          <reference field="9" count="1" selected="0">
            <x v="7"/>
          </reference>
        </references>
      </pivotArea>
    </chartFormat>
    <chartFormat chart="10" format="8" series="1">
      <pivotArea type="data" outline="0" fieldPosition="0">
        <references count="3">
          <reference field="4294967294" count="1" selected="0">
            <x v="0"/>
          </reference>
          <reference field="4" count="1" selected="0">
            <x v="2"/>
          </reference>
          <reference field="9" count="1" selected="0">
            <x v="7"/>
          </reference>
        </references>
      </pivotArea>
    </chartFormat>
    <chartFormat chart="10" format="9" series="1">
      <pivotArea type="data" outline="0" fieldPosition="0">
        <references count="2">
          <reference field="4294967294" count="1" selected="0">
            <x v="0"/>
          </reference>
          <reference field="4" count="1" selected="0">
            <x v="0"/>
          </reference>
        </references>
      </pivotArea>
    </chartFormat>
    <chartFormat chart="10" format="10" series="1">
      <pivotArea type="data" outline="0" fieldPosition="0">
        <references count="2">
          <reference field="4294967294" count="1" selected="0">
            <x v="0"/>
          </reference>
          <reference field="4" count="1" selected="0">
            <x v="2"/>
          </reference>
        </references>
      </pivotArea>
    </chartFormat>
    <chartFormat chart="10" format="11" series="1">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109DB47-3B76-4910-BB87-D6686D6578E4}" name="TablaDinámica1" cacheId="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10">
  <location ref="B4:F25" firstHeaderRow="1" firstDataRow="2" firstDataCol="1"/>
  <pivotFields count="11">
    <pivotField axis="axisRow" multipleItemSelectionAllowed="1" showAll="0" sortType="descending">
      <items count="23">
        <item sd="0" x="10"/>
        <item sd="0" x="13"/>
        <item sd="0" x="15"/>
        <item sd="0" x="7"/>
        <item x="0"/>
        <item sd="0" x="4"/>
        <item sd="0" x="16"/>
        <item sd="0" x="2"/>
        <item h="1" sd="0" x="17"/>
        <item x="20"/>
        <item sd="0" x="9"/>
        <item sd="0" x="5"/>
        <item sd="0" x="6"/>
        <item sd="0" x="11"/>
        <item sd="0" x="18"/>
        <item x="19"/>
        <item sd="0" x="12"/>
        <item sd="0" x="1"/>
        <item sd="0" x="3"/>
        <item sd="0" x="8"/>
        <item sd="0" x="14"/>
        <item x="2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 showAll="0"/>
    <pivotField showAll="0"/>
    <pivotField axis="axisCol" multipleItemSelectionAllowed="1" showAll="0">
      <items count="10">
        <item h="1" x="7"/>
        <item h="1" x="2"/>
        <item h="1" x="3"/>
        <item h="1" x="6"/>
        <item h="1" x="5"/>
        <item x="4"/>
        <item x="0"/>
        <item x="1"/>
        <item h="1" x="8"/>
        <item t="default"/>
      </items>
    </pivotField>
    <pivotField showAll="0"/>
  </pivotFields>
  <rowFields count="1">
    <field x="0"/>
  </rowFields>
  <rowItems count="20">
    <i>
      <x v="4"/>
    </i>
    <i>
      <x v="3"/>
    </i>
    <i>
      <x v="5"/>
    </i>
    <i>
      <x v="2"/>
    </i>
    <i>
      <x v="12"/>
    </i>
    <i>
      <x/>
    </i>
    <i>
      <x v="1"/>
    </i>
    <i>
      <x v="18"/>
    </i>
    <i>
      <x v="17"/>
    </i>
    <i>
      <x v="19"/>
    </i>
    <i>
      <x v="16"/>
    </i>
    <i>
      <x v="11"/>
    </i>
    <i>
      <x v="20"/>
    </i>
    <i>
      <x v="14"/>
    </i>
    <i>
      <x v="13"/>
    </i>
    <i>
      <x v="7"/>
    </i>
    <i>
      <x v="10"/>
    </i>
    <i>
      <x v="6"/>
    </i>
    <i>
      <x v="15"/>
    </i>
    <i t="grand">
      <x/>
    </i>
  </rowItems>
  <colFields count="1">
    <field x="9"/>
  </colFields>
  <colItems count="4">
    <i>
      <x v="5"/>
    </i>
    <i>
      <x v="6"/>
    </i>
    <i>
      <x v="7"/>
    </i>
    <i t="grand">
      <x/>
    </i>
  </colItems>
  <dataFields count="1">
    <dataField name="Cuenta de Tipo de Falla" fld="5" subtotal="count" baseField="0" baseItem="0"/>
  </dataFields>
  <chartFormats count="6">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series="1">
      <pivotArea type="data" outline="0" fieldPosition="0">
        <references count="2">
          <reference field="4294967294" count="1" selected="0">
            <x v="0"/>
          </reference>
          <reference field="9" count="1" selected="0">
            <x v="7"/>
          </reference>
        </references>
      </pivotArea>
    </chartFormat>
    <chartFormat chart="3" format="4" series="1">
      <pivotArea type="data" outline="0" fieldPosition="0">
        <references count="2">
          <reference field="4294967294" count="1" selected="0">
            <x v="0"/>
          </reference>
          <reference field="9" count="1" selected="0">
            <x v="6"/>
          </reference>
        </references>
      </pivotArea>
    </chartFormat>
    <chartFormat chart="3" format="5" series="1">
      <pivotArea type="data" outline="0" fieldPosition="0">
        <references count="2">
          <reference field="4294967294" count="1" selected="0">
            <x v="0"/>
          </reference>
          <reference field="9"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23FA9BC-D7E6-4861-A52D-3B6C8241B579}" name="TablaDinámica1" cacheId="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20">
  <location ref="B4:F20" firstHeaderRow="1" firstDataRow="2" firstDataCol="1" rowPageCount="1" colPageCount="1"/>
  <pivotFields count="11">
    <pivotField axis="axisPage" multipleItemSelectionAllowed="1" showAll="0" sortType="descending">
      <items count="23">
        <item h="1" sd="0" x="10"/>
        <item h="1" sd="0" x="13"/>
        <item h="1" sd="0" x="15"/>
        <item h="1" sd="0" x="7"/>
        <item x="0"/>
        <item h="1" sd="0" x="4"/>
        <item h="1" sd="0" x="16"/>
        <item h="1" sd="0" x="2"/>
        <item h="1" sd="0" x="17"/>
        <item h="1" x="20"/>
        <item h="1" sd="0" x="9"/>
        <item h="1" sd="0" x="5"/>
        <item h="1" sd="0" x="6"/>
        <item h="1" sd="0" x="11"/>
        <item h="1" sd="0" x="18"/>
        <item h="1" x="19"/>
        <item h="1" sd="0" x="12"/>
        <item h="1" sd="0" x="1"/>
        <item h="1" sd="0" x="3"/>
        <item h="1" sd="0" x="8"/>
        <item h="1" sd="0" x="14"/>
        <item h="1" x="21"/>
        <item t="default"/>
      </items>
      <autoSortScope>
        <pivotArea dataOnly="0" outline="0" fieldPosition="0">
          <references count="1">
            <reference field="4294967294" count="1" selected="0">
              <x v="0"/>
            </reference>
          </references>
        </pivotArea>
      </autoSortScope>
    </pivotField>
    <pivotField axis="axisRow" showAll="0" sortType="descending">
      <items count="116">
        <item x="112"/>
        <item x="16"/>
        <item x="20"/>
        <item x="42"/>
        <item x="52"/>
        <item x="114"/>
        <item x="69"/>
        <item x="18"/>
        <item x="47"/>
        <item x="98"/>
        <item x="77"/>
        <item x="61"/>
        <item x="48"/>
        <item x="13"/>
        <item x="45"/>
        <item x="62"/>
        <item x="66"/>
        <item x="67"/>
        <item x="11"/>
        <item x="104"/>
        <item x="88"/>
        <item x="101"/>
        <item x="65"/>
        <item x="74"/>
        <item x="68"/>
        <item x="55"/>
        <item x="93"/>
        <item x="97"/>
        <item x="19"/>
        <item x="92"/>
        <item x="94"/>
        <item x="84"/>
        <item x="73"/>
        <item x="12"/>
        <item x="22"/>
        <item x="26"/>
        <item x="9"/>
        <item x="29"/>
        <item x="17"/>
        <item x="14"/>
        <item x="38"/>
        <item x="15"/>
        <item x="27"/>
        <item x="10"/>
        <item x="72"/>
        <item x="71"/>
        <item x="51"/>
        <item x="78"/>
        <item x="2"/>
        <item x="76"/>
        <item x="82"/>
        <item x="40"/>
        <item x="39"/>
        <item x="6"/>
        <item x="30"/>
        <item x="105"/>
        <item x="111"/>
        <item x="110"/>
        <item x="35"/>
        <item x="24"/>
        <item x="7"/>
        <item x="37"/>
        <item x="4"/>
        <item x="56"/>
        <item x="54"/>
        <item x="81"/>
        <item x="107"/>
        <item x="31"/>
        <item x="8"/>
        <item x="28"/>
        <item x="0"/>
        <item x="85"/>
        <item x="103"/>
        <item x="86"/>
        <item x="100"/>
        <item x="102"/>
        <item x="1"/>
        <item x="60"/>
        <item x="3"/>
        <item x="57"/>
        <item x="83"/>
        <item x="87"/>
        <item x="41"/>
        <item x="46"/>
        <item x="64"/>
        <item x="63"/>
        <item x="80"/>
        <item x="99"/>
        <item x="44"/>
        <item x="36"/>
        <item x="106"/>
        <item x="43"/>
        <item x="53"/>
        <item x="50"/>
        <item x="58"/>
        <item x="32"/>
        <item x="96"/>
        <item x="90"/>
        <item x="91"/>
        <item x="34"/>
        <item x="5"/>
        <item x="33"/>
        <item x="59"/>
        <item x="25"/>
        <item x="109"/>
        <item x="79"/>
        <item x="70"/>
        <item x="49"/>
        <item x="108"/>
        <item x="89"/>
        <item x="23"/>
        <item x="113"/>
        <item x="21"/>
        <item x="75"/>
        <item x="95"/>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pivotField showAll="0"/>
    <pivotField axis="axisCol" multipleItemSelectionAllowed="1" showAll="0">
      <items count="10">
        <item h="1" x="7"/>
        <item h="1" x="2"/>
        <item h="1" x="3"/>
        <item h="1" x="6"/>
        <item h="1" x="5"/>
        <item x="4"/>
        <item x="0"/>
        <item x="1"/>
        <item h="1" x="8"/>
        <item t="default"/>
      </items>
    </pivotField>
    <pivotField showAll="0"/>
  </pivotFields>
  <rowFields count="1">
    <field x="1"/>
  </rowFields>
  <rowItems count="15">
    <i>
      <x v="112"/>
    </i>
    <i>
      <x v="2"/>
    </i>
    <i>
      <x v="28"/>
    </i>
    <i>
      <x v="13"/>
    </i>
    <i>
      <x v="7"/>
    </i>
    <i>
      <x v="110"/>
    </i>
    <i>
      <x v="34"/>
    </i>
    <i>
      <x v="58"/>
    </i>
    <i>
      <x v="38"/>
    </i>
    <i>
      <x v="76"/>
    </i>
    <i>
      <x v="70"/>
    </i>
    <i>
      <x v="41"/>
    </i>
    <i>
      <x v="1"/>
    </i>
    <i>
      <x v="12"/>
    </i>
    <i t="grand">
      <x/>
    </i>
  </rowItems>
  <colFields count="1">
    <field x="9"/>
  </colFields>
  <colItems count="4">
    <i>
      <x v="5"/>
    </i>
    <i>
      <x v="6"/>
    </i>
    <i>
      <x v="7"/>
    </i>
    <i t="grand">
      <x/>
    </i>
  </colItems>
  <pageFields count="1">
    <pageField fld="0" hier="-1"/>
  </pageFields>
  <dataFields count="1">
    <dataField name="Cuenta de Tipo de Falla" fld="5" subtotal="count" baseField="0" baseItem="0"/>
  </dataFields>
  <chartFormats count="8">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series="1">
      <pivotArea type="data" outline="0" fieldPosition="0">
        <references count="2">
          <reference field="4294967294" count="1" selected="0">
            <x v="0"/>
          </reference>
          <reference field="9" count="1" selected="0">
            <x v="7"/>
          </reference>
        </references>
      </pivotArea>
    </chartFormat>
    <chartFormat chart="3" format="4" series="1">
      <pivotArea type="data" outline="0" fieldPosition="0">
        <references count="2">
          <reference field="4294967294" count="1" selected="0">
            <x v="0"/>
          </reference>
          <reference field="9" count="1" selected="0">
            <x v="6"/>
          </reference>
        </references>
      </pivotArea>
    </chartFormat>
    <chartFormat chart="10" format="5" series="1">
      <pivotArea type="data" outline="0" fieldPosition="0">
        <references count="2">
          <reference field="4294967294" count="1" selected="0">
            <x v="0"/>
          </reference>
          <reference field="9" count="1" selected="0">
            <x v="6"/>
          </reference>
        </references>
      </pivotArea>
    </chartFormat>
    <chartFormat chart="10" format="6" series="1">
      <pivotArea type="data" outline="0" fieldPosition="0">
        <references count="2">
          <reference field="4294967294" count="1" selected="0">
            <x v="0"/>
          </reference>
          <reference field="9" count="1" selected="0">
            <x v="7"/>
          </reference>
        </references>
      </pivotArea>
    </chartFormat>
    <chartFormat chart="10" format="7" series="1">
      <pivotArea type="data" outline="0" fieldPosition="0">
        <references count="2">
          <reference field="4294967294" count="1" selected="0">
            <x v="0"/>
          </reference>
          <reference field="9"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AAE603B-FFA5-4235-9F7F-A4A778DBB7B2}" name="TablaDinámica2" cacheId="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29">
  <location ref="B54:Q75" firstHeaderRow="1" firstDataRow="3" firstDataCol="1" rowPageCount="2" colPageCount="1"/>
  <pivotFields count="11">
    <pivotField axis="axisPage" multipleItemSelectionAllowed="1" showAll="0">
      <items count="23">
        <item h="1" sd="0" x="10"/>
        <item h="1" sd="0" x="13"/>
        <item h="1" sd="0" x="15"/>
        <item h="1" sd="0" x="7"/>
        <item x="0"/>
        <item h="1" sd="0" x="4"/>
        <item h="1" sd="0" x="16"/>
        <item h="1" sd="0" x="2"/>
        <item h="1" sd="0" x="17"/>
        <item h="1" x="20"/>
        <item h="1" sd="0" x="9"/>
        <item h="1" sd="0" x="5"/>
        <item h="1" sd="0" x="6"/>
        <item h="1" sd="0" x="11"/>
        <item h="1" sd="0" x="18"/>
        <item h="1" x="19"/>
        <item h="1" sd="0" x="12"/>
        <item h="1" sd="0" x="1"/>
        <item h="1" sd="0" x="3"/>
        <item h="1" sd="0" x="8"/>
        <item h="1" sd="0" x="14"/>
        <item h="1" x="21"/>
        <item t="default"/>
      </items>
    </pivotField>
    <pivotField axis="axisCol" showAll="0">
      <items count="116">
        <item x="112"/>
        <item x="16"/>
        <item x="20"/>
        <item x="42"/>
        <item x="52"/>
        <item x="114"/>
        <item x="69"/>
        <item x="18"/>
        <item x="47"/>
        <item x="98"/>
        <item x="77"/>
        <item x="61"/>
        <item x="48"/>
        <item x="13"/>
        <item x="45"/>
        <item x="62"/>
        <item x="66"/>
        <item x="67"/>
        <item x="11"/>
        <item x="104"/>
        <item x="88"/>
        <item x="101"/>
        <item x="65"/>
        <item x="74"/>
        <item x="68"/>
        <item x="55"/>
        <item x="93"/>
        <item x="97"/>
        <item x="19"/>
        <item x="92"/>
        <item x="94"/>
        <item x="84"/>
        <item x="73"/>
        <item x="12"/>
        <item x="22"/>
        <item x="26"/>
        <item x="9"/>
        <item x="29"/>
        <item x="17"/>
        <item x="14"/>
        <item x="38"/>
        <item x="15"/>
        <item x="27"/>
        <item x="10"/>
        <item x="72"/>
        <item x="71"/>
        <item x="51"/>
        <item x="78"/>
        <item x="2"/>
        <item x="76"/>
        <item x="82"/>
        <item x="40"/>
        <item x="39"/>
        <item x="6"/>
        <item x="30"/>
        <item x="105"/>
        <item x="111"/>
        <item x="110"/>
        <item x="35"/>
        <item x="24"/>
        <item x="7"/>
        <item x="37"/>
        <item x="4"/>
        <item x="56"/>
        <item x="54"/>
        <item x="81"/>
        <item x="107"/>
        <item x="31"/>
        <item x="8"/>
        <item x="28"/>
        <item x="0"/>
        <item x="85"/>
        <item x="103"/>
        <item x="86"/>
        <item x="100"/>
        <item x="102"/>
        <item x="1"/>
        <item x="60"/>
        <item x="3"/>
        <item x="57"/>
        <item x="83"/>
        <item x="87"/>
        <item x="41"/>
        <item x="46"/>
        <item x="64"/>
        <item x="63"/>
        <item x="80"/>
        <item x="99"/>
        <item x="44"/>
        <item x="36"/>
        <item x="106"/>
        <item x="43"/>
        <item x="53"/>
        <item x="50"/>
        <item x="58"/>
        <item x="32"/>
        <item x="96"/>
        <item x="90"/>
        <item x="91"/>
        <item x="34"/>
        <item x="5"/>
        <item x="33"/>
        <item x="59"/>
        <item x="25"/>
        <item x="109"/>
        <item x="79"/>
        <item x="70"/>
        <item x="49"/>
        <item x="108"/>
        <item x="89"/>
        <item x="23"/>
        <item x="113"/>
        <item x="21"/>
        <item x="75"/>
        <item x="95"/>
        <item t="default"/>
      </items>
    </pivotField>
    <pivotField showAll="0"/>
    <pivotField axis="axisRow" multipleItemSelectionAllowed="1" showAll="0">
      <items count="705">
        <item x="649"/>
        <item x="652"/>
        <item x="526"/>
        <item x="444"/>
        <item x="443"/>
        <item x="463"/>
        <item x="462"/>
        <item x="460"/>
        <item x="461"/>
        <item x="459"/>
        <item x="458"/>
        <item x="457"/>
        <item x="456"/>
        <item x="455"/>
        <item x="525"/>
        <item x="524"/>
        <item x="523"/>
        <item x="522"/>
        <item x="521"/>
        <item x="520"/>
        <item x="519"/>
        <item x="517"/>
        <item x="454"/>
        <item x="632"/>
        <item x="515"/>
        <item x="650"/>
        <item x="630"/>
        <item x="453"/>
        <item x="631"/>
        <item x="629"/>
        <item x="451"/>
        <item x="452"/>
        <item x="516"/>
        <item x="651"/>
        <item x="616"/>
        <item x="442"/>
        <item x="441"/>
        <item x="440"/>
        <item x="449"/>
        <item x="450"/>
        <item x="448"/>
        <item x="627"/>
        <item x="654"/>
        <item x="628"/>
        <item x="513"/>
        <item x="512"/>
        <item x="656"/>
        <item x="511"/>
        <item x="510"/>
        <item x="509"/>
        <item x="655"/>
        <item x="545"/>
        <item x="508"/>
        <item x="653"/>
        <item x="90"/>
        <item x="544"/>
        <item x="557"/>
        <item x="615"/>
        <item x="559"/>
        <item x="668"/>
        <item x="626"/>
        <item x="614"/>
        <item x="543"/>
        <item x="562"/>
        <item x="561"/>
        <item x="95"/>
        <item x="212"/>
        <item x="556"/>
        <item x="669"/>
        <item x="613"/>
        <item x="560"/>
        <item x="670"/>
        <item x="514"/>
        <item x="684"/>
        <item x="542"/>
        <item x="541"/>
        <item x="683"/>
        <item x="213"/>
        <item x="558"/>
        <item x="242"/>
        <item x="612"/>
        <item x="611"/>
        <item x="610"/>
        <item x="507"/>
        <item x="258"/>
        <item x="685"/>
        <item x="540"/>
        <item x="608"/>
        <item x="539"/>
        <item x="486"/>
        <item x="609"/>
        <item x="671"/>
        <item x="607"/>
        <item x="625"/>
        <item x="602"/>
        <item x="538"/>
        <item x="601"/>
        <item x="600"/>
        <item x="599"/>
        <item x="534"/>
        <item x="672"/>
        <item x="537"/>
        <item x="604"/>
        <item x="536"/>
        <item x="603"/>
        <item x="535"/>
        <item x="605"/>
        <item x="606"/>
        <item x="658"/>
        <item x="501"/>
        <item x="502"/>
        <item x="259"/>
        <item x="687"/>
        <item x="275"/>
        <item x="276"/>
        <item x="294"/>
        <item x="657"/>
        <item x="686"/>
        <item x="673"/>
        <item x="592"/>
        <item x="533"/>
        <item x="593"/>
        <item x="503"/>
        <item x="504"/>
        <item x="595"/>
        <item x="596"/>
        <item x="633"/>
        <item x="635"/>
        <item x="471"/>
        <item x="634"/>
        <item x="597"/>
        <item x="506"/>
        <item x="594"/>
        <item x="598"/>
        <item x="638"/>
        <item x="586"/>
        <item x="639"/>
        <item x="436"/>
        <item x="445"/>
        <item x="640"/>
        <item x="585"/>
        <item x="500"/>
        <item x="676"/>
        <item x="587"/>
        <item x="637"/>
        <item x="675"/>
        <item x="588"/>
        <item x="499"/>
        <item x="589"/>
        <item x="446"/>
        <item x="447"/>
        <item x="303"/>
        <item x="674"/>
        <item x="590"/>
        <item x="591"/>
        <item x="659"/>
        <item x="688"/>
        <item x="636"/>
        <item x="532"/>
        <item x="311"/>
        <item x="624"/>
        <item x="531"/>
        <item x="690"/>
        <item x="498"/>
        <item x="689"/>
        <item x="660"/>
        <item x="530"/>
        <item x="312"/>
        <item x="698"/>
        <item x="641"/>
        <item x="429"/>
        <item x="432"/>
        <item x="433"/>
        <item x="642"/>
        <item x="431"/>
        <item x="428"/>
        <item x="435"/>
        <item x="434"/>
        <item x="430"/>
        <item x="427"/>
        <item x="417"/>
        <item x="411"/>
        <item x="422"/>
        <item x="418"/>
        <item x="413"/>
        <item x="700"/>
        <item x="412"/>
        <item x="416"/>
        <item x="410"/>
        <item x="419"/>
        <item x="414"/>
        <item x="415"/>
        <item x="581"/>
        <item x="420"/>
        <item x="439"/>
        <item x="426"/>
        <item x="661"/>
        <item x="643"/>
        <item x="425"/>
        <item x="584"/>
        <item x="691"/>
        <item x="423"/>
        <item x="505"/>
        <item x="699"/>
        <item x="424"/>
        <item x="583"/>
        <item x="677"/>
        <item x="582"/>
        <item x="438"/>
        <item x="663"/>
        <item x="662"/>
        <item x="470"/>
        <item x="678"/>
        <item x="622"/>
        <item x="694"/>
        <item x="580"/>
        <item x="679"/>
        <item x="692"/>
        <item x="579"/>
        <item x="577"/>
        <item x="496"/>
        <item x="680"/>
        <item x="693"/>
        <item x="484"/>
        <item x="421"/>
        <item x="623"/>
        <item x="620"/>
        <item x="621"/>
        <item x="578"/>
        <item x="529"/>
        <item x="664"/>
        <item x="644"/>
        <item x="485"/>
        <item x="576"/>
        <item x="403"/>
        <item x="665"/>
        <item x="645"/>
        <item x="528"/>
        <item x="575"/>
        <item x="666"/>
        <item x="479"/>
        <item x="402"/>
        <item x="574"/>
        <item x="480"/>
        <item x="497"/>
        <item x="481"/>
        <item x="555"/>
        <item x="274"/>
        <item x="492"/>
        <item x="491"/>
        <item x="619"/>
        <item x="553"/>
        <item x="568"/>
        <item x="554"/>
        <item x="647"/>
        <item x="571"/>
        <item x="569"/>
        <item x="570"/>
        <item x="682"/>
        <item x="667"/>
        <item x="646"/>
        <item x="437"/>
        <item x="701"/>
        <item x="490"/>
        <item x="350"/>
        <item x="401"/>
        <item x="573"/>
        <item x="572"/>
        <item x="567"/>
        <item x="566"/>
        <item x="400"/>
        <item x="489"/>
        <item x="399"/>
        <item x="702"/>
        <item x="398"/>
        <item x="397"/>
        <item x="552"/>
        <item x="396"/>
        <item x="395"/>
        <item x="394"/>
        <item x="550"/>
        <item x="393"/>
        <item x="565"/>
        <item x="695"/>
        <item x="391"/>
        <item x="648"/>
        <item x="392"/>
        <item x="549"/>
        <item x="696"/>
        <item x="548"/>
        <item x="564"/>
        <item x="527"/>
        <item x="681"/>
        <item x="547"/>
        <item x="390"/>
        <item x="482"/>
        <item x="389"/>
        <item x="495"/>
        <item x="388"/>
        <item x="697"/>
        <item x="618"/>
        <item x="617"/>
        <item x="546"/>
        <item x="563"/>
        <item x="483"/>
        <item x="488"/>
        <item x="551"/>
        <item x="487"/>
        <item x="493"/>
        <item x="518"/>
        <item x="494"/>
        <item x="465"/>
        <item x="375"/>
        <item x="466"/>
        <item x="464"/>
        <item x="384"/>
        <item x="382"/>
        <item x="370"/>
        <item x="404"/>
        <item x="406"/>
        <item x="467"/>
        <item x="405"/>
        <item x="407"/>
        <item x="408"/>
        <item x="387"/>
        <item x="409"/>
        <item x="385"/>
        <item x="386"/>
        <item x="383"/>
        <item x="378"/>
        <item x="373"/>
        <item x="377"/>
        <item x="381"/>
        <item x="380"/>
        <item x="374"/>
        <item x="360"/>
        <item x="376"/>
        <item x="379"/>
        <item x="372"/>
        <item x="468"/>
        <item x="371"/>
        <item x="361"/>
        <item x="369"/>
        <item x="368"/>
        <item x="367"/>
        <item x="366"/>
        <item x="365"/>
        <item x="364"/>
        <item x="359"/>
        <item x="358"/>
        <item x="357"/>
        <item x="356"/>
        <item x="355"/>
        <item x="353"/>
        <item x="354"/>
        <item x="352"/>
        <item x="351"/>
        <item x="362"/>
        <item x="363"/>
        <item x="349"/>
        <item x="348"/>
        <item x="342"/>
        <item x="343"/>
        <item x="347"/>
        <item x="345"/>
        <item x="339"/>
        <item x="344"/>
        <item x="346"/>
        <item x="340"/>
        <item x="341"/>
        <item x="338"/>
        <item x="337"/>
        <item x="333"/>
        <item x="334"/>
        <item x="329"/>
        <item x="332"/>
        <item x="336"/>
        <item x="319"/>
        <item x="324"/>
        <item x="331"/>
        <item x="330"/>
        <item x="320"/>
        <item x="335"/>
        <item x="326"/>
        <item x="327"/>
        <item x="321"/>
        <item x="322"/>
        <item x="328"/>
        <item x="325"/>
        <item x="318"/>
        <item x="323"/>
        <item x="317"/>
        <item x="316"/>
        <item x="314"/>
        <item x="315"/>
        <item x="313"/>
        <item x="298"/>
        <item x="281"/>
        <item x="297"/>
        <item x="284"/>
        <item x="307"/>
        <item x="296"/>
        <item x="285"/>
        <item x="169"/>
        <item x="309"/>
        <item x="289"/>
        <item x="288"/>
        <item x="308"/>
        <item x="295"/>
        <item x="299"/>
        <item x="304"/>
        <item x="272"/>
        <item x="273"/>
        <item x="282"/>
        <item x="310"/>
        <item x="283"/>
        <item x="278"/>
        <item x="279"/>
        <item x="280"/>
        <item x="277"/>
        <item x="301"/>
        <item x="305"/>
        <item x="306"/>
        <item x="287"/>
        <item x="270"/>
        <item x="269"/>
        <item x="302"/>
        <item x="268"/>
        <item x="286"/>
        <item x="300"/>
        <item x="293"/>
        <item x="292"/>
        <item x="291"/>
        <item x="290"/>
        <item x="271"/>
        <item x="233"/>
        <item x="264"/>
        <item x="265"/>
        <item x="262"/>
        <item x="263"/>
        <item x="252"/>
        <item x="266"/>
        <item x="267"/>
        <item x="469"/>
        <item x="260"/>
        <item x="261"/>
        <item x="247"/>
        <item x="182"/>
        <item x="251"/>
        <item x="250"/>
        <item x="246"/>
        <item x="241"/>
        <item x="240"/>
        <item x="245"/>
        <item x="249"/>
        <item x="257"/>
        <item x="244"/>
        <item x="256"/>
        <item x="253"/>
        <item x="255"/>
        <item x="254"/>
        <item x="177"/>
        <item x="248"/>
        <item x="243"/>
        <item x="184"/>
        <item x="174"/>
        <item x="181"/>
        <item x="201"/>
        <item x="217"/>
        <item x="216"/>
        <item x="215"/>
        <item x="189"/>
        <item x="190"/>
        <item x="178"/>
        <item x="193"/>
        <item x="187"/>
        <item x="210"/>
        <item x="186"/>
        <item x="192"/>
        <item x="188"/>
        <item x="185"/>
        <item x="472"/>
        <item x="196"/>
        <item x="473"/>
        <item x="176"/>
        <item x="214"/>
        <item x="218"/>
        <item x="229"/>
        <item x="180"/>
        <item x="474"/>
        <item x="231"/>
        <item x="227"/>
        <item x="219"/>
        <item x="475"/>
        <item x="228"/>
        <item x="225"/>
        <item x="223"/>
        <item x="224"/>
        <item x="211"/>
        <item x="237"/>
        <item x="221"/>
        <item x="220"/>
        <item x="236"/>
        <item x="200"/>
        <item x="235"/>
        <item x="209"/>
        <item x="232"/>
        <item x="230"/>
        <item x="179"/>
        <item x="238"/>
        <item x="234"/>
        <item x="239"/>
        <item x="199"/>
        <item x="197"/>
        <item x="222"/>
        <item x="175"/>
        <item x="206"/>
        <item x="198"/>
        <item x="207"/>
        <item x="226"/>
        <item x="208"/>
        <item x="191"/>
        <item x="195"/>
        <item x="194"/>
        <item x="183"/>
        <item x="202"/>
        <item x="205"/>
        <item x="204"/>
        <item x="203"/>
        <item x="172"/>
        <item x="173"/>
        <item x="27"/>
        <item x="29"/>
        <item x="28"/>
        <item x="171"/>
        <item x="170"/>
        <item x="132"/>
        <item x="133"/>
        <item x="157"/>
        <item x="168"/>
        <item x="143"/>
        <item x="142"/>
        <item x="129"/>
        <item x="130"/>
        <item x="131"/>
        <item x="139"/>
        <item x="138"/>
        <item x="137"/>
        <item x="140"/>
        <item x="136"/>
        <item x="135"/>
        <item x="144"/>
        <item x="152"/>
        <item x="141"/>
        <item x="134"/>
        <item x="164"/>
        <item x="153"/>
        <item x="166"/>
        <item x="147"/>
        <item x="146"/>
        <item x="165"/>
        <item x="167"/>
        <item x="154"/>
        <item x="145"/>
        <item x="126"/>
        <item x="161"/>
        <item x="156"/>
        <item x="155"/>
        <item x="128"/>
        <item x="149"/>
        <item x="148"/>
        <item x="163"/>
        <item x="159"/>
        <item x="160"/>
        <item x="162"/>
        <item x="158"/>
        <item x="150"/>
        <item x="127"/>
        <item x="124"/>
        <item x="123"/>
        <item x="122"/>
        <item x="125"/>
        <item x="121"/>
        <item x="120"/>
        <item x="119"/>
        <item x="118"/>
        <item x="117"/>
        <item x="151"/>
        <item x="110"/>
        <item x="109"/>
        <item x="113"/>
        <item x="115"/>
        <item x="106"/>
        <item x="104"/>
        <item x="107"/>
        <item x="105"/>
        <item x="108"/>
        <item x="111"/>
        <item x="114"/>
        <item x="103"/>
        <item x="116"/>
        <item x="100"/>
        <item x="112"/>
        <item x="102"/>
        <item x="101"/>
        <item x="8"/>
        <item x="7"/>
        <item x="0"/>
        <item x="12"/>
        <item x="3"/>
        <item x="476"/>
        <item x="10"/>
        <item x="5"/>
        <item x="15"/>
        <item x="6"/>
        <item x="99"/>
        <item x="97"/>
        <item x="4"/>
        <item x="9"/>
        <item x="98"/>
        <item x="13"/>
        <item x="11"/>
        <item x="14"/>
        <item x="93"/>
        <item x="94"/>
        <item x="38"/>
        <item x="30"/>
        <item x="17"/>
        <item x="16"/>
        <item x="53"/>
        <item x="52"/>
        <item x="18"/>
        <item x="35"/>
        <item x="19"/>
        <item x="34"/>
        <item x="36"/>
        <item x="37"/>
        <item x="21"/>
        <item x="33"/>
        <item x="20"/>
        <item x="51"/>
        <item x="32"/>
        <item x="23"/>
        <item x="31"/>
        <item x="24"/>
        <item x="26"/>
        <item x="49"/>
        <item x="50"/>
        <item x="22"/>
        <item x="25"/>
        <item x="48"/>
        <item x="42"/>
        <item x="55"/>
        <item x="56"/>
        <item x="43"/>
        <item x="46"/>
        <item x="58"/>
        <item x="63"/>
        <item x="57"/>
        <item x="44"/>
        <item x="54"/>
        <item x="47"/>
        <item x="45"/>
        <item x="59"/>
        <item x="96"/>
        <item x="60"/>
        <item x="64"/>
        <item x="92"/>
        <item x="65"/>
        <item x="67"/>
        <item x="91"/>
        <item x="89"/>
        <item x="68"/>
        <item x="88"/>
        <item x="66"/>
        <item x="71"/>
        <item x="76"/>
        <item x="77"/>
        <item x="72"/>
        <item x="73"/>
        <item x="69"/>
        <item x="74"/>
        <item x="78"/>
        <item x="70"/>
        <item x="75"/>
        <item x="477"/>
        <item x="83"/>
        <item x="79"/>
        <item x="80"/>
        <item x="81"/>
        <item x="82"/>
        <item x="87"/>
        <item x="85"/>
        <item x="84"/>
        <item x="86"/>
        <item x="61"/>
        <item x="40"/>
        <item x="62"/>
        <item x="2"/>
        <item x="1"/>
        <item x="41"/>
        <item x="39"/>
        <item x="478"/>
        <item x="703"/>
        <item t="default"/>
      </items>
    </pivotField>
    <pivotField axis="axisCol" showAll="0">
      <items count="9">
        <item x="0"/>
        <item h="1" x="2"/>
        <item h="1" x="1"/>
        <item h="1" x="7"/>
        <item h="1" x="3"/>
        <item h="1" x="4"/>
        <item h="1" x="5"/>
        <item h="1" x="6"/>
        <item t="default"/>
      </items>
    </pivotField>
    <pivotField dataField="1" showAll="0">
      <items count="25">
        <item x="9"/>
        <item m="1" x="16"/>
        <item x="3"/>
        <item x="11"/>
        <item m="1" x="19"/>
        <item x="4"/>
        <item m="1" x="12"/>
        <item x="0"/>
        <item m="1" x="17"/>
        <item x="1"/>
        <item m="1" x="14"/>
        <item m="1" x="21"/>
        <item m="1" x="15"/>
        <item m="1" x="13"/>
        <item m="1" x="20"/>
        <item m="1" x="22"/>
        <item x="6"/>
        <item x="5"/>
        <item x="10"/>
        <item m="1" x="23"/>
        <item x="2"/>
        <item m="1" x="18"/>
        <item x="7"/>
        <item x="8"/>
        <item t="default"/>
      </items>
    </pivotField>
    <pivotField showAll="0"/>
    <pivotField showAll="0"/>
    <pivotField showAll="0"/>
    <pivotField axis="axisPage" multipleItemSelectionAllowed="1" showAll="0">
      <items count="10">
        <item h="1" x="7"/>
        <item h="1" x="2"/>
        <item h="1" x="3"/>
        <item h="1" x="6"/>
        <item h="1" x="5"/>
        <item h="1" x="4"/>
        <item h="1" x="0"/>
        <item x="1"/>
        <item h="1" x="8"/>
        <item t="default"/>
      </items>
    </pivotField>
    <pivotField showAll="0"/>
  </pivotFields>
  <rowFields count="1">
    <field x="3"/>
  </rowFields>
  <rowItems count="19">
    <i>
      <x v="642"/>
    </i>
    <i>
      <x v="644"/>
    </i>
    <i>
      <x v="648"/>
    </i>
    <i>
      <x v="650"/>
    </i>
    <i>
      <x v="655"/>
    </i>
    <i>
      <x v="661"/>
    </i>
    <i>
      <x v="662"/>
    </i>
    <i>
      <x v="669"/>
    </i>
    <i>
      <x v="672"/>
    </i>
    <i>
      <x v="674"/>
    </i>
    <i>
      <x v="678"/>
    </i>
    <i>
      <x v="679"/>
    </i>
    <i>
      <x v="681"/>
    </i>
    <i>
      <x v="687"/>
    </i>
    <i>
      <x v="688"/>
    </i>
    <i>
      <x v="692"/>
    </i>
    <i>
      <x v="697"/>
    </i>
    <i>
      <x v="699"/>
    </i>
    <i t="grand">
      <x/>
    </i>
  </rowItems>
  <colFields count="2">
    <field x="4"/>
    <field x="1"/>
  </colFields>
  <colItems count="15">
    <i>
      <x/>
      <x v="1"/>
    </i>
    <i r="1">
      <x v="2"/>
    </i>
    <i r="1">
      <x v="7"/>
    </i>
    <i r="1">
      <x v="12"/>
    </i>
    <i r="1">
      <x v="13"/>
    </i>
    <i r="1">
      <x v="28"/>
    </i>
    <i r="1">
      <x v="34"/>
    </i>
    <i r="1">
      <x v="38"/>
    </i>
    <i r="1">
      <x v="58"/>
    </i>
    <i r="1">
      <x v="70"/>
    </i>
    <i r="1">
      <x v="76"/>
    </i>
    <i r="1">
      <x v="110"/>
    </i>
    <i r="1">
      <x v="112"/>
    </i>
    <i t="default">
      <x/>
    </i>
    <i t="grand">
      <x/>
    </i>
  </colItems>
  <pageFields count="2">
    <pageField fld="0" hier="-1"/>
    <pageField fld="9" hier="-1"/>
  </pageFields>
  <dataFields count="1">
    <dataField name="Cuenta de Tipo de Falla" fld="5" subtotal="count" baseField="0" baseItem="0"/>
  </dataFields>
  <chartFormats count="80">
    <chartFormat chart="27" format="67" series="1">
      <pivotArea type="data" outline="0" fieldPosition="0">
        <references count="2">
          <reference field="3" count="1" selected="0">
            <x v="418"/>
          </reference>
          <reference field="4" count="1" selected="0">
            <x v="0"/>
          </reference>
        </references>
      </pivotArea>
    </chartFormat>
    <chartFormat chart="27" format="68" series="1">
      <pivotArea type="data" outline="0" fieldPosition="0">
        <references count="2">
          <reference field="3" count="1" selected="0">
            <x v="419"/>
          </reference>
          <reference field="4" count="1" selected="0">
            <x v="0"/>
          </reference>
        </references>
      </pivotArea>
    </chartFormat>
    <chartFormat chart="27" format="69" series="1">
      <pivotArea type="data" outline="0" fieldPosition="0">
        <references count="2">
          <reference field="3" count="1" selected="0">
            <x v="421"/>
          </reference>
          <reference field="4" count="1" selected="0">
            <x v="0"/>
          </reference>
        </references>
      </pivotArea>
    </chartFormat>
    <chartFormat chart="27" format="70" series="1">
      <pivotArea type="data" outline="0" fieldPosition="0">
        <references count="2">
          <reference field="3" count="1" selected="0">
            <x v="424"/>
          </reference>
          <reference field="4" count="1" selected="0">
            <x v="0"/>
          </reference>
        </references>
      </pivotArea>
    </chartFormat>
    <chartFormat chart="27" format="71" series="1">
      <pivotArea type="data" outline="0" fieldPosition="0">
        <references count="2">
          <reference field="3" count="1" selected="0">
            <x v="426"/>
          </reference>
          <reference field="4" count="1" selected="0">
            <x v="0"/>
          </reference>
        </references>
      </pivotArea>
    </chartFormat>
    <chartFormat chart="27" format="72" series="1">
      <pivotArea type="data" outline="0" fieldPosition="0">
        <references count="2">
          <reference field="3" count="1" selected="0">
            <x v="429"/>
          </reference>
          <reference field="4" count="1" selected="0">
            <x v="0"/>
          </reference>
        </references>
      </pivotArea>
    </chartFormat>
    <chartFormat chart="27" format="73" series="1">
      <pivotArea type="data" outline="0" fieldPosition="0">
        <references count="2">
          <reference field="3" count="1" selected="0">
            <x v="434"/>
          </reference>
          <reference field="4" count="1" selected="0">
            <x v="0"/>
          </reference>
        </references>
      </pivotArea>
    </chartFormat>
    <chartFormat chart="27" format="74" series="1">
      <pivotArea type="data" outline="0" fieldPosition="0">
        <references count="2">
          <reference field="3" count="1" selected="0">
            <x v="435"/>
          </reference>
          <reference field="4" count="1" selected="0">
            <x v="0"/>
          </reference>
        </references>
      </pivotArea>
    </chartFormat>
    <chartFormat chart="27" format="75" series="1">
      <pivotArea type="data" outline="0" fieldPosition="0">
        <references count="2">
          <reference field="3" count="1" selected="0">
            <x v="452"/>
          </reference>
          <reference field="4" count="1" selected="0">
            <x v="0"/>
          </reference>
        </references>
      </pivotArea>
    </chartFormat>
    <chartFormat chart="27" format="76" series="1">
      <pivotArea type="data" outline="0" fieldPosition="0">
        <references count="2">
          <reference field="3" count="1" selected="0">
            <x v="459"/>
          </reference>
          <reference field="4" count="1" selected="0">
            <x v="0"/>
          </reference>
        </references>
      </pivotArea>
    </chartFormat>
    <chartFormat chart="27" format="77" series="1">
      <pivotArea type="data" outline="0" fieldPosition="0">
        <references count="2">
          <reference field="3" count="1" selected="0">
            <x v="462"/>
          </reference>
          <reference field="4" count="1" selected="0">
            <x v="0"/>
          </reference>
        </references>
      </pivotArea>
    </chartFormat>
    <chartFormat chart="27" format="78" series="1">
      <pivotArea type="data" outline="0" fieldPosition="0">
        <references count="2">
          <reference field="3" count="1" selected="0">
            <x v="490"/>
          </reference>
          <reference field="4" count="1" selected="0">
            <x v="0"/>
          </reference>
        </references>
      </pivotArea>
    </chartFormat>
    <chartFormat chart="27" format="79" series="1">
      <pivotArea type="data" outline="0" fieldPosition="0">
        <references count="2">
          <reference field="3" count="1" selected="0">
            <x v="491"/>
          </reference>
          <reference field="4" count="1" selected="0">
            <x v="0"/>
          </reference>
        </references>
      </pivotArea>
    </chartFormat>
    <chartFormat chart="27" format="80" series="1">
      <pivotArea type="data" outline="0" fieldPosition="0">
        <references count="2">
          <reference field="3" count="1" selected="0">
            <x v="499"/>
          </reference>
          <reference field="4" count="1" selected="0">
            <x v="0"/>
          </reference>
        </references>
      </pivotArea>
    </chartFormat>
    <chartFormat chart="27" format="81" series="1">
      <pivotArea type="data" outline="0" fieldPosition="0">
        <references count="2">
          <reference field="3" count="1" selected="0">
            <x v="506"/>
          </reference>
          <reference field="4" count="1" selected="0">
            <x v="0"/>
          </reference>
        </references>
      </pivotArea>
    </chartFormat>
    <chartFormat chart="27" format="82" series="1">
      <pivotArea type="data" outline="0" fieldPosition="0">
        <references count="2">
          <reference field="3" count="1" selected="0">
            <x v="514"/>
          </reference>
          <reference field="4" count="1" selected="0">
            <x v="0"/>
          </reference>
        </references>
      </pivotArea>
    </chartFormat>
    <chartFormat chart="27" format="83" series="1">
      <pivotArea type="data" outline="0" fieldPosition="0">
        <references count="2">
          <reference field="3" count="1" selected="0">
            <x v="522"/>
          </reference>
          <reference field="4" count="1" selected="0">
            <x v="0"/>
          </reference>
        </references>
      </pivotArea>
    </chartFormat>
    <chartFormat chart="27" format="84" series="1">
      <pivotArea type="data" outline="0" fieldPosition="0">
        <references count="2">
          <reference field="3" count="1" selected="0">
            <x v="523"/>
          </reference>
          <reference field="4" count="1" selected="0">
            <x v="0"/>
          </reference>
        </references>
      </pivotArea>
    </chartFormat>
    <chartFormat chart="27" format="85" series="1">
      <pivotArea type="data" outline="0" fieldPosition="0">
        <references count="2">
          <reference field="3" count="1" selected="0">
            <x v="524"/>
          </reference>
          <reference field="4" count="1" selected="0">
            <x v="0"/>
          </reference>
        </references>
      </pivotArea>
    </chartFormat>
    <chartFormat chart="27" format="86" series="1">
      <pivotArea type="data" outline="0" fieldPosition="0">
        <references count="2">
          <reference field="3" count="1" selected="0">
            <x v="532"/>
          </reference>
          <reference field="4" count="1" selected="0">
            <x v="0"/>
          </reference>
        </references>
      </pivotArea>
    </chartFormat>
    <chartFormat chart="27" format="87" series="1">
      <pivotArea type="data" outline="0" fieldPosition="0">
        <references count="2">
          <reference field="3" count="1" selected="0">
            <x v="537"/>
          </reference>
          <reference field="4" count="1" selected="0">
            <x v="0"/>
          </reference>
        </references>
      </pivotArea>
    </chartFormat>
    <chartFormat chart="27" format="88" series="1">
      <pivotArea type="data" outline="0" fieldPosition="0">
        <references count="2">
          <reference field="3" count="1" selected="0">
            <x v="538"/>
          </reference>
          <reference field="4" count="1" selected="0">
            <x v="0"/>
          </reference>
        </references>
      </pivotArea>
    </chartFormat>
    <chartFormat chart="27" format="89" series="1">
      <pivotArea type="data" outline="0" fieldPosition="0">
        <references count="2">
          <reference field="3" count="1" selected="0">
            <x v="539"/>
          </reference>
          <reference field="4" count="1" selected="0">
            <x v="0"/>
          </reference>
        </references>
      </pivotArea>
    </chartFormat>
    <chartFormat chart="27" format="90" series="1">
      <pivotArea type="data" outline="0" fieldPosition="0">
        <references count="2">
          <reference field="3" count="1" selected="0">
            <x v="542"/>
          </reference>
          <reference field="4" count="1" selected="0">
            <x v="0"/>
          </reference>
        </references>
      </pivotArea>
    </chartFormat>
    <chartFormat chart="27" format="91" series="1">
      <pivotArea type="data" outline="0" fieldPosition="0">
        <references count="2">
          <reference field="3" count="1" selected="0">
            <x v="552"/>
          </reference>
          <reference field="4" count="1" selected="0">
            <x v="0"/>
          </reference>
        </references>
      </pivotArea>
    </chartFormat>
    <chartFormat chart="27" format="92" series="1">
      <pivotArea type="data" outline="0" fieldPosition="0">
        <references count="2">
          <reference field="3" count="1" selected="0">
            <x v="556"/>
          </reference>
          <reference field="4" count="1" selected="0">
            <x v="0"/>
          </reference>
        </references>
      </pivotArea>
    </chartFormat>
    <chartFormat chart="27" format="93" series="1">
      <pivotArea type="data" outline="0" fieldPosition="0">
        <references count="2">
          <reference field="3" count="1" selected="0">
            <x v="558"/>
          </reference>
          <reference field="4" count="1" selected="0">
            <x v="0"/>
          </reference>
        </references>
      </pivotArea>
    </chartFormat>
    <chartFormat chart="27" format="94" series="1">
      <pivotArea type="data" outline="0" fieldPosition="0">
        <references count="2">
          <reference field="3" count="1" selected="0">
            <x v="562"/>
          </reference>
          <reference field="4" count="1" selected="0">
            <x v="0"/>
          </reference>
        </references>
      </pivotArea>
    </chartFormat>
    <chartFormat chart="27" format="95" series="1">
      <pivotArea type="data" outline="0" fieldPosition="0">
        <references count="2">
          <reference field="3" count="1" selected="0">
            <x v="567"/>
          </reference>
          <reference field="4" count="1" selected="0">
            <x v="0"/>
          </reference>
        </references>
      </pivotArea>
    </chartFormat>
    <chartFormat chart="27" format="96" series="1">
      <pivotArea type="data" outline="0" fieldPosition="0">
        <references count="2">
          <reference field="3" count="1" selected="0">
            <x v="577"/>
          </reference>
          <reference field="4" count="1" selected="0">
            <x v="0"/>
          </reference>
        </references>
      </pivotArea>
    </chartFormat>
    <chartFormat chart="27" format="97" series="1">
      <pivotArea type="data" outline="0" fieldPosition="0">
        <references count="2">
          <reference field="3" count="1" selected="0">
            <x v="578"/>
          </reference>
          <reference field="4" count="1" selected="0">
            <x v="0"/>
          </reference>
        </references>
      </pivotArea>
    </chartFormat>
    <chartFormat chart="27" format="98" series="1">
      <pivotArea type="data" outline="0" fieldPosition="0">
        <references count="2">
          <reference field="3" count="1" selected="0">
            <x v="582"/>
          </reference>
          <reference field="4" count="1" selected="0">
            <x v="0"/>
          </reference>
        </references>
      </pivotArea>
    </chartFormat>
    <chartFormat chart="27" format="99" series="1">
      <pivotArea type="data" outline="0" fieldPosition="0">
        <references count="2">
          <reference field="3" count="1" selected="0">
            <x v="586"/>
          </reference>
          <reference field="4" count="1" selected="0">
            <x v="0"/>
          </reference>
        </references>
      </pivotArea>
    </chartFormat>
    <chartFormat chart="27" format="100" series="1">
      <pivotArea type="data" outline="0" fieldPosition="0">
        <references count="2">
          <reference field="3" count="1" selected="0">
            <x v="589"/>
          </reference>
          <reference field="4" count="1" selected="0">
            <x v="0"/>
          </reference>
        </references>
      </pivotArea>
    </chartFormat>
    <chartFormat chart="27" format="101" series="1">
      <pivotArea type="data" outline="0" fieldPosition="0">
        <references count="2">
          <reference field="3" count="1" selected="0">
            <x v="597"/>
          </reference>
          <reference field="4" count="1" selected="0">
            <x v="0"/>
          </reference>
        </references>
      </pivotArea>
    </chartFormat>
    <chartFormat chart="27" format="102" series="1">
      <pivotArea type="data" outline="0" fieldPosition="0">
        <references count="2">
          <reference field="3" count="1" selected="0">
            <x v="601"/>
          </reference>
          <reference field="4" count="1" selected="0">
            <x v="0"/>
          </reference>
        </references>
      </pivotArea>
    </chartFormat>
    <chartFormat chart="27" format="103" series="1">
      <pivotArea type="data" outline="0" fieldPosition="0">
        <references count="2">
          <reference field="3" count="1" selected="0">
            <x v="602"/>
          </reference>
          <reference field="4" count="1" selected="0">
            <x v="0"/>
          </reference>
        </references>
      </pivotArea>
    </chartFormat>
    <chartFormat chart="27" format="104" series="1">
      <pivotArea type="data" outline="0" fieldPosition="0">
        <references count="2">
          <reference field="3" count="1" selected="0">
            <x v="604"/>
          </reference>
          <reference field="4" count="1" selected="0">
            <x v="0"/>
          </reference>
        </references>
      </pivotArea>
    </chartFormat>
    <chartFormat chart="27" format="105" series="1">
      <pivotArea type="data" outline="0" fieldPosition="0">
        <references count="2">
          <reference field="3" count="1" selected="0">
            <x v="607"/>
          </reference>
          <reference field="4" count="1" selected="0">
            <x v="0"/>
          </reference>
        </references>
      </pivotArea>
    </chartFormat>
    <chartFormat chart="27" format="106" series="1">
      <pivotArea type="data" outline="0" fieldPosition="0">
        <references count="2">
          <reference field="3" count="1" selected="0">
            <x v="611"/>
          </reference>
          <reference field="4" count="1" selected="0">
            <x v="0"/>
          </reference>
        </references>
      </pivotArea>
    </chartFormat>
    <chartFormat chart="27" format="107" series="1">
      <pivotArea type="data" outline="0" fieldPosition="0">
        <references count="2">
          <reference field="3" count="1" selected="0">
            <x v="613"/>
          </reference>
          <reference field="4" count="1" selected="0">
            <x v="0"/>
          </reference>
        </references>
      </pivotArea>
    </chartFormat>
    <chartFormat chart="27" format="108" series="1">
      <pivotArea type="data" outline="0" fieldPosition="0">
        <references count="2">
          <reference field="3" count="1" selected="0">
            <x v="618"/>
          </reference>
          <reference field="4" count="1" selected="0">
            <x v="0"/>
          </reference>
        </references>
      </pivotArea>
    </chartFormat>
    <chartFormat chart="27" format="109" series="1">
      <pivotArea type="data" outline="0" fieldPosition="0">
        <references count="2">
          <reference field="3" count="1" selected="0">
            <x v="622"/>
          </reference>
          <reference field="4" count="1" selected="0">
            <x v="0"/>
          </reference>
        </references>
      </pivotArea>
    </chartFormat>
    <chartFormat chart="27" format="110" series="1">
      <pivotArea type="data" outline="0" fieldPosition="0">
        <references count="2">
          <reference field="3" count="1" selected="0">
            <x v="627"/>
          </reference>
          <reference field="4" count="1" selected="0">
            <x v="0"/>
          </reference>
        </references>
      </pivotArea>
    </chartFormat>
    <chartFormat chart="27" format="111" series="1">
      <pivotArea type="data" outline="0" fieldPosition="0">
        <references count="2">
          <reference field="3" count="1" selected="0">
            <x v="631"/>
          </reference>
          <reference field="4" count="1" selected="0">
            <x v="0"/>
          </reference>
        </references>
      </pivotArea>
    </chartFormat>
    <chartFormat chart="27" format="112" series="1">
      <pivotArea type="data" outline="0" fieldPosition="0">
        <references count="2">
          <reference field="3" count="1" selected="0">
            <x v="633"/>
          </reference>
          <reference field="4" count="1" selected="0">
            <x v="0"/>
          </reference>
        </references>
      </pivotArea>
    </chartFormat>
    <chartFormat chart="27" format="113" series="1">
      <pivotArea type="data" outline="0" fieldPosition="0">
        <references count="2">
          <reference field="3" count="1" selected="0">
            <x v="637"/>
          </reference>
          <reference field="4" count="1" selected="0">
            <x v="0"/>
          </reference>
        </references>
      </pivotArea>
    </chartFormat>
    <chartFormat chart="27" format="114" series="1">
      <pivotArea type="data" outline="0" fieldPosition="0">
        <references count="2">
          <reference field="3" count="1" selected="0">
            <x v="639"/>
          </reference>
          <reference field="4" count="1" selected="0">
            <x v="0"/>
          </reference>
        </references>
      </pivotArea>
    </chartFormat>
    <chartFormat chart="27" format="115" series="1">
      <pivotArea type="data" outline="0" fieldPosition="0">
        <references count="2">
          <reference field="3" count="1" selected="0">
            <x v="642"/>
          </reference>
          <reference field="4" count="1" selected="0">
            <x v="0"/>
          </reference>
        </references>
      </pivotArea>
    </chartFormat>
    <chartFormat chart="27" format="116" series="1">
      <pivotArea type="data" outline="0" fieldPosition="0">
        <references count="2">
          <reference field="3" count="1" selected="0">
            <x v="644"/>
          </reference>
          <reference field="4" count="1" selected="0">
            <x v="0"/>
          </reference>
        </references>
      </pivotArea>
    </chartFormat>
    <chartFormat chart="27" format="117" series="1">
      <pivotArea type="data" outline="0" fieldPosition="0">
        <references count="2">
          <reference field="3" count="1" selected="0">
            <x v="648"/>
          </reference>
          <reference field="4" count="1" selected="0">
            <x v="0"/>
          </reference>
        </references>
      </pivotArea>
    </chartFormat>
    <chartFormat chart="27" format="118" series="1">
      <pivotArea type="data" outline="0" fieldPosition="0">
        <references count="2">
          <reference field="3" count="1" selected="0">
            <x v="650"/>
          </reference>
          <reference field="4" count="1" selected="0">
            <x v="0"/>
          </reference>
        </references>
      </pivotArea>
    </chartFormat>
    <chartFormat chart="27" format="119" series="1">
      <pivotArea type="data" outline="0" fieldPosition="0">
        <references count="2">
          <reference field="3" count="1" selected="0">
            <x v="655"/>
          </reference>
          <reference field="4" count="1" selected="0">
            <x v="0"/>
          </reference>
        </references>
      </pivotArea>
    </chartFormat>
    <chartFormat chart="27" format="120" series="1">
      <pivotArea type="data" outline="0" fieldPosition="0">
        <references count="2">
          <reference field="3" count="1" selected="0">
            <x v="661"/>
          </reference>
          <reference field="4" count="1" selected="0">
            <x v="0"/>
          </reference>
        </references>
      </pivotArea>
    </chartFormat>
    <chartFormat chart="27" format="121" series="1">
      <pivotArea type="data" outline="0" fieldPosition="0">
        <references count="2">
          <reference field="3" count="1" selected="0">
            <x v="662"/>
          </reference>
          <reference field="4" count="1" selected="0">
            <x v="0"/>
          </reference>
        </references>
      </pivotArea>
    </chartFormat>
    <chartFormat chart="27" format="122" series="1">
      <pivotArea type="data" outline="0" fieldPosition="0">
        <references count="2">
          <reference field="3" count="1" selected="0">
            <x v="669"/>
          </reference>
          <reference field="4" count="1" selected="0">
            <x v="0"/>
          </reference>
        </references>
      </pivotArea>
    </chartFormat>
    <chartFormat chart="27" format="123" series="1">
      <pivotArea type="data" outline="0" fieldPosition="0">
        <references count="2">
          <reference field="3" count="1" selected="0">
            <x v="672"/>
          </reference>
          <reference field="4" count="1" selected="0">
            <x v="0"/>
          </reference>
        </references>
      </pivotArea>
    </chartFormat>
    <chartFormat chart="27" format="124" series="1">
      <pivotArea type="data" outline="0" fieldPosition="0">
        <references count="2">
          <reference field="3" count="1" selected="0">
            <x v="674"/>
          </reference>
          <reference field="4" count="1" selected="0">
            <x v="0"/>
          </reference>
        </references>
      </pivotArea>
    </chartFormat>
    <chartFormat chart="27" format="125" series="1">
      <pivotArea type="data" outline="0" fieldPosition="0">
        <references count="2">
          <reference field="3" count="1" selected="0">
            <x v="678"/>
          </reference>
          <reference field="4" count="1" selected="0">
            <x v="0"/>
          </reference>
        </references>
      </pivotArea>
    </chartFormat>
    <chartFormat chart="27" format="126" series="1">
      <pivotArea type="data" outline="0" fieldPosition="0">
        <references count="2">
          <reference field="3" count="1" selected="0">
            <x v="679"/>
          </reference>
          <reference field="4" count="1" selected="0">
            <x v="0"/>
          </reference>
        </references>
      </pivotArea>
    </chartFormat>
    <chartFormat chart="27" format="127" series="1">
      <pivotArea type="data" outline="0" fieldPosition="0">
        <references count="2">
          <reference field="3" count="1" selected="0">
            <x v="681"/>
          </reference>
          <reference field="4" count="1" selected="0">
            <x v="0"/>
          </reference>
        </references>
      </pivotArea>
    </chartFormat>
    <chartFormat chart="27" format="128" series="1">
      <pivotArea type="data" outline="0" fieldPosition="0">
        <references count="2">
          <reference field="3" count="1" selected="0">
            <x v="687"/>
          </reference>
          <reference field="4" count="1" selected="0">
            <x v="0"/>
          </reference>
        </references>
      </pivotArea>
    </chartFormat>
    <chartFormat chart="27" format="129" series="1">
      <pivotArea type="data" outline="0" fieldPosition="0">
        <references count="2">
          <reference field="3" count="1" selected="0">
            <x v="688"/>
          </reference>
          <reference field="4" count="1" selected="0">
            <x v="0"/>
          </reference>
        </references>
      </pivotArea>
    </chartFormat>
    <chartFormat chart="27" format="130" series="1">
      <pivotArea type="data" outline="0" fieldPosition="0">
        <references count="2">
          <reference field="3" count="1" selected="0">
            <x v="692"/>
          </reference>
          <reference field="4" count="1" selected="0">
            <x v="0"/>
          </reference>
        </references>
      </pivotArea>
    </chartFormat>
    <chartFormat chart="27" format="131" series="1">
      <pivotArea type="data" outline="0" fieldPosition="0">
        <references count="2">
          <reference field="3" count="1" selected="0">
            <x v="697"/>
          </reference>
          <reference field="4" count="1" selected="0">
            <x v="0"/>
          </reference>
        </references>
      </pivotArea>
    </chartFormat>
    <chartFormat chart="27" format="132" series="1">
      <pivotArea type="data" outline="0" fieldPosition="0">
        <references count="2">
          <reference field="3" count="1" selected="0">
            <x v="699"/>
          </reference>
          <reference field="4" count="1" selected="0">
            <x v="0"/>
          </reference>
        </references>
      </pivotArea>
    </chartFormat>
    <chartFormat chart="27" format="133" series="1">
      <pivotArea type="data" outline="0" fieldPosition="0">
        <references count="2">
          <reference field="4294967294" count="1" selected="0">
            <x v="0"/>
          </reference>
          <reference field="4" count="1" selected="0">
            <x v="0"/>
          </reference>
        </references>
      </pivotArea>
    </chartFormat>
    <chartFormat chart="27" format="134" series="1">
      <pivotArea type="data" outline="0" fieldPosition="0">
        <references count="3">
          <reference field="4294967294" count="1" selected="0">
            <x v="0"/>
          </reference>
          <reference field="1" count="1" selected="0">
            <x v="2"/>
          </reference>
          <reference field="4" count="1" selected="0">
            <x v="0"/>
          </reference>
        </references>
      </pivotArea>
    </chartFormat>
    <chartFormat chart="27" format="135" series="1">
      <pivotArea type="data" outline="0" fieldPosition="0">
        <references count="3">
          <reference field="4294967294" count="1" selected="0">
            <x v="0"/>
          </reference>
          <reference field="1" count="1" selected="0">
            <x v="7"/>
          </reference>
          <reference field="4" count="1" selected="0">
            <x v="0"/>
          </reference>
        </references>
      </pivotArea>
    </chartFormat>
    <chartFormat chart="27" format="136" series="1">
      <pivotArea type="data" outline="0" fieldPosition="0">
        <references count="3">
          <reference field="4294967294" count="1" selected="0">
            <x v="0"/>
          </reference>
          <reference field="1" count="1" selected="0">
            <x v="12"/>
          </reference>
          <reference field="4" count="1" selected="0">
            <x v="0"/>
          </reference>
        </references>
      </pivotArea>
    </chartFormat>
    <chartFormat chart="27" format="137" series="1">
      <pivotArea type="data" outline="0" fieldPosition="0">
        <references count="3">
          <reference field="4294967294" count="1" selected="0">
            <x v="0"/>
          </reference>
          <reference field="1" count="1" selected="0">
            <x v="13"/>
          </reference>
          <reference field="4" count="1" selected="0">
            <x v="0"/>
          </reference>
        </references>
      </pivotArea>
    </chartFormat>
    <chartFormat chart="27" format="138" series="1">
      <pivotArea type="data" outline="0" fieldPosition="0">
        <references count="3">
          <reference field="4294967294" count="1" selected="0">
            <x v="0"/>
          </reference>
          <reference field="1" count="1" selected="0">
            <x v="28"/>
          </reference>
          <reference field="4" count="1" selected="0">
            <x v="0"/>
          </reference>
        </references>
      </pivotArea>
    </chartFormat>
    <chartFormat chart="27" format="139" series="1">
      <pivotArea type="data" outline="0" fieldPosition="0">
        <references count="3">
          <reference field="4294967294" count="1" selected="0">
            <x v="0"/>
          </reference>
          <reference field="1" count="1" selected="0">
            <x v="34"/>
          </reference>
          <reference field="4" count="1" selected="0">
            <x v="0"/>
          </reference>
        </references>
      </pivotArea>
    </chartFormat>
    <chartFormat chart="27" format="140" series="1">
      <pivotArea type="data" outline="0" fieldPosition="0">
        <references count="3">
          <reference field="4294967294" count="1" selected="0">
            <x v="0"/>
          </reference>
          <reference field="1" count="1" selected="0">
            <x v="38"/>
          </reference>
          <reference field="4" count="1" selected="0">
            <x v="0"/>
          </reference>
        </references>
      </pivotArea>
    </chartFormat>
    <chartFormat chart="27" format="141" series="1">
      <pivotArea type="data" outline="0" fieldPosition="0">
        <references count="3">
          <reference field="4294967294" count="1" selected="0">
            <x v="0"/>
          </reference>
          <reference field="1" count="1" selected="0">
            <x v="41"/>
          </reference>
          <reference field="4" count="1" selected="0">
            <x v="0"/>
          </reference>
        </references>
      </pivotArea>
    </chartFormat>
    <chartFormat chart="27" format="142" series="1">
      <pivotArea type="data" outline="0" fieldPosition="0">
        <references count="3">
          <reference field="4294967294" count="1" selected="0">
            <x v="0"/>
          </reference>
          <reference field="1" count="1" selected="0">
            <x v="58"/>
          </reference>
          <reference field="4" count="1" selected="0">
            <x v="0"/>
          </reference>
        </references>
      </pivotArea>
    </chartFormat>
    <chartFormat chart="27" format="143" series="1">
      <pivotArea type="data" outline="0" fieldPosition="0">
        <references count="3">
          <reference field="4294967294" count="1" selected="0">
            <x v="0"/>
          </reference>
          <reference field="1" count="1" selected="0">
            <x v="70"/>
          </reference>
          <reference field="4" count="1" selected="0">
            <x v="0"/>
          </reference>
        </references>
      </pivotArea>
    </chartFormat>
    <chartFormat chart="27" format="144" series="1">
      <pivotArea type="data" outline="0" fieldPosition="0">
        <references count="3">
          <reference field="4294967294" count="1" selected="0">
            <x v="0"/>
          </reference>
          <reference field="1" count="1" selected="0">
            <x v="76"/>
          </reference>
          <reference field="4" count="1" selected="0">
            <x v="0"/>
          </reference>
        </references>
      </pivotArea>
    </chartFormat>
    <chartFormat chart="27" format="145" series="1">
      <pivotArea type="data" outline="0" fieldPosition="0">
        <references count="3">
          <reference field="4294967294" count="1" selected="0">
            <x v="0"/>
          </reference>
          <reference field="1" count="1" selected="0">
            <x v="110"/>
          </reference>
          <reference field="4" count="1" selected="0">
            <x v="0"/>
          </reference>
        </references>
      </pivotArea>
    </chartFormat>
    <chartFormat chart="27" format="146" series="1">
      <pivotArea type="data" outline="0" fieldPosition="0">
        <references count="3">
          <reference field="4294967294" count="1" selected="0">
            <x v="0"/>
          </reference>
          <reference field="1" count="1" selected="0">
            <x v="112"/>
          </reference>
          <reference field="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A448FB7-5971-4306-A9C9-4A082EC51BA4}" name="TablaDinámica3" cacheId="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26">
  <location ref="B29:E44" firstHeaderRow="1" firstDataRow="2" firstDataCol="1" rowPageCount="3" colPageCount="1"/>
  <pivotFields count="11">
    <pivotField axis="axisPage" multipleItemSelectionAllowed="1" showAll="0" sortType="descending">
      <items count="23">
        <item h="1" sd="0" x="10"/>
        <item h="1" sd="0" x="13"/>
        <item h="1" sd="0" x="15"/>
        <item h="1" sd="0" x="7"/>
        <item x="0"/>
        <item h="1" sd="0" x="4"/>
        <item h="1" sd="0" x="16"/>
        <item h="1" sd="0" x="2"/>
        <item h="1" sd="0" x="17"/>
        <item h="1" x="20"/>
        <item h="1" sd="0" x="9"/>
        <item h="1" sd="0" x="5"/>
        <item h="1" sd="0" x="6"/>
        <item h="1" sd="0" x="11"/>
        <item h="1" sd="0" x="18"/>
        <item h="1" x="19"/>
        <item h="1" sd="0" x="12"/>
        <item h="1" sd="0" x="1"/>
        <item h="1" sd="0" x="3"/>
        <item h="1" sd="0" x="8"/>
        <item h="1" sd="0" x="14"/>
        <item h="1" x="21"/>
        <item t="default"/>
      </items>
      <autoSortScope>
        <pivotArea dataOnly="0" outline="0" fieldPosition="0">
          <references count="1">
            <reference field="4294967294" count="1" selected="0">
              <x v="0"/>
            </reference>
          </references>
        </pivotArea>
      </autoSortScope>
    </pivotField>
    <pivotField axis="axisRow" showAll="0" sortType="descending">
      <items count="116">
        <item x="112"/>
        <item x="16"/>
        <item x="20"/>
        <item x="42"/>
        <item x="52"/>
        <item x="114"/>
        <item x="69"/>
        <item x="18"/>
        <item x="47"/>
        <item x="98"/>
        <item x="77"/>
        <item x="61"/>
        <item x="48"/>
        <item x="13"/>
        <item x="45"/>
        <item x="62"/>
        <item x="66"/>
        <item x="67"/>
        <item x="11"/>
        <item x="104"/>
        <item x="88"/>
        <item x="101"/>
        <item x="65"/>
        <item x="74"/>
        <item x="68"/>
        <item x="55"/>
        <item x="93"/>
        <item x="97"/>
        <item x="19"/>
        <item x="92"/>
        <item x="94"/>
        <item x="84"/>
        <item x="73"/>
        <item x="12"/>
        <item x="22"/>
        <item x="26"/>
        <item x="9"/>
        <item x="29"/>
        <item x="17"/>
        <item x="14"/>
        <item x="38"/>
        <item x="15"/>
        <item x="27"/>
        <item x="10"/>
        <item x="72"/>
        <item x="71"/>
        <item x="51"/>
        <item x="78"/>
        <item x="2"/>
        <item x="76"/>
        <item x="82"/>
        <item x="40"/>
        <item x="39"/>
        <item x="6"/>
        <item x="30"/>
        <item x="105"/>
        <item x="111"/>
        <item x="110"/>
        <item x="35"/>
        <item x="24"/>
        <item x="7"/>
        <item x="37"/>
        <item x="4"/>
        <item x="56"/>
        <item x="54"/>
        <item x="81"/>
        <item x="107"/>
        <item x="31"/>
        <item x="8"/>
        <item x="28"/>
        <item x="0"/>
        <item x="85"/>
        <item x="103"/>
        <item x="86"/>
        <item x="100"/>
        <item x="102"/>
        <item x="1"/>
        <item x="60"/>
        <item x="3"/>
        <item x="57"/>
        <item x="83"/>
        <item x="87"/>
        <item x="41"/>
        <item x="46"/>
        <item x="64"/>
        <item x="63"/>
        <item x="80"/>
        <item x="99"/>
        <item x="44"/>
        <item x="36"/>
        <item x="106"/>
        <item x="43"/>
        <item x="53"/>
        <item x="50"/>
        <item x="58"/>
        <item x="32"/>
        <item x="96"/>
        <item x="90"/>
        <item x="91"/>
        <item x="34"/>
        <item x="5"/>
        <item x="33"/>
        <item x="59"/>
        <item x="25"/>
        <item x="109"/>
        <item x="79"/>
        <item x="70"/>
        <item x="49"/>
        <item x="108"/>
        <item x="89"/>
        <item x="23"/>
        <item x="113"/>
        <item x="21"/>
        <item x="75"/>
        <item x="95"/>
        <item t="default"/>
      </items>
      <autoSortScope>
        <pivotArea dataOnly="0" outline="0" fieldPosition="0">
          <references count="1">
            <reference field="4294967294" count="1" selected="0">
              <x v="0"/>
            </reference>
          </references>
        </pivotArea>
      </autoSortScope>
    </pivotField>
    <pivotField showAll="0"/>
    <pivotField axis="axisPage" multipleItemSelectionAllowed="1" showAll="0">
      <items count="705">
        <item x="649"/>
        <item x="652"/>
        <item x="526"/>
        <item x="444"/>
        <item x="443"/>
        <item x="463"/>
        <item x="462"/>
        <item x="460"/>
        <item x="461"/>
        <item x="459"/>
        <item x="458"/>
        <item x="457"/>
        <item x="456"/>
        <item x="455"/>
        <item x="525"/>
        <item x="524"/>
        <item x="523"/>
        <item x="522"/>
        <item x="521"/>
        <item x="520"/>
        <item x="519"/>
        <item x="517"/>
        <item x="454"/>
        <item x="632"/>
        <item x="515"/>
        <item x="650"/>
        <item x="630"/>
        <item x="453"/>
        <item x="631"/>
        <item x="629"/>
        <item x="451"/>
        <item x="452"/>
        <item x="516"/>
        <item x="651"/>
        <item x="616"/>
        <item x="442"/>
        <item x="441"/>
        <item x="440"/>
        <item x="449"/>
        <item x="450"/>
        <item x="448"/>
        <item x="627"/>
        <item x="654"/>
        <item x="628"/>
        <item x="513"/>
        <item x="512"/>
        <item x="656"/>
        <item x="511"/>
        <item x="510"/>
        <item x="509"/>
        <item x="655"/>
        <item x="545"/>
        <item x="508"/>
        <item x="653"/>
        <item x="90"/>
        <item x="544"/>
        <item x="557"/>
        <item x="615"/>
        <item x="559"/>
        <item x="668"/>
        <item x="626"/>
        <item x="614"/>
        <item x="543"/>
        <item x="562"/>
        <item x="561"/>
        <item x="95"/>
        <item x="212"/>
        <item x="556"/>
        <item x="669"/>
        <item x="613"/>
        <item x="560"/>
        <item x="670"/>
        <item x="514"/>
        <item x="684"/>
        <item x="542"/>
        <item x="541"/>
        <item x="683"/>
        <item x="213"/>
        <item x="558"/>
        <item x="242"/>
        <item x="612"/>
        <item x="611"/>
        <item x="610"/>
        <item x="507"/>
        <item x="258"/>
        <item x="685"/>
        <item x="540"/>
        <item x="608"/>
        <item x="539"/>
        <item x="486"/>
        <item x="609"/>
        <item x="671"/>
        <item x="607"/>
        <item x="625"/>
        <item x="602"/>
        <item x="538"/>
        <item x="601"/>
        <item x="600"/>
        <item x="599"/>
        <item x="534"/>
        <item x="672"/>
        <item x="537"/>
        <item x="604"/>
        <item x="536"/>
        <item x="603"/>
        <item x="535"/>
        <item x="605"/>
        <item x="606"/>
        <item x="658"/>
        <item x="501"/>
        <item x="502"/>
        <item x="259"/>
        <item x="687"/>
        <item x="275"/>
        <item x="276"/>
        <item x="294"/>
        <item x="657"/>
        <item x="686"/>
        <item x="673"/>
        <item x="592"/>
        <item x="533"/>
        <item x="593"/>
        <item x="503"/>
        <item x="504"/>
        <item x="595"/>
        <item x="596"/>
        <item x="633"/>
        <item x="635"/>
        <item x="471"/>
        <item x="634"/>
        <item x="597"/>
        <item x="506"/>
        <item x="594"/>
        <item x="598"/>
        <item x="638"/>
        <item x="586"/>
        <item x="639"/>
        <item x="436"/>
        <item x="445"/>
        <item x="640"/>
        <item x="585"/>
        <item x="500"/>
        <item x="676"/>
        <item x="587"/>
        <item x="637"/>
        <item x="675"/>
        <item x="588"/>
        <item x="499"/>
        <item x="589"/>
        <item x="446"/>
        <item x="447"/>
        <item x="303"/>
        <item x="674"/>
        <item x="590"/>
        <item x="591"/>
        <item x="659"/>
        <item x="688"/>
        <item x="636"/>
        <item x="532"/>
        <item x="311"/>
        <item x="624"/>
        <item x="531"/>
        <item x="690"/>
        <item x="498"/>
        <item x="689"/>
        <item x="660"/>
        <item x="530"/>
        <item x="312"/>
        <item x="698"/>
        <item x="641"/>
        <item x="429"/>
        <item x="432"/>
        <item x="433"/>
        <item x="642"/>
        <item x="431"/>
        <item x="428"/>
        <item x="435"/>
        <item x="434"/>
        <item x="430"/>
        <item x="427"/>
        <item x="417"/>
        <item x="411"/>
        <item x="422"/>
        <item x="418"/>
        <item x="413"/>
        <item x="700"/>
        <item x="412"/>
        <item x="416"/>
        <item x="410"/>
        <item x="419"/>
        <item x="414"/>
        <item x="415"/>
        <item x="581"/>
        <item x="420"/>
        <item x="439"/>
        <item x="426"/>
        <item x="661"/>
        <item x="643"/>
        <item x="425"/>
        <item x="584"/>
        <item x="691"/>
        <item x="423"/>
        <item x="505"/>
        <item x="699"/>
        <item x="424"/>
        <item x="583"/>
        <item x="677"/>
        <item x="582"/>
        <item x="438"/>
        <item x="663"/>
        <item x="662"/>
        <item x="470"/>
        <item x="678"/>
        <item x="622"/>
        <item x="694"/>
        <item x="580"/>
        <item x="679"/>
        <item x="692"/>
        <item x="579"/>
        <item x="577"/>
        <item x="496"/>
        <item x="680"/>
        <item x="693"/>
        <item x="484"/>
        <item x="421"/>
        <item x="623"/>
        <item x="620"/>
        <item x="621"/>
        <item x="578"/>
        <item x="529"/>
        <item x="664"/>
        <item x="644"/>
        <item x="485"/>
        <item x="576"/>
        <item x="403"/>
        <item x="665"/>
        <item x="645"/>
        <item x="528"/>
        <item x="575"/>
        <item x="666"/>
        <item x="479"/>
        <item x="402"/>
        <item x="574"/>
        <item x="480"/>
        <item x="497"/>
        <item x="481"/>
        <item x="555"/>
        <item x="274"/>
        <item x="492"/>
        <item x="491"/>
        <item x="619"/>
        <item x="553"/>
        <item x="568"/>
        <item x="554"/>
        <item x="647"/>
        <item x="571"/>
        <item x="569"/>
        <item x="570"/>
        <item x="682"/>
        <item x="667"/>
        <item x="646"/>
        <item x="437"/>
        <item x="701"/>
        <item x="490"/>
        <item x="350"/>
        <item x="401"/>
        <item x="573"/>
        <item x="572"/>
        <item x="567"/>
        <item x="566"/>
        <item x="400"/>
        <item x="489"/>
        <item x="399"/>
        <item x="702"/>
        <item x="398"/>
        <item x="397"/>
        <item x="552"/>
        <item x="396"/>
        <item x="395"/>
        <item x="394"/>
        <item x="550"/>
        <item x="393"/>
        <item x="565"/>
        <item x="695"/>
        <item x="391"/>
        <item x="648"/>
        <item x="392"/>
        <item x="549"/>
        <item x="696"/>
        <item x="548"/>
        <item x="564"/>
        <item x="527"/>
        <item x="681"/>
        <item x="547"/>
        <item x="390"/>
        <item x="482"/>
        <item x="389"/>
        <item x="495"/>
        <item x="388"/>
        <item x="697"/>
        <item x="618"/>
        <item x="617"/>
        <item x="546"/>
        <item x="563"/>
        <item x="483"/>
        <item x="488"/>
        <item x="551"/>
        <item x="487"/>
        <item x="493"/>
        <item x="518"/>
        <item x="494"/>
        <item x="465"/>
        <item x="375"/>
        <item x="466"/>
        <item x="464"/>
        <item x="384"/>
        <item x="382"/>
        <item x="370"/>
        <item x="404"/>
        <item x="406"/>
        <item x="467"/>
        <item x="405"/>
        <item x="407"/>
        <item x="408"/>
        <item x="387"/>
        <item x="409"/>
        <item x="385"/>
        <item x="386"/>
        <item x="383"/>
        <item x="378"/>
        <item x="373"/>
        <item x="377"/>
        <item x="381"/>
        <item x="380"/>
        <item x="374"/>
        <item x="360"/>
        <item x="376"/>
        <item x="379"/>
        <item x="372"/>
        <item x="468"/>
        <item x="371"/>
        <item x="361"/>
        <item x="369"/>
        <item x="368"/>
        <item x="367"/>
        <item x="366"/>
        <item x="365"/>
        <item x="364"/>
        <item x="359"/>
        <item x="358"/>
        <item x="357"/>
        <item x="356"/>
        <item x="355"/>
        <item x="353"/>
        <item x="354"/>
        <item x="352"/>
        <item x="351"/>
        <item x="362"/>
        <item x="363"/>
        <item x="349"/>
        <item x="348"/>
        <item x="342"/>
        <item x="343"/>
        <item x="347"/>
        <item x="345"/>
        <item x="339"/>
        <item x="344"/>
        <item x="346"/>
        <item x="340"/>
        <item x="341"/>
        <item x="338"/>
        <item x="337"/>
        <item x="333"/>
        <item x="334"/>
        <item x="329"/>
        <item x="332"/>
        <item x="336"/>
        <item x="319"/>
        <item x="324"/>
        <item x="331"/>
        <item x="330"/>
        <item x="320"/>
        <item x="335"/>
        <item x="326"/>
        <item x="327"/>
        <item x="321"/>
        <item x="322"/>
        <item x="328"/>
        <item x="325"/>
        <item x="318"/>
        <item x="323"/>
        <item x="317"/>
        <item x="316"/>
        <item x="314"/>
        <item x="315"/>
        <item x="313"/>
        <item x="298"/>
        <item x="281"/>
        <item x="297"/>
        <item x="284"/>
        <item x="307"/>
        <item x="296"/>
        <item x="285"/>
        <item x="169"/>
        <item x="309"/>
        <item x="289"/>
        <item x="288"/>
        <item x="308"/>
        <item x="295"/>
        <item x="299"/>
        <item x="304"/>
        <item x="272"/>
        <item x="273"/>
        <item x="282"/>
        <item x="310"/>
        <item x="283"/>
        <item x="278"/>
        <item x="279"/>
        <item x="280"/>
        <item x="277"/>
        <item x="301"/>
        <item x="305"/>
        <item x="306"/>
        <item x="287"/>
        <item x="270"/>
        <item x="269"/>
        <item x="302"/>
        <item x="268"/>
        <item x="286"/>
        <item x="300"/>
        <item x="293"/>
        <item x="292"/>
        <item x="291"/>
        <item x="290"/>
        <item x="271"/>
        <item x="233"/>
        <item x="264"/>
        <item x="265"/>
        <item x="262"/>
        <item x="263"/>
        <item x="252"/>
        <item x="266"/>
        <item x="267"/>
        <item x="469"/>
        <item x="260"/>
        <item x="261"/>
        <item x="247"/>
        <item x="182"/>
        <item x="251"/>
        <item x="250"/>
        <item x="246"/>
        <item x="241"/>
        <item x="240"/>
        <item x="245"/>
        <item x="249"/>
        <item x="257"/>
        <item x="244"/>
        <item x="256"/>
        <item x="253"/>
        <item x="255"/>
        <item x="254"/>
        <item x="177"/>
        <item x="248"/>
        <item x="243"/>
        <item x="184"/>
        <item x="174"/>
        <item x="181"/>
        <item x="201"/>
        <item x="217"/>
        <item x="216"/>
        <item x="215"/>
        <item x="189"/>
        <item x="190"/>
        <item x="178"/>
        <item x="193"/>
        <item x="187"/>
        <item x="210"/>
        <item x="186"/>
        <item x="192"/>
        <item x="188"/>
        <item x="185"/>
        <item x="472"/>
        <item x="196"/>
        <item x="473"/>
        <item x="176"/>
        <item x="214"/>
        <item x="218"/>
        <item x="229"/>
        <item x="180"/>
        <item x="474"/>
        <item x="231"/>
        <item x="227"/>
        <item x="219"/>
        <item x="475"/>
        <item x="228"/>
        <item x="225"/>
        <item x="223"/>
        <item x="224"/>
        <item x="211"/>
        <item x="237"/>
        <item x="221"/>
        <item x="220"/>
        <item x="236"/>
        <item x="200"/>
        <item x="235"/>
        <item x="209"/>
        <item x="232"/>
        <item x="230"/>
        <item x="179"/>
        <item x="238"/>
        <item x="234"/>
        <item x="239"/>
        <item x="199"/>
        <item x="197"/>
        <item x="222"/>
        <item x="175"/>
        <item x="206"/>
        <item x="198"/>
        <item x="207"/>
        <item x="226"/>
        <item x="208"/>
        <item x="191"/>
        <item x="195"/>
        <item x="194"/>
        <item x="183"/>
        <item x="202"/>
        <item x="205"/>
        <item x="204"/>
        <item x="203"/>
        <item x="172"/>
        <item x="173"/>
        <item x="27"/>
        <item x="29"/>
        <item x="28"/>
        <item x="171"/>
        <item x="170"/>
        <item x="132"/>
        <item x="133"/>
        <item x="157"/>
        <item x="168"/>
        <item x="143"/>
        <item x="142"/>
        <item x="129"/>
        <item x="130"/>
        <item x="131"/>
        <item x="139"/>
        <item x="138"/>
        <item x="137"/>
        <item x="140"/>
        <item x="136"/>
        <item x="135"/>
        <item x="144"/>
        <item x="152"/>
        <item x="141"/>
        <item x="134"/>
        <item x="164"/>
        <item x="153"/>
        <item x="166"/>
        <item x="147"/>
        <item x="146"/>
        <item x="165"/>
        <item x="167"/>
        <item x="154"/>
        <item x="145"/>
        <item x="126"/>
        <item x="161"/>
        <item x="156"/>
        <item x="155"/>
        <item x="128"/>
        <item x="149"/>
        <item x="148"/>
        <item x="163"/>
        <item x="159"/>
        <item x="160"/>
        <item x="162"/>
        <item x="158"/>
        <item x="150"/>
        <item x="127"/>
        <item x="124"/>
        <item x="123"/>
        <item x="122"/>
        <item x="125"/>
        <item x="121"/>
        <item x="120"/>
        <item x="119"/>
        <item x="118"/>
        <item x="117"/>
        <item x="151"/>
        <item x="110"/>
        <item x="109"/>
        <item x="113"/>
        <item x="115"/>
        <item x="106"/>
        <item x="104"/>
        <item x="107"/>
        <item x="105"/>
        <item x="108"/>
        <item x="111"/>
        <item x="114"/>
        <item x="103"/>
        <item x="116"/>
        <item x="100"/>
        <item x="112"/>
        <item x="102"/>
        <item x="101"/>
        <item x="8"/>
        <item x="7"/>
        <item x="0"/>
        <item x="12"/>
        <item x="3"/>
        <item x="476"/>
        <item x="10"/>
        <item x="5"/>
        <item x="15"/>
        <item x="6"/>
        <item x="99"/>
        <item x="97"/>
        <item x="4"/>
        <item x="9"/>
        <item x="98"/>
        <item x="13"/>
        <item x="11"/>
        <item x="14"/>
        <item x="93"/>
        <item x="94"/>
        <item x="38"/>
        <item x="30"/>
        <item x="17"/>
        <item x="16"/>
        <item x="53"/>
        <item x="52"/>
        <item x="18"/>
        <item x="35"/>
        <item x="19"/>
        <item x="34"/>
        <item x="36"/>
        <item x="37"/>
        <item x="21"/>
        <item x="33"/>
        <item x="20"/>
        <item x="51"/>
        <item x="32"/>
        <item x="23"/>
        <item x="31"/>
        <item x="24"/>
        <item x="26"/>
        <item x="49"/>
        <item x="50"/>
        <item x="22"/>
        <item x="25"/>
        <item x="48"/>
        <item x="42"/>
        <item x="55"/>
        <item x="56"/>
        <item x="43"/>
        <item x="46"/>
        <item x="58"/>
        <item x="63"/>
        <item x="57"/>
        <item x="44"/>
        <item x="54"/>
        <item x="47"/>
        <item x="45"/>
        <item x="59"/>
        <item x="96"/>
        <item x="60"/>
        <item x="64"/>
        <item x="92"/>
        <item x="65"/>
        <item x="67"/>
        <item x="91"/>
        <item x="89"/>
        <item x="68"/>
        <item x="88"/>
        <item x="66"/>
        <item x="71"/>
        <item x="76"/>
        <item x="77"/>
        <item x="72"/>
        <item x="73"/>
        <item x="69"/>
        <item x="74"/>
        <item x="78"/>
        <item x="70"/>
        <item x="75"/>
        <item x="477"/>
        <item x="83"/>
        <item x="79"/>
        <item x="80"/>
        <item x="81"/>
        <item x="82"/>
        <item x="87"/>
        <item x="85"/>
        <item x="84"/>
        <item x="86"/>
        <item x="61"/>
        <item x="40"/>
        <item x="62"/>
        <item x="2"/>
        <item x="1"/>
        <item x="41"/>
        <item x="39"/>
        <item x="478"/>
        <item x="703"/>
        <item t="default"/>
      </items>
    </pivotField>
    <pivotField axis="axisCol" showAll="0">
      <items count="9">
        <item x="0"/>
        <item h="1" x="2"/>
        <item x="1"/>
        <item h="1" x="7"/>
        <item h="1" x="3"/>
        <item h="1" x="4"/>
        <item h="1" x="5"/>
        <item h="1" x="6"/>
        <item t="default"/>
      </items>
    </pivotField>
    <pivotField dataField="1" showAll="0"/>
    <pivotField showAll="0"/>
    <pivotField showAll="0"/>
    <pivotField showAll="0"/>
    <pivotField axis="axisPage" multipleItemSelectionAllowed="1" showAll="0">
      <items count="10">
        <item h="1" x="7"/>
        <item h="1" x="2"/>
        <item h="1" x="3"/>
        <item h="1" x="6"/>
        <item h="1" x="5"/>
        <item h="1" x="4"/>
        <item h="1" x="0"/>
        <item x="1"/>
        <item h="1" x="8"/>
        <item t="default"/>
      </items>
    </pivotField>
    <pivotField showAll="0"/>
  </pivotFields>
  <rowFields count="1">
    <field x="1"/>
  </rowFields>
  <rowItems count="14">
    <i>
      <x v="28"/>
    </i>
    <i>
      <x v="58"/>
    </i>
    <i>
      <x v="7"/>
    </i>
    <i>
      <x v="13"/>
    </i>
    <i>
      <x v="110"/>
    </i>
    <i>
      <x v="112"/>
    </i>
    <i>
      <x v="34"/>
    </i>
    <i>
      <x v="1"/>
    </i>
    <i>
      <x v="2"/>
    </i>
    <i>
      <x v="76"/>
    </i>
    <i>
      <x v="12"/>
    </i>
    <i>
      <x v="38"/>
    </i>
    <i>
      <x v="70"/>
    </i>
    <i t="grand">
      <x/>
    </i>
  </rowItems>
  <colFields count="1">
    <field x="4"/>
  </colFields>
  <colItems count="3">
    <i>
      <x/>
    </i>
    <i>
      <x v="2"/>
    </i>
    <i t="grand">
      <x/>
    </i>
  </colItems>
  <pageFields count="3">
    <pageField fld="0" hier="-1"/>
    <pageField fld="9" hier="-1"/>
    <pageField fld="3" hier="-1"/>
  </pageFields>
  <dataFields count="1">
    <dataField name="Cuenta de Tipo de Falla" fld="5" subtotal="count" baseField="0" baseItem="0"/>
  </dataFields>
  <chartFormats count="14">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series="1">
      <pivotArea type="data" outline="0" fieldPosition="0">
        <references count="2">
          <reference field="4294967294" count="1" selected="0">
            <x v="0"/>
          </reference>
          <reference field="9" count="1" selected="0">
            <x v="7"/>
          </reference>
        </references>
      </pivotArea>
    </chartFormat>
    <chartFormat chart="3" format="4" series="1">
      <pivotArea type="data" outline="0" fieldPosition="0">
        <references count="2">
          <reference field="4294967294" count="1" selected="0">
            <x v="0"/>
          </reference>
          <reference field="9" count="1" selected="0">
            <x v="6"/>
          </reference>
        </references>
      </pivotArea>
    </chartFormat>
    <chartFormat chart="10" format="5" series="1">
      <pivotArea type="data" outline="0" fieldPosition="0">
        <references count="2">
          <reference field="4294967294" count="1" selected="0">
            <x v="0"/>
          </reference>
          <reference field="9" count="1" selected="0">
            <x v="6"/>
          </reference>
        </references>
      </pivotArea>
    </chartFormat>
    <chartFormat chart="10" format="6" series="1">
      <pivotArea type="data" outline="0" fieldPosition="0">
        <references count="2">
          <reference field="4294967294" count="1" selected="0">
            <x v="0"/>
          </reference>
          <reference field="9" count="1" selected="0">
            <x v="7"/>
          </reference>
        </references>
      </pivotArea>
    </chartFormat>
    <chartFormat chart="15" format="7" series="1">
      <pivotArea type="data" outline="0" fieldPosition="0">
        <references count="2">
          <reference field="4294967294" count="1" selected="0">
            <x v="0"/>
          </reference>
          <reference field="9" count="1" selected="0">
            <x v="6"/>
          </reference>
        </references>
      </pivotArea>
    </chartFormat>
    <chartFormat chart="15" format="8" series="1">
      <pivotArea type="data" outline="0" fieldPosition="0">
        <references count="2">
          <reference field="4294967294" count="1" selected="0">
            <x v="0"/>
          </reference>
          <reference field="9" count="1" selected="0">
            <x v="7"/>
          </reference>
        </references>
      </pivotArea>
    </chartFormat>
    <chartFormat chart="15" format="23" series="1">
      <pivotArea type="data" outline="0" fieldPosition="0">
        <references count="2">
          <reference field="4294967294" count="1" selected="0">
            <x v="0"/>
          </reference>
          <reference field="9" count="1" selected="0">
            <x v="5"/>
          </reference>
        </references>
      </pivotArea>
    </chartFormat>
    <chartFormat chart="10" format="7" series="1">
      <pivotArea type="data" outline="0" fieldPosition="0">
        <references count="2">
          <reference field="4294967294" count="1" selected="0">
            <x v="0"/>
          </reference>
          <reference field="9" count="1" selected="0">
            <x v="5"/>
          </reference>
        </references>
      </pivotArea>
    </chartFormat>
    <chartFormat chart="20" format="16" series="1">
      <pivotArea type="data" outline="0" fieldPosition="0">
        <references count="2">
          <reference field="4294967294" count="1" selected="0">
            <x v="0"/>
          </reference>
          <reference field="4" count="1" selected="0">
            <x v="0"/>
          </reference>
        </references>
      </pivotArea>
    </chartFormat>
    <chartFormat chart="20" format="17" series="1">
      <pivotArea type="data" outline="0" fieldPosition="0">
        <references count="2">
          <reference field="4294967294" count="1" selected="0">
            <x v="0"/>
          </reference>
          <reference field="4" count="1" selected="0">
            <x v="2"/>
          </reference>
        </references>
      </pivotArea>
    </chartFormat>
    <chartFormat chart="20" format="1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4494C43-1987-47F3-A9C7-DA66AF57BE8A}" name="Tabla1" displayName="Tabla1" ref="B1:L1712" totalsRowShown="0" headerRowDxfId="12" dataDxfId="11">
  <autoFilter ref="B1:L1712" xr:uid="{14494C43-1987-47F3-A9C7-DA66AF57BE8A}">
    <filterColumn colId="3">
      <filters>
        <dateGroupItem year="2026" dateTimeGrouping="year"/>
      </filters>
    </filterColumn>
  </autoFilter>
  <sortState xmlns:xlrd2="http://schemas.microsoft.com/office/spreadsheetml/2017/richdata2" ref="B2:L1712">
    <sortCondition descending="1" ref="E1:E1712"/>
  </sortState>
  <tableColumns count="11">
    <tableColumn id="1" xr3:uid="{B5A7B0BB-7575-4467-BEED-10436FAF2BB9}" name="Cliente" dataDxfId="10"/>
    <tableColumn id="2" xr3:uid="{8F817892-E9C4-4B5D-8F8F-3363D10059D9}" name="Maquina" dataDxfId="9"/>
    <tableColumn id="3" xr3:uid="{DD78AC35-C899-4792-8017-FB98B6AF3B9E}" name="Tecnico" dataDxfId="8"/>
    <tableColumn id="4" xr3:uid="{E5D59F49-2627-405A-916B-DDA95AED6721}" name="Fecha" dataDxfId="7"/>
    <tableColumn id="5" xr3:uid="{1228FC90-C245-41E0-829C-CA4CF063CAED}" name="Tipo de Mantenimiento" dataDxfId="6"/>
    <tableColumn id="6" xr3:uid="{6D2536F4-E376-4DA0-9422-21524219942F}" name="Tipo de Falla" dataDxfId="5"/>
    <tableColumn id="7" xr3:uid="{208FD671-D4F3-40C8-8902-327F0D740805}" name="Falla Expecifica" dataDxfId="4"/>
    <tableColumn id="8" xr3:uid="{341E9665-5586-417A-BADC-45D1860B6913}" name="Solucion y/o Diagnostico" dataDxfId="3"/>
    <tableColumn id="9" xr3:uid="{23A16312-8ABF-43EA-ABD9-7257ECEDE9BD}" name="Observaciones" dataDxfId="2"/>
    <tableColumn id="10" xr3:uid="{18991C83-20FE-482D-8FCB-B8C83B33614D}" name="Año" dataDxfId="1">
      <calculatedColumnFormula>YEAR(Tabla1[[#This Row],[Fecha]])</calculatedColumnFormula>
    </tableColumn>
    <tableColumn id="11" xr3:uid="{57BE8363-8976-4B6F-9BFF-8D60A8C05D59}" name="Mes" dataDxfId="0">
      <calculatedColumnFormula>MONTH(Tabla1[[#This Row],[Fecha]])</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4"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2D03D0-E391-4CC8-9E53-764E9A49CFA9}">
  <dimension ref="B1:L1712"/>
  <sheetViews>
    <sheetView tabSelected="1" topLeftCell="C1" zoomScale="103" workbookViewId="0">
      <selection activeCell="F14" sqref="F14"/>
    </sheetView>
  </sheetViews>
  <sheetFormatPr baseColWidth="10" defaultRowHeight="15" x14ac:dyDescent="0.25"/>
  <cols>
    <col min="2" max="2" width="17.85546875" style="1" bestFit="1" customWidth="1"/>
    <col min="3" max="3" width="48.7109375" style="1" bestFit="1" customWidth="1"/>
    <col min="4" max="4" width="17.5703125" style="1" bestFit="1" customWidth="1"/>
    <col min="5" max="5" width="19.42578125" style="1" bestFit="1" customWidth="1"/>
    <col min="6" max="6" width="32.140625" style="35" customWidth="1"/>
    <col min="7" max="7" width="35.140625" style="35" bestFit="1" customWidth="1"/>
    <col min="8" max="8" width="25" style="35" bestFit="1" customWidth="1"/>
    <col min="9" max="9" width="117.85546875" style="35" customWidth="1"/>
    <col min="10" max="10" width="22" style="1" customWidth="1"/>
  </cols>
  <sheetData>
    <row r="1" spans="2:12" x14ac:dyDescent="0.25">
      <c r="B1" s="2" t="s">
        <v>0</v>
      </c>
      <c r="C1" s="2" t="s">
        <v>1</v>
      </c>
      <c r="D1" s="3" t="s">
        <v>2</v>
      </c>
      <c r="E1" s="2" t="s">
        <v>3</v>
      </c>
      <c r="F1" s="11" t="s">
        <v>4</v>
      </c>
      <c r="G1" s="11" t="s">
        <v>5</v>
      </c>
      <c r="H1" s="11" t="s">
        <v>6</v>
      </c>
      <c r="I1" s="11" t="s">
        <v>7</v>
      </c>
      <c r="J1" s="2" t="s">
        <v>8</v>
      </c>
      <c r="K1" s="16" t="s">
        <v>1677</v>
      </c>
      <c r="L1" s="16" t="s">
        <v>1678</v>
      </c>
    </row>
    <row r="2" spans="2:12" x14ac:dyDescent="0.25">
      <c r="B2" s="5" t="s">
        <v>9</v>
      </c>
      <c r="C2" s="9" t="s">
        <v>14</v>
      </c>
      <c r="D2" s="5" t="s">
        <v>11</v>
      </c>
      <c r="E2" s="6">
        <v>46197</v>
      </c>
      <c r="F2" s="8" t="s">
        <v>15</v>
      </c>
      <c r="G2" s="4" t="s">
        <v>16</v>
      </c>
      <c r="H2" s="4" t="s">
        <v>17</v>
      </c>
      <c r="I2" s="5" t="s">
        <v>18</v>
      </c>
      <c r="J2" s="7"/>
      <c r="K2" s="15">
        <f>YEAR(Tabla1[[#This Row],[Fecha]])</f>
        <v>2026</v>
      </c>
      <c r="L2" s="15">
        <f>MONTH(Tabla1[[#This Row],[Fecha]])</f>
        <v>6</v>
      </c>
    </row>
    <row r="3" spans="2:12" x14ac:dyDescent="0.25">
      <c r="B3" s="5" t="s">
        <v>19</v>
      </c>
      <c r="C3" s="9" t="s">
        <v>20</v>
      </c>
      <c r="D3" s="5" t="s">
        <v>11</v>
      </c>
      <c r="E3" s="6">
        <v>46196</v>
      </c>
      <c r="F3" s="8" t="s">
        <v>15</v>
      </c>
      <c r="G3" s="4" t="s">
        <v>16</v>
      </c>
      <c r="H3" s="4" t="s">
        <v>17</v>
      </c>
      <c r="I3" s="5" t="s">
        <v>21</v>
      </c>
      <c r="J3" s="7"/>
      <c r="K3" s="15">
        <f>YEAR(Tabla1[[#This Row],[Fecha]])</f>
        <v>2026</v>
      </c>
      <c r="L3" s="15">
        <f>MONTH(Tabla1[[#This Row],[Fecha]])</f>
        <v>6</v>
      </c>
    </row>
    <row r="4" spans="2:12" x14ac:dyDescent="0.25">
      <c r="B4" s="5" t="s">
        <v>181</v>
      </c>
      <c r="C4" s="9" t="s">
        <v>182</v>
      </c>
      <c r="D4" s="5" t="s">
        <v>11</v>
      </c>
      <c r="E4" s="6">
        <v>46188</v>
      </c>
      <c r="F4" s="8" t="s">
        <v>15</v>
      </c>
      <c r="G4" s="4" t="s">
        <v>16</v>
      </c>
      <c r="H4" s="4" t="s">
        <v>17</v>
      </c>
      <c r="I4" s="5" t="s">
        <v>183</v>
      </c>
      <c r="J4" s="7"/>
      <c r="K4" s="15">
        <f>YEAR(Tabla1[[#This Row],[Fecha]])</f>
        <v>2026</v>
      </c>
      <c r="L4" s="15">
        <f>MONTH(Tabla1[[#This Row],[Fecha]])</f>
        <v>6</v>
      </c>
    </row>
    <row r="5" spans="2:12" x14ac:dyDescent="0.25">
      <c r="B5" s="10" t="s">
        <v>49</v>
      </c>
      <c r="C5" s="9" t="s">
        <v>111</v>
      </c>
      <c r="D5" s="5" t="s">
        <v>11</v>
      </c>
      <c r="E5" s="6">
        <v>46188</v>
      </c>
      <c r="F5" s="8" t="s">
        <v>15</v>
      </c>
      <c r="G5" s="4" t="s">
        <v>24</v>
      </c>
      <c r="H5" s="4" t="s">
        <v>184</v>
      </c>
      <c r="I5" s="5" t="s">
        <v>185</v>
      </c>
      <c r="J5" s="7"/>
      <c r="K5" s="15">
        <f>YEAR(Tabla1[[#This Row],[Fecha]])</f>
        <v>2026</v>
      </c>
      <c r="L5" s="15">
        <f>MONTH(Tabla1[[#This Row],[Fecha]])</f>
        <v>6</v>
      </c>
    </row>
    <row r="6" spans="2:12" x14ac:dyDescent="0.25">
      <c r="B6" s="5" t="s">
        <v>9</v>
      </c>
      <c r="C6" s="9" t="s">
        <v>93</v>
      </c>
      <c r="D6" s="5" t="s">
        <v>131</v>
      </c>
      <c r="E6" s="6">
        <v>46188</v>
      </c>
      <c r="F6" s="8" t="s">
        <v>15</v>
      </c>
      <c r="G6" s="4" t="s">
        <v>24</v>
      </c>
      <c r="H6" s="4" t="s">
        <v>12</v>
      </c>
      <c r="I6" s="5" t="s">
        <v>186</v>
      </c>
      <c r="J6" s="7"/>
      <c r="K6" s="15">
        <f>YEAR(Tabla1[[#This Row],[Fecha]])</f>
        <v>2026</v>
      </c>
      <c r="L6" s="15">
        <f>MONTH(Tabla1[[#This Row],[Fecha]])</f>
        <v>6</v>
      </c>
    </row>
    <row r="7" spans="2:12" x14ac:dyDescent="0.25">
      <c r="B7" s="5" t="s">
        <v>133</v>
      </c>
      <c r="C7" s="5" t="s">
        <v>134</v>
      </c>
      <c r="D7" s="5" t="s">
        <v>11</v>
      </c>
      <c r="E7" s="6">
        <v>46182</v>
      </c>
      <c r="F7" s="4" t="s">
        <v>100</v>
      </c>
      <c r="G7" s="4"/>
      <c r="H7" s="4"/>
      <c r="I7" s="5" t="s">
        <v>138</v>
      </c>
      <c r="J7" s="5"/>
      <c r="K7" s="22">
        <f>YEAR(Tabla1[[#This Row],[Fecha]])</f>
        <v>2026</v>
      </c>
      <c r="L7" s="22">
        <f>MONTH(Tabla1[[#This Row],[Fecha]])</f>
        <v>6</v>
      </c>
    </row>
    <row r="8" spans="2:12" x14ac:dyDescent="0.25">
      <c r="B8" s="5" t="s">
        <v>19</v>
      </c>
      <c r="C8" s="5" t="s">
        <v>180</v>
      </c>
      <c r="D8" s="5" t="s">
        <v>11</v>
      </c>
      <c r="E8" s="6">
        <v>46171</v>
      </c>
      <c r="F8" s="4" t="s">
        <v>1688</v>
      </c>
      <c r="G8" s="4"/>
      <c r="H8" s="4"/>
      <c r="I8" s="5" t="s">
        <v>1687</v>
      </c>
      <c r="J8" s="5"/>
      <c r="K8" s="22">
        <f>YEAR(Tabla1[[#This Row],[Fecha]])</f>
        <v>2026</v>
      </c>
      <c r="L8" s="22">
        <f>MONTH(Tabla1[[#This Row],[Fecha]])</f>
        <v>5</v>
      </c>
    </row>
    <row r="9" spans="2:12" x14ac:dyDescent="0.25">
      <c r="B9" s="5" t="s">
        <v>45</v>
      </c>
      <c r="C9" s="9" t="s">
        <v>130</v>
      </c>
      <c r="D9" s="5" t="s">
        <v>11</v>
      </c>
      <c r="E9" s="6">
        <v>46162</v>
      </c>
      <c r="F9" s="8" t="s">
        <v>15</v>
      </c>
      <c r="G9" s="4" t="s">
        <v>47</v>
      </c>
      <c r="H9" s="8"/>
      <c r="I9" s="5" t="s">
        <v>235</v>
      </c>
      <c r="J9" s="7"/>
      <c r="K9" s="15">
        <f>YEAR(Tabla1[[#This Row],[Fecha]])</f>
        <v>2026</v>
      </c>
      <c r="L9" s="15">
        <f>MONTH(Tabla1[[#This Row],[Fecha]])</f>
        <v>5</v>
      </c>
    </row>
    <row r="10" spans="2:12" x14ac:dyDescent="0.25">
      <c r="B10" s="5" t="s">
        <v>45</v>
      </c>
      <c r="C10" s="9" t="s">
        <v>130</v>
      </c>
      <c r="D10" s="5" t="s">
        <v>11</v>
      </c>
      <c r="E10" s="6">
        <v>46162</v>
      </c>
      <c r="F10" s="8" t="s">
        <v>15</v>
      </c>
      <c r="G10" s="4" t="s">
        <v>47</v>
      </c>
      <c r="H10" s="8"/>
      <c r="I10" s="5" t="s">
        <v>236</v>
      </c>
      <c r="J10" s="7"/>
      <c r="K10" s="15">
        <f>YEAR(Tabla1[[#This Row],[Fecha]])</f>
        <v>2026</v>
      </c>
      <c r="L10" s="15">
        <f>MONTH(Tabla1[[#This Row],[Fecha]])</f>
        <v>5</v>
      </c>
    </row>
    <row r="11" spans="2:12" x14ac:dyDescent="0.25">
      <c r="B11" s="5" t="s">
        <v>181</v>
      </c>
      <c r="C11" s="9" t="s">
        <v>182</v>
      </c>
      <c r="D11" s="5" t="s">
        <v>11</v>
      </c>
      <c r="E11" s="6">
        <v>46161</v>
      </c>
      <c r="F11" s="8" t="s">
        <v>15</v>
      </c>
      <c r="G11" s="4" t="s">
        <v>16</v>
      </c>
      <c r="H11" s="4" t="s">
        <v>77</v>
      </c>
      <c r="I11" s="5" t="s">
        <v>231</v>
      </c>
      <c r="J11" s="7"/>
      <c r="K11" s="15">
        <f>YEAR(Tabla1[[#This Row],[Fecha]])</f>
        <v>2026</v>
      </c>
      <c r="L11" s="15">
        <f>MONTH(Tabla1[[#This Row],[Fecha]])</f>
        <v>5</v>
      </c>
    </row>
    <row r="12" spans="2:12" x14ac:dyDescent="0.25">
      <c r="B12" s="5" t="s">
        <v>181</v>
      </c>
      <c r="C12" s="9" t="s">
        <v>182</v>
      </c>
      <c r="D12" s="5" t="s">
        <v>11</v>
      </c>
      <c r="E12" s="6">
        <v>46161</v>
      </c>
      <c r="F12" s="8" t="s">
        <v>15</v>
      </c>
      <c r="G12" s="4" t="s">
        <v>36</v>
      </c>
      <c r="H12" s="4" t="s">
        <v>145</v>
      </c>
      <c r="I12" s="5" t="s">
        <v>232</v>
      </c>
      <c r="J12" s="7"/>
      <c r="K12" s="15">
        <f>YEAR(Tabla1[[#This Row],[Fecha]])</f>
        <v>2026</v>
      </c>
      <c r="L12" s="15">
        <f>MONTH(Tabla1[[#This Row],[Fecha]])</f>
        <v>5</v>
      </c>
    </row>
    <row r="13" spans="2:12" x14ac:dyDescent="0.25">
      <c r="B13" s="5" t="s">
        <v>9</v>
      </c>
      <c r="C13" s="9" t="s">
        <v>102</v>
      </c>
      <c r="D13" s="5" t="s">
        <v>11</v>
      </c>
      <c r="E13" s="6">
        <v>46160</v>
      </c>
      <c r="F13" s="8" t="s">
        <v>15</v>
      </c>
      <c r="G13" s="4" t="s">
        <v>16</v>
      </c>
      <c r="H13" s="4" t="s">
        <v>97</v>
      </c>
      <c r="I13" s="5" t="s">
        <v>233</v>
      </c>
      <c r="J13" s="7"/>
      <c r="K13" s="15">
        <f>YEAR(Tabla1[[#This Row],[Fecha]])</f>
        <v>2026</v>
      </c>
      <c r="L13" s="15">
        <f>MONTH(Tabla1[[#This Row],[Fecha]])</f>
        <v>5</v>
      </c>
    </row>
    <row r="14" spans="2:12" x14ac:dyDescent="0.25">
      <c r="B14" s="5" t="s">
        <v>9</v>
      </c>
      <c r="C14" s="9" t="s">
        <v>82</v>
      </c>
      <c r="D14" s="5" t="s">
        <v>11</v>
      </c>
      <c r="E14" s="6">
        <v>46160</v>
      </c>
      <c r="F14" s="8" t="s">
        <v>15</v>
      </c>
      <c r="G14" s="4" t="s">
        <v>47</v>
      </c>
      <c r="H14" s="4" t="s">
        <v>41</v>
      </c>
      <c r="I14" s="5" t="s">
        <v>234</v>
      </c>
      <c r="J14" s="7"/>
      <c r="K14" s="15">
        <f>YEAR(Tabla1[[#This Row],[Fecha]])</f>
        <v>2026</v>
      </c>
      <c r="L14" s="15">
        <f>MONTH(Tabla1[[#This Row],[Fecha]])</f>
        <v>5</v>
      </c>
    </row>
    <row r="15" spans="2:12" x14ac:dyDescent="0.25">
      <c r="B15" s="5" t="s">
        <v>19</v>
      </c>
      <c r="C15" s="9" t="s">
        <v>180</v>
      </c>
      <c r="D15" s="5" t="s">
        <v>11</v>
      </c>
      <c r="E15" s="6">
        <v>46157</v>
      </c>
      <c r="F15" s="8" t="s">
        <v>15</v>
      </c>
      <c r="G15" s="4" t="s">
        <v>135</v>
      </c>
      <c r="H15" s="4" t="s">
        <v>37</v>
      </c>
      <c r="I15" s="5" t="s">
        <v>237</v>
      </c>
      <c r="J15" s="7"/>
      <c r="K15" s="15">
        <f>YEAR(Tabla1[[#This Row],[Fecha]])</f>
        <v>2026</v>
      </c>
      <c r="L15" s="15">
        <f>MONTH(Tabla1[[#This Row],[Fecha]])</f>
        <v>5</v>
      </c>
    </row>
    <row r="16" spans="2:12" x14ac:dyDescent="0.25">
      <c r="B16" s="10" t="s">
        <v>49</v>
      </c>
      <c r="C16" s="9" t="s">
        <v>115</v>
      </c>
      <c r="D16" s="5" t="s">
        <v>11</v>
      </c>
      <c r="E16" s="6">
        <v>46156</v>
      </c>
      <c r="F16" s="8" t="s">
        <v>15</v>
      </c>
      <c r="G16" s="4" t="s">
        <v>16</v>
      </c>
      <c r="H16" s="8"/>
      <c r="I16" s="5" t="s">
        <v>229</v>
      </c>
      <c r="J16" s="7"/>
      <c r="K16" s="15">
        <f>YEAR(Tabla1[[#This Row],[Fecha]])</f>
        <v>2026</v>
      </c>
      <c r="L16" s="15">
        <f>MONTH(Tabla1[[#This Row],[Fecha]])</f>
        <v>5</v>
      </c>
    </row>
    <row r="17" spans="2:12" x14ac:dyDescent="0.25">
      <c r="B17" s="10" t="s">
        <v>49</v>
      </c>
      <c r="C17" s="9" t="s">
        <v>123</v>
      </c>
      <c r="D17" s="5" t="s">
        <v>11</v>
      </c>
      <c r="E17" s="6">
        <v>46155</v>
      </c>
      <c r="F17" s="8" t="s">
        <v>15</v>
      </c>
      <c r="G17" s="4" t="s">
        <v>24</v>
      </c>
      <c r="H17" s="4" t="s">
        <v>118</v>
      </c>
      <c r="I17" s="5" t="s">
        <v>227</v>
      </c>
      <c r="J17" s="7"/>
      <c r="K17" s="15">
        <f>YEAR(Tabla1[[#This Row],[Fecha]])</f>
        <v>2026</v>
      </c>
      <c r="L17" s="15">
        <f>MONTH(Tabla1[[#This Row],[Fecha]])</f>
        <v>5</v>
      </c>
    </row>
    <row r="18" spans="2:12" x14ac:dyDescent="0.25">
      <c r="B18" s="5" t="s">
        <v>45</v>
      </c>
      <c r="C18" s="5" t="s">
        <v>46</v>
      </c>
      <c r="D18" s="5" t="s">
        <v>11</v>
      </c>
      <c r="E18" s="6">
        <v>46155</v>
      </c>
      <c r="F18" s="4" t="s">
        <v>15</v>
      </c>
      <c r="G18" s="4" t="s">
        <v>108</v>
      </c>
      <c r="H18" s="4"/>
      <c r="I18" s="5" t="s">
        <v>228</v>
      </c>
      <c r="J18" s="5"/>
      <c r="K18" s="22">
        <f>YEAR(Tabla1[[#This Row],[Fecha]])</f>
        <v>2026</v>
      </c>
      <c r="L18" s="22">
        <f>MONTH(Tabla1[[#This Row],[Fecha]])</f>
        <v>5</v>
      </c>
    </row>
    <row r="19" spans="2:12" x14ac:dyDescent="0.25">
      <c r="B19" s="5" t="s">
        <v>9</v>
      </c>
      <c r="C19" s="9" t="s">
        <v>62</v>
      </c>
      <c r="D19" s="5" t="s">
        <v>11</v>
      </c>
      <c r="E19" s="6">
        <v>46154</v>
      </c>
      <c r="F19" s="8" t="s">
        <v>15</v>
      </c>
      <c r="G19" s="4" t="s">
        <v>135</v>
      </c>
      <c r="H19" s="4" t="s">
        <v>223</v>
      </c>
      <c r="I19" s="5" t="s">
        <v>224</v>
      </c>
      <c r="J19" s="7"/>
      <c r="K19" s="15">
        <f>YEAR(Tabla1[[#This Row],[Fecha]])</f>
        <v>2026</v>
      </c>
      <c r="L19" s="15">
        <f>MONTH(Tabla1[[#This Row],[Fecha]])</f>
        <v>5</v>
      </c>
    </row>
    <row r="20" spans="2:12" x14ac:dyDescent="0.25">
      <c r="B20" s="5" t="s">
        <v>9</v>
      </c>
      <c r="C20" s="9" t="s">
        <v>70</v>
      </c>
      <c r="D20" s="5" t="s">
        <v>11</v>
      </c>
      <c r="E20" s="6">
        <v>46154</v>
      </c>
      <c r="F20" s="8" t="s">
        <v>15</v>
      </c>
      <c r="G20" s="4" t="s">
        <v>24</v>
      </c>
      <c r="H20" s="4" t="s">
        <v>51</v>
      </c>
      <c r="I20" s="5" t="s">
        <v>225</v>
      </c>
      <c r="J20" s="7"/>
      <c r="K20" s="15">
        <f>YEAR(Tabla1[[#This Row],[Fecha]])</f>
        <v>2026</v>
      </c>
      <c r="L20" s="15">
        <f>MONTH(Tabla1[[#This Row],[Fecha]])</f>
        <v>5</v>
      </c>
    </row>
    <row r="21" spans="2:12" x14ac:dyDescent="0.25">
      <c r="B21" s="5" t="s">
        <v>9</v>
      </c>
      <c r="C21" s="9" t="s">
        <v>102</v>
      </c>
      <c r="D21" s="5" t="s">
        <v>11</v>
      </c>
      <c r="E21" s="6">
        <v>46154</v>
      </c>
      <c r="F21" s="8" t="s">
        <v>15</v>
      </c>
      <c r="G21" s="4" t="s">
        <v>135</v>
      </c>
      <c r="H21" s="4" t="s">
        <v>223</v>
      </c>
      <c r="I21" s="5" t="s">
        <v>226</v>
      </c>
      <c r="J21" s="7"/>
      <c r="K21" s="15">
        <f>YEAR(Tabla1[[#This Row],[Fecha]])</f>
        <v>2026</v>
      </c>
      <c r="L21" s="15">
        <f>MONTH(Tabla1[[#This Row],[Fecha]])</f>
        <v>5</v>
      </c>
    </row>
    <row r="22" spans="2:12" x14ac:dyDescent="0.25">
      <c r="B22" s="5" t="s">
        <v>9</v>
      </c>
      <c r="C22" s="9" t="s">
        <v>80</v>
      </c>
      <c r="D22" s="5" t="s">
        <v>11</v>
      </c>
      <c r="E22" s="6">
        <v>46153</v>
      </c>
      <c r="F22" s="8" t="s">
        <v>15</v>
      </c>
      <c r="G22" s="4" t="s">
        <v>16</v>
      </c>
      <c r="H22" s="4" t="s">
        <v>41</v>
      </c>
      <c r="I22" s="5" t="s">
        <v>222</v>
      </c>
      <c r="J22" s="7"/>
      <c r="K22" s="15">
        <f>YEAR(Tabla1[[#This Row],[Fecha]])</f>
        <v>2026</v>
      </c>
      <c r="L22" s="15">
        <f>MONTH(Tabla1[[#This Row],[Fecha]])</f>
        <v>5</v>
      </c>
    </row>
    <row r="23" spans="2:12" x14ac:dyDescent="0.25">
      <c r="B23" s="10" t="s">
        <v>49</v>
      </c>
      <c r="C23" s="9" t="s">
        <v>50</v>
      </c>
      <c r="D23" s="5" t="s">
        <v>11</v>
      </c>
      <c r="E23" s="6">
        <v>46149</v>
      </c>
      <c r="F23" s="8" t="s">
        <v>15</v>
      </c>
      <c r="G23" s="4" t="s">
        <v>36</v>
      </c>
      <c r="H23" s="8"/>
      <c r="I23" s="5" t="s">
        <v>230</v>
      </c>
      <c r="J23" s="7"/>
      <c r="K23" s="15">
        <f>YEAR(Tabla1[[#This Row],[Fecha]])</f>
        <v>2026</v>
      </c>
      <c r="L23" s="15">
        <f>MONTH(Tabla1[[#This Row],[Fecha]])</f>
        <v>5</v>
      </c>
    </row>
    <row r="24" spans="2:12" x14ac:dyDescent="0.25">
      <c r="B24" s="5" t="s">
        <v>248</v>
      </c>
      <c r="C24" s="5" t="s">
        <v>249</v>
      </c>
      <c r="D24" s="5" t="s">
        <v>11</v>
      </c>
      <c r="E24" s="6">
        <v>46144</v>
      </c>
      <c r="F24" s="8" t="s">
        <v>15</v>
      </c>
      <c r="G24" s="4" t="s">
        <v>24</v>
      </c>
      <c r="H24" s="4" t="s">
        <v>51</v>
      </c>
      <c r="I24" s="5" t="s">
        <v>263</v>
      </c>
      <c r="J24" s="7"/>
      <c r="K24" s="15">
        <f>YEAR(Tabla1[[#This Row],[Fecha]])</f>
        <v>2026</v>
      </c>
      <c r="L24" s="15">
        <f>MONTH(Tabla1[[#This Row],[Fecha]])</f>
        <v>5</v>
      </c>
    </row>
    <row r="25" spans="2:12" x14ac:dyDescent="0.25">
      <c r="B25" s="5" t="s">
        <v>39</v>
      </c>
      <c r="C25" s="9" t="s">
        <v>40</v>
      </c>
      <c r="D25" s="5" t="s">
        <v>11</v>
      </c>
      <c r="E25" s="6">
        <v>46142</v>
      </c>
      <c r="F25" s="8" t="s">
        <v>15</v>
      </c>
      <c r="G25" s="4" t="s">
        <v>16</v>
      </c>
      <c r="H25" s="4" t="s">
        <v>63</v>
      </c>
      <c r="I25" s="5" t="s">
        <v>218</v>
      </c>
      <c r="J25" s="7"/>
      <c r="K25" s="15">
        <f>YEAR(Tabla1[[#This Row],[Fecha]])</f>
        <v>2026</v>
      </c>
      <c r="L25" s="15">
        <f>MONTH(Tabla1[[#This Row],[Fecha]])</f>
        <v>4</v>
      </c>
    </row>
    <row r="26" spans="2:12" x14ac:dyDescent="0.25">
      <c r="B26" s="5" t="s">
        <v>9</v>
      </c>
      <c r="C26" s="9" t="s">
        <v>82</v>
      </c>
      <c r="D26" s="5" t="s">
        <v>11</v>
      </c>
      <c r="E26" s="6">
        <v>46136</v>
      </c>
      <c r="F26" s="8" t="s">
        <v>91</v>
      </c>
      <c r="G26" s="4" t="s">
        <v>16</v>
      </c>
      <c r="H26" s="4" t="s">
        <v>118</v>
      </c>
      <c r="I26" s="5" t="s">
        <v>211</v>
      </c>
      <c r="J26" s="7"/>
      <c r="K26" s="15">
        <f>YEAR(Tabla1[[#This Row],[Fecha]])</f>
        <v>2026</v>
      </c>
      <c r="L26" s="15">
        <f>MONTH(Tabla1[[#This Row],[Fecha]])</f>
        <v>4</v>
      </c>
    </row>
    <row r="27" spans="2:12" x14ac:dyDescent="0.25">
      <c r="B27" s="5" t="s">
        <v>27</v>
      </c>
      <c r="C27" s="9" t="s">
        <v>28</v>
      </c>
      <c r="D27" s="5" t="s">
        <v>131</v>
      </c>
      <c r="E27" s="6">
        <v>46134</v>
      </c>
      <c r="F27" s="8" t="s">
        <v>15</v>
      </c>
      <c r="G27" s="4" t="s">
        <v>16</v>
      </c>
      <c r="H27" s="4" t="s">
        <v>34</v>
      </c>
      <c r="I27" s="5" t="s">
        <v>220</v>
      </c>
      <c r="J27" s="7"/>
      <c r="K27" s="15">
        <f>YEAR(Tabla1[[#This Row],[Fecha]])</f>
        <v>2026</v>
      </c>
      <c r="L27" s="15">
        <f>MONTH(Tabla1[[#This Row],[Fecha]])</f>
        <v>4</v>
      </c>
    </row>
    <row r="28" spans="2:12" x14ac:dyDescent="0.25">
      <c r="B28" s="5" t="s">
        <v>27</v>
      </c>
      <c r="C28" s="9" t="s">
        <v>221</v>
      </c>
      <c r="D28" s="5" t="s">
        <v>131</v>
      </c>
      <c r="E28" s="6">
        <v>46134</v>
      </c>
      <c r="F28" s="8" t="s">
        <v>15</v>
      </c>
      <c r="G28" s="4" t="s">
        <v>16</v>
      </c>
      <c r="H28" s="4" t="s">
        <v>34</v>
      </c>
      <c r="I28" s="5" t="s">
        <v>220</v>
      </c>
      <c r="J28" s="7"/>
      <c r="K28" s="15">
        <f>YEAR(Tabla1[[#This Row],[Fecha]])</f>
        <v>2026</v>
      </c>
      <c r="L28" s="15">
        <f>MONTH(Tabla1[[#This Row],[Fecha]])</f>
        <v>4</v>
      </c>
    </row>
    <row r="29" spans="2:12" x14ac:dyDescent="0.25">
      <c r="B29" s="5" t="s">
        <v>9</v>
      </c>
      <c r="C29" s="9" t="s">
        <v>82</v>
      </c>
      <c r="D29" s="5" t="s">
        <v>131</v>
      </c>
      <c r="E29" s="6">
        <v>46127</v>
      </c>
      <c r="F29" s="8" t="s">
        <v>15</v>
      </c>
      <c r="G29" s="4" t="s">
        <v>16</v>
      </c>
      <c r="H29" s="4" t="s">
        <v>97</v>
      </c>
      <c r="I29" s="5" t="s">
        <v>216</v>
      </c>
      <c r="J29" s="7"/>
      <c r="K29" s="15">
        <f>YEAR(Tabla1[[#This Row],[Fecha]])</f>
        <v>2026</v>
      </c>
      <c r="L29" s="15">
        <f>MONTH(Tabla1[[#This Row],[Fecha]])</f>
        <v>4</v>
      </c>
    </row>
    <row r="30" spans="2:12" x14ac:dyDescent="0.25">
      <c r="B30" s="5" t="s">
        <v>9</v>
      </c>
      <c r="C30" s="9" t="s">
        <v>153</v>
      </c>
      <c r="D30" s="5" t="s">
        <v>131</v>
      </c>
      <c r="E30" s="6">
        <v>46127</v>
      </c>
      <c r="F30" s="8" t="s">
        <v>15</v>
      </c>
      <c r="G30" s="4" t="s">
        <v>16</v>
      </c>
      <c r="H30" s="4" t="s">
        <v>118</v>
      </c>
      <c r="I30" s="5" t="s">
        <v>217</v>
      </c>
      <c r="J30" s="7"/>
      <c r="K30" s="15">
        <f>YEAR(Tabla1[[#This Row],[Fecha]])</f>
        <v>2026</v>
      </c>
      <c r="L30" s="15">
        <f>MONTH(Tabla1[[#This Row],[Fecha]])</f>
        <v>4</v>
      </c>
    </row>
    <row r="31" spans="2:12" x14ac:dyDescent="0.25">
      <c r="B31" s="5" t="s">
        <v>206</v>
      </c>
      <c r="C31" s="9" t="s">
        <v>207</v>
      </c>
      <c r="D31" s="5" t="s">
        <v>11</v>
      </c>
      <c r="E31" s="6">
        <v>46122</v>
      </c>
      <c r="F31" s="8" t="s">
        <v>15</v>
      </c>
      <c r="G31" s="4" t="s">
        <v>16</v>
      </c>
      <c r="H31" s="4" t="s">
        <v>43</v>
      </c>
      <c r="I31" s="5" t="s">
        <v>208</v>
      </c>
      <c r="J31" s="7"/>
      <c r="K31" s="15">
        <f>YEAR(Tabla1[[#This Row],[Fecha]])</f>
        <v>2026</v>
      </c>
      <c r="L31" s="15">
        <f>MONTH(Tabla1[[#This Row],[Fecha]])</f>
        <v>4</v>
      </c>
    </row>
    <row r="32" spans="2:12" x14ac:dyDescent="0.25">
      <c r="B32" s="5" t="s">
        <v>181</v>
      </c>
      <c r="C32" s="9" t="s">
        <v>209</v>
      </c>
      <c r="D32" s="5" t="s">
        <v>11</v>
      </c>
      <c r="E32" s="6">
        <v>46122</v>
      </c>
      <c r="F32" s="8" t="s">
        <v>91</v>
      </c>
      <c r="G32" s="4" t="s">
        <v>24</v>
      </c>
      <c r="H32" s="4" t="s">
        <v>83</v>
      </c>
      <c r="I32" s="5" t="s">
        <v>210</v>
      </c>
      <c r="J32" s="7"/>
      <c r="K32" s="15">
        <f>YEAR(Tabla1[[#This Row],[Fecha]])</f>
        <v>2026</v>
      </c>
      <c r="L32" s="15">
        <f>MONTH(Tabla1[[#This Row],[Fecha]])</f>
        <v>4</v>
      </c>
    </row>
    <row r="33" spans="2:12" x14ac:dyDescent="0.25">
      <c r="B33" s="5" t="s">
        <v>9</v>
      </c>
      <c r="C33" s="9" t="s">
        <v>82</v>
      </c>
      <c r="D33" s="5" t="s">
        <v>131</v>
      </c>
      <c r="E33" s="6">
        <v>46121</v>
      </c>
      <c r="F33" s="8" t="s">
        <v>15</v>
      </c>
      <c r="G33" s="4" t="s">
        <v>16</v>
      </c>
      <c r="H33" s="4" t="s">
        <v>118</v>
      </c>
      <c r="I33" s="5" t="s">
        <v>215</v>
      </c>
      <c r="J33" s="7"/>
      <c r="K33" s="15">
        <f>YEAR(Tabla1[[#This Row],[Fecha]])</f>
        <v>2026</v>
      </c>
      <c r="L33" s="15">
        <f>MONTH(Tabla1[[#This Row],[Fecha]])</f>
        <v>4</v>
      </c>
    </row>
    <row r="34" spans="2:12" x14ac:dyDescent="0.25">
      <c r="B34" s="5" t="s">
        <v>9</v>
      </c>
      <c r="C34" s="9" t="s">
        <v>82</v>
      </c>
      <c r="D34" s="5" t="s">
        <v>131</v>
      </c>
      <c r="E34" s="6">
        <v>46119</v>
      </c>
      <c r="F34" s="8" t="s">
        <v>15</v>
      </c>
      <c r="G34" s="4" t="s">
        <v>16</v>
      </c>
      <c r="H34" s="4" t="s">
        <v>118</v>
      </c>
      <c r="I34" s="5" t="s">
        <v>213</v>
      </c>
      <c r="J34" s="7"/>
      <c r="K34" s="15">
        <f>YEAR(Tabla1[[#This Row],[Fecha]])</f>
        <v>2026</v>
      </c>
      <c r="L34" s="15">
        <f>MONTH(Tabla1[[#This Row],[Fecha]])</f>
        <v>4</v>
      </c>
    </row>
    <row r="35" spans="2:12" x14ac:dyDescent="0.25">
      <c r="B35" s="5" t="s">
        <v>9</v>
      </c>
      <c r="C35" s="9" t="s">
        <v>82</v>
      </c>
      <c r="D35" s="5" t="s">
        <v>131</v>
      </c>
      <c r="E35" s="6">
        <v>46119</v>
      </c>
      <c r="F35" s="8" t="s">
        <v>15</v>
      </c>
      <c r="G35" s="4" t="s">
        <v>16</v>
      </c>
      <c r="H35" s="4" t="s">
        <v>118</v>
      </c>
      <c r="I35" s="5" t="s">
        <v>214</v>
      </c>
      <c r="J35" s="7"/>
      <c r="K35" s="15">
        <f>YEAR(Tabla1[[#This Row],[Fecha]])</f>
        <v>2026</v>
      </c>
      <c r="L35" s="15">
        <f>MONTH(Tabla1[[#This Row],[Fecha]])</f>
        <v>4</v>
      </c>
    </row>
    <row r="36" spans="2:12" x14ac:dyDescent="0.25">
      <c r="B36" s="5" t="s">
        <v>27</v>
      </c>
      <c r="C36" s="9" t="s">
        <v>28</v>
      </c>
      <c r="D36" s="5" t="s">
        <v>11</v>
      </c>
      <c r="E36" s="6">
        <v>46114</v>
      </c>
      <c r="F36" s="8" t="s">
        <v>15</v>
      </c>
      <c r="G36" s="4" t="s">
        <v>16</v>
      </c>
      <c r="H36" s="4" t="s">
        <v>63</v>
      </c>
      <c r="I36" s="5" t="s">
        <v>219</v>
      </c>
      <c r="J36" s="7"/>
      <c r="K36" s="15">
        <f>YEAR(Tabla1[[#This Row],[Fecha]])</f>
        <v>2026</v>
      </c>
      <c r="L36" s="15">
        <f>MONTH(Tabla1[[#This Row],[Fecha]])</f>
        <v>4</v>
      </c>
    </row>
    <row r="37" spans="2:12" ht="30" x14ac:dyDescent="0.25">
      <c r="B37" s="5" t="s">
        <v>45</v>
      </c>
      <c r="C37" s="9" t="s">
        <v>130</v>
      </c>
      <c r="D37" s="5" t="s">
        <v>11</v>
      </c>
      <c r="E37" s="6">
        <v>46107</v>
      </c>
      <c r="F37" s="8" t="s">
        <v>15</v>
      </c>
      <c r="G37" s="4" t="s">
        <v>24</v>
      </c>
      <c r="H37" s="4" t="s">
        <v>51</v>
      </c>
      <c r="I37" s="23" t="s">
        <v>1830</v>
      </c>
      <c r="J37" s="7"/>
      <c r="K37" s="15">
        <f>YEAR(Tabla1[[#This Row],[Fecha]])</f>
        <v>2026</v>
      </c>
      <c r="L37" s="15">
        <f>MONTH(Tabla1[[#This Row],[Fecha]])</f>
        <v>3</v>
      </c>
    </row>
    <row r="38" spans="2:12" x14ac:dyDescent="0.25">
      <c r="B38" s="5" t="s">
        <v>9</v>
      </c>
      <c r="C38" s="9" t="s">
        <v>82</v>
      </c>
      <c r="D38" s="5" t="s">
        <v>11</v>
      </c>
      <c r="E38" s="6">
        <v>46105</v>
      </c>
      <c r="F38" s="8" t="s">
        <v>91</v>
      </c>
      <c r="G38" s="4" t="s">
        <v>16</v>
      </c>
      <c r="H38" s="4" t="s">
        <v>118</v>
      </c>
      <c r="I38" s="5" t="s">
        <v>212</v>
      </c>
      <c r="J38" s="7"/>
      <c r="K38" s="15">
        <f>YEAR(Tabla1[[#This Row],[Fecha]])</f>
        <v>2026</v>
      </c>
      <c r="L38" s="15">
        <f>MONTH(Tabla1[[#This Row],[Fecha]])</f>
        <v>3</v>
      </c>
    </row>
    <row r="39" spans="2:12" x14ac:dyDescent="0.25">
      <c r="B39" s="5" t="s">
        <v>9</v>
      </c>
      <c r="C39" s="9" t="s">
        <v>153</v>
      </c>
      <c r="D39" s="5" t="s">
        <v>11</v>
      </c>
      <c r="E39" s="6">
        <v>46101</v>
      </c>
      <c r="F39" s="8" t="s">
        <v>91</v>
      </c>
      <c r="G39" s="8" t="s">
        <v>16</v>
      </c>
      <c r="H39" s="8" t="s">
        <v>34</v>
      </c>
      <c r="I39" s="5" t="s">
        <v>201</v>
      </c>
      <c r="J39" s="7"/>
      <c r="K39" s="15">
        <f>YEAR(Tabla1[[#This Row],[Fecha]])</f>
        <v>2026</v>
      </c>
      <c r="L39" s="15">
        <f>MONTH(Tabla1[[#This Row],[Fecha]])</f>
        <v>3</v>
      </c>
    </row>
    <row r="40" spans="2:12" x14ac:dyDescent="0.25">
      <c r="B40" s="5" t="s">
        <v>9</v>
      </c>
      <c r="C40" s="9" t="s">
        <v>80</v>
      </c>
      <c r="D40" s="5" t="s">
        <v>11</v>
      </c>
      <c r="E40" s="6">
        <v>46101</v>
      </c>
      <c r="F40" s="8" t="s">
        <v>15</v>
      </c>
      <c r="G40" s="4" t="s">
        <v>16</v>
      </c>
      <c r="H40" s="4" t="s">
        <v>118</v>
      </c>
      <c r="I40" s="5" t="s">
        <v>202</v>
      </c>
      <c r="J40" s="7"/>
      <c r="K40" s="15">
        <f>YEAR(Tabla1[[#This Row],[Fecha]])</f>
        <v>2026</v>
      </c>
      <c r="L40" s="15">
        <f>MONTH(Tabla1[[#This Row],[Fecha]])</f>
        <v>3</v>
      </c>
    </row>
    <row r="41" spans="2:12" x14ac:dyDescent="0.25">
      <c r="B41" s="10" t="s">
        <v>49</v>
      </c>
      <c r="C41" s="5" t="s">
        <v>123</v>
      </c>
      <c r="D41" s="5" t="s">
        <v>11</v>
      </c>
      <c r="E41" s="6">
        <v>46100</v>
      </c>
      <c r="F41" s="8" t="s">
        <v>15</v>
      </c>
      <c r="G41" s="4" t="s">
        <v>135</v>
      </c>
      <c r="H41" s="4" t="s">
        <v>37</v>
      </c>
      <c r="I41" s="5" t="s">
        <v>241</v>
      </c>
      <c r="J41" s="7"/>
      <c r="K41" s="15">
        <f>YEAR(Tabla1[[#This Row],[Fecha]])</f>
        <v>2026</v>
      </c>
      <c r="L41" s="15">
        <f>MONTH(Tabla1[[#This Row],[Fecha]])</f>
        <v>3</v>
      </c>
    </row>
    <row r="42" spans="2:12" x14ac:dyDescent="0.25">
      <c r="B42" s="5" t="s">
        <v>9</v>
      </c>
      <c r="C42" s="9" t="s">
        <v>70</v>
      </c>
      <c r="D42" s="5" t="s">
        <v>11</v>
      </c>
      <c r="E42" s="6">
        <v>46098</v>
      </c>
      <c r="F42" s="8" t="s">
        <v>15</v>
      </c>
      <c r="G42" s="4" t="s">
        <v>47</v>
      </c>
      <c r="H42" s="4" t="s">
        <v>41</v>
      </c>
      <c r="I42" s="5" t="s">
        <v>205</v>
      </c>
      <c r="J42" s="7"/>
      <c r="K42" s="15">
        <f>YEAR(Tabla1[[#This Row],[Fecha]])</f>
        <v>2026</v>
      </c>
      <c r="L42" s="15">
        <f>MONTH(Tabla1[[#This Row],[Fecha]])</f>
        <v>3</v>
      </c>
    </row>
    <row r="43" spans="2:12" x14ac:dyDescent="0.25">
      <c r="B43" s="5" t="s">
        <v>9</v>
      </c>
      <c r="C43" s="5" t="s">
        <v>238</v>
      </c>
      <c r="D43" s="5" t="s">
        <v>11</v>
      </c>
      <c r="E43" s="6">
        <v>46098</v>
      </c>
      <c r="F43" s="8" t="s">
        <v>15</v>
      </c>
      <c r="G43" s="4" t="s">
        <v>24</v>
      </c>
      <c r="H43" s="4" t="s">
        <v>118</v>
      </c>
      <c r="I43" s="5" t="s">
        <v>239</v>
      </c>
      <c r="J43" s="7"/>
      <c r="K43" s="15">
        <f>YEAR(Tabla1[[#This Row],[Fecha]])</f>
        <v>2026</v>
      </c>
      <c r="L43" s="15">
        <f>MONTH(Tabla1[[#This Row],[Fecha]])</f>
        <v>3</v>
      </c>
    </row>
    <row r="44" spans="2:12" x14ac:dyDescent="0.25">
      <c r="B44" s="5" t="s">
        <v>9</v>
      </c>
      <c r="C44" s="5" t="s">
        <v>62</v>
      </c>
      <c r="D44" s="5" t="s">
        <v>11</v>
      </c>
      <c r="E44" s="6">
        <v>46098</v>
      </c>
      <c r="F44" s="8" t="s">
        <v>15</v>
      </c>
      <c r="G44" s="4" t="s">
        <v>16</v>
      </c>
      <c r="H44" s="4" t="s">
        <v>74</v>
      </c>
      <c r="I44" s="5" t="s">
        <v>240</v>
      </c>
      <c r="J44" s="7"/>
      <c r="K44" s="15">
        <f>YEAR(Tabla1[[#This Row],[Fecha]])</f>
        <v>2026</v>
      </c>
      <c r="L44" s="15">
        <f>MONTH(Tabla1[[#This Row],[Fecha]])</f>
        <v>3</v>
      </c>
    </row>
    <row r="45" spans="2:12" x14ac:dyDescent="0.25">
      <c r="B45" s="5" t="s">
        <v>39</v>
      </c>
      <c r="C45" s="5" t="s">
        <v>40</v>
      </c>
      <c r="D45" s="5" t="s">
        <v>11</v>
      </c>
      <c r="E45" s="6">
        <v>46098</v>
      </c>
      <c r="F45" s="8" t="s">
        <v>15</v>
      </c>
      <c r="G45" s="4" t="s">
        <v>103</v>
      </c>
      <c r="H45" s="8"/>
      <c r="I45" s="5" t="s">
        <v>247</v>
      </c>
      <c r="J45" s="7"/>
      <c r="K45" s="15">
        <f>YEAR(Tabla1[[#This Row],[Fecha]])</f>
        <v>2026</v>
      </c>
      <c r="L45" s="15">
        <f>MONTH(Tabla1[[#This Row],[Fecha]])</f>
        <v>3</v>
      </c>
    </row>
    <row r="46" spans="2:12" x14ac:dyDescent="0.25">
      <c r="B46" s="5" t="s">
        <v>242</v>
      </c>
      <c r="C46" s="5" t="s">
        <v>243</v>
      </c>
      <c r="D46" s="5" t="s">
        <v>11</v>
      </c>
      <c r="E46" s="6">
        <v>46097</v>
      </c>
      <c r="F46" s="8" t="s">
        <v>15</v>
      </c>
      <c r="G46" s="4" t="s">
        <v>36</v>
      </c>
      <c r="H46" s="4" t="s">
        <v>72</v>
      </c>
      <c r="I46" s="5" t="s">
        <v>246</v>
      </c>
      <c r="J46" s="7"/>
      <c r="K46" s="15">
        <f>YEAR(Tabla1[[#This Row],[Fecha]])</f>
        <v>2026</v>
      </c>
      <c r="L46" s="15">
        <f>MONTH(Tabla1[[#This Row],[Fecha]])</f>
        <v>3</v>
      </c>
    </row>
    <row r="47" spans="2:12" x14ac:dyDescent="0.25">
      <c r="B47" s="5" t="s">
        <v>27</v>
      </c>
      <c r="C47" s="5" t="s">
        <v>28</v>
      </c>
      <c r="D47" s="5" t="s">
        <v>11</v>
      </c>
      <c r="E47" s="6">
        <v>46094</v>
      </c>
      <c r="F47" s="8" t="s">
        <v>15</v>
      </c>
      <c r="G47" s="4" t="s">
        <v>103</v>
      </c>
      <c r="H47" s="8"/>
      <c r="I47" s="5" t="s">
        <v>251</v>
      </c>
      <c r="J47" s="7"/>
      <c r="K47" s="15">
        <f>YEAR(Tabla1[[#This Row],[Fecha]])</f>
        <v>2026</v>
      </c>
      <c r="L47" s="15">
        <f>MONTH(Tabla1[[#This Row],[Fecha]])</f>
        <v>3</v>
      </c>
    </row>
    <row r="48" spans="2:12" x14ac:dyDescent="0.25">
      <c r="B48" s="5" t="s">
        <v>248</v>
      </c>
      <c r="C48" s="5" t="s">
        <v>249</v>
      </c>
      <c r="D48" s="5" t="s">
        <v>11</v>
      </c>
      <c r="E48" s="6">
        <v>46094</v>
      </c>
      <c r="F48" s="8" t="s">
        <v>15</v>
      </c>
      <c r="G48" s="4" t="s">
        <v>103</v>
      </c>
      <c r="H48" s="8"/>
      <c r="I48" s="5" t="s">
        <v>250</v>
      </c>
      <c r="J48" s="7"/>
      <c r="K48" s="15">
        <f>YEAR(Tabla1[[#This Row],[Fecha]])</f>
        <v>2026</v>
      </c>
      <c r="L48" s="15">
        <f>MONTH(Tabla1[[#This Row],[Fecha]])</f>
        <v>3</v>
      </c>
    </row>
    <row r="49" spans="2:12" x14ac:dyDescent="0.25">
      <c r="B49" s="5" t="s">
        <v>9</v>
      </c>
      <c r="C49" s="9" t="s">
        <v>62</v>
      </c>
      <c r="D49" s="5" t="s">
        <v>11</v>
      </c>
      <c r="E49" s="6">
        <v>46093</v>
      </c>
      <c r="F49" s="8" t="s">
        <v>15</v>
      </c>
      <c r="G49" s="4" t="s">
        <v>16</v>
      </c>
      <c r="H49" s="4" t="s">
        <v>74</v>
      </c>
      <c r="I49" s="5" t="s">
        <v>203</v>
      </c>
      <c r="J49" s="7"/>
      <c r="K49" s="15">
        <f>YEAR(Tabla1[[#This Row],[Fecha]])</f>
        <v>2026</v>
      </c>
      <c r="L49" s="15">
        <f>MONTH(Tabla1[[#This Row],[Fecha]])</f>
        <v>3</v>
      </c>
    </row>
    <row r="50" spans="2:12" x14ac:dyDescent="0.25">
      <c r="B50" s="5" t="s">
        <v>9</v>
      </c>
      <c r="C50" s="9" t="s">
        <v>10</v>
      </c>
      <c r="D50" s="5" t="s">
        <v>11</v>
      </c>
      <c r="E50" s="6">
        <v>46093</v>
      </c>
      <c r="F50" s="8" t="s">
        <v>15</v>
      </c>
      <c r="G50" s="4" t="s">
        <v>24</v>
      </c>
      <c r="H50" s="4" t="s">
        <v>118</v>
      </c>
      <c r="I50" s="5" t="s">
        <v>204</v>
      </c>
      <c r="J50" s="7"/>
      <c r="K50" s="15">
        <f>YEAR(Tabla1[[#This Row],[Fecha]])</f>
        <v>2026</v>
      </c>
      <c r="L50" s="15">
        <f>MONTH(Tabla1[[#This Row],[Fecha]])</f>
        <v>3</v>
      </c>
    </row>
    <row r="51" spans="2:12" x14ac:dyDescent="0.25">
      <c r="B51" s="5" t="s">
        <v>22</v>
      </c>
      <c r="C51" s="9" t="s">
        <v>23</v>
      </c>
      <c r="D51" s="5" t="s">
        <v>131</v>
      </c>
      <c r="E51" s="6">
        <v>46092</v>
      </c>
      <c r="F51" s="8" t="s">
        <v>91</v>
      </c>
      <c r="G51" s="8" t="s">
        <v>135</v>
      </c>
      <c r="H51" s="8" t="s">
        <v>1822</v>
      </c>
      <c r="I51" s="5" t="s">
        <v>200</v>
      </c>
      <c r="J51" s="7"/>
      <c r="K51" s="15">
        <f>YEAR(Tabla1[[#This Row],[Fecha]])</f>
        <v>2026</v>
      </c>
      <c r="L51" s="15">
        <f>MONTH(Tabla1[[#This Row],[Fecha]])</f>
        <v>3</v>
      </c>
    </row>
    <row r="52" spans="2:12" x14ac:dyDescent="0.25">
      <c r="B52" s="5" t="s">
        <v>242</v>
      </c>
      <c r="C52" s="5" t="s">
        <v>243</v>
      </c>
      <c r="D52" s="5" t="s">
        <v>11</v>
      </c>
      <c r="E52" s="6">
        <v>46092</v>
      </c>
      <c r="F52" s="8" t="s">
        <v>15</v>
      </c>
      <c r="G52" s="4" t="s">
        <v>135</v>
      </c>
      <c r="H52" s="4" t="s">
        <v>37</v>
      </c>
      <c r="I52" s="5" t="s">
        <v>244</v>
      </c>
      <c r="J52" s="7"/>
      <c r="K52" s="15">
        <f>YEAR(Tabla1[[#This Row],[Fecha]])</f>
        <v>2026</v>
      </c>
      <c r="L52" s="15">
        <f>MONTH(Tabla1[[#This Row],[Fecha]])</f>
        <v>3</v>
      </c>
    </row>
    <row r="53" spans="2:12" x14ac:dyDescent="0.25">
      <c r="B53" s="5" t="s">
        <v>242</v>
      </c>
      <c r="C53" s="5" t="s">
        <v>243</v>
      </c>
      <c r="D53" s="5" t="s">
        <v>11</v>
      </c>
      <c r="E53" s="6">
        <v>46092</v>
      </c>
      <c r="F53" s="8" t="s">
        <v>15</v>
      </c>
      <c r="G53" s="8" t="s">
        <v>135</v>
      </c>
      <c r="H53" s="8" t="s">
        <v>245</v>
      </c>
      <c r="I53" s="5" t="s">
        <v>1676</v>
      </c>
      <c r="J53" s="7"/>
      <c r="K53" s="15">
        <f>YEAR(Tabla1[[#This Row],[Fecha]])</f>
        <v>2026</v>
      </c>
      <c r="L53" s="15">
        <f>MONTH(Tabla1[[#This Row],[Fecha]])</f>
        <v>3</v>
      </c>
    </row>
    <row r="54" spans="2:12" x14ac:dyDescent="0.25">
      <c r="B54" s="5" t="s">
        <v>193</v>
      </c>
      <c r="C54" s="5" t="s">
        <v>197</v>
      </c>
      <c r="D54" s="5" t="s">
        <v>11</v>
      </c>
      <c r="E54" s="6">
        <v>46092</v>
      </c>
      <c r="F54" s="8" t="s">
        <v>15</v>
      </c>
      <c r="G54" s="4" t="s">
        <v>103</v>
      </c>
      <c r="H54" s="8"/>
      <c r="I54" s="5" t="s">
        <v>252</v>
      </c>
      <c r="J54" s="7"/>
      <c r="K54" s="15">
        <f>YEAR(Tabla1[[#This Row],[Fecha]])</f>
        <v>2026</v>
      </c>
      <c r="L54" s="15">
        <f>MONTH(Tabla1[[#This Row],[Fecha]])</f>
        <v>3</v>
      </c>
    </row>
    <row r="55" spans="2:12" x14ac:dyDescent="0.25">
      <c r="B55" s="5" t="s">
        <v>193</v>
      </c>
      <c r="C55" s="5" t="s">
        <v>253</v>
      </c>
      <c r="D55" s="5" t="s">
        <v>11</v>
      </c>
      <c r="E55" s="6">
        <v>46092</v>
      </c>
      <c r="F55" s="8" t="s">
        <v>15</v>
      </c>
      <c r="G55" s="4" t="s">
        <v>47</v>
      </c>
      <c r="H55" s="8"/>
      <c r="I55" s="5" t="s">
        <v>254</v>
      </c>
      <c r="J55" s="7"/>
      <c r="K55" s="15">
        <f>YEAR(Tabla1[[#This Row],[Fecha]])</f>
        <v>2026</v>
      </c>
      <c r="L55" s="15">
        <f>MONTH(Tabla1[[#This Row],[Fecha]])</f>
        <v>3</v>
      </c>
    </row>
    <row r="56" spans="2:12" x14ac:dyDescent="0.25">
      <c r="B56" s="5" t="s">
        <v>206</v>
      </c>
      <c r="C56" s="5" t="s">
        <v>255</v>
      </c>
      <c r="D56" s="5" t="s">
        <v>11</v>
      </c>
      <c r="E56" s="6">
        <v>46092</v>
      </c>
      <c r="F56" s="8" t="s">
        <v>15</v>
      </c>
      <c r="G56" s="4" t="s">
        <v>135</v>
      </c>
      <c r="H56" s="8"/>
      <c r="I56" s="5" t="s">
        <v>256</v>
      </c>
      <c r="J56" s="7"/>
      <c r="K56" s="15">
        <f>YEAR(Tabla1[[#This Row],[Fecha]])</f>
        <v>2026</v>
      </c>
      <c r="L56" s="15">
        <f>MONTH(Tabla1[[#This Row],[Fecha]])</f>
        <v>3</v>
      </c>
    </row>
    <row r="57" spans="2:12" x14ac:dyDescent="0.25">
      <c r="B57" s="5" t="s">
        <v>32</v>
      </c>
      <c r="C57" s="5" t="s">
        <v>144</v>
      </c>
      <c r="D57" s="5" t="s">
        <v>11</v>
      </c>
      <c r="E57" s="6">
        <v>46090</v>
      </c>
      <c r="F57" s="8" t="s">
        <v>15</v>
      </c>
      <c r="G57" s="4" t="s">
        <v>24</v>
      </c>
      <c r="H57" s="8"/>
      <c r="I57" s="5" t="s">
        <v>257</v>
      </c>
      <c r="J57" s="7"/>
      <c r="K57" s="15">
        <f>YEAR(Tabla1[[#This Row],[Fecha]])</f>
        <v>2026</v>
      </c>
      <c r="L57" s="15">
        <f>MONTH(Tabla1[[#This Row],[Fecha]])</f>
        <v>3</v>
      </c>
    </row>
    <row r="58" spans="2:12" x14ac:dyDescent="0.25">
      <c r="B58" s="5" t="s">
        <v>45</v>
      </c>
      <c r="C58" s="9" t="s">
        <v>130</v>
      </c>
      <c r="D58" s="5" t="s">
        <v>11</v>
      </c>
      <c r="E58" s="6">
        <v>46087</v>
      </c>
      <c r="F58" s="8" t="s">
        <v>91</v>
      </c>
      <c r="G58" s="4" t="s">
        <v>16</v>
      </c>
      <c r="H58" s="4" t="s">
        <v>118</v>
      </c>
      <c r="I58" s="5" t="s">
        <v>189</v>
      </c>
      <c r="J58" s="7"/>
      <c r="K58" s="15">
        <f>YEAR(Tabla1[[#This Row],[Fecha]])</f>
        <v>2026</v>
      </c>
      <c r="L58" s="15">
        <f>MONTH(Tabla1[[#This Row],[Fecha]])</f>
        <v>3</v>
      </c>
    </row>
    <row r="59" spans="2:12" x14ac:dyDescent="0.25">
      <c r="B59" s="5" t="s">
        <v>190</v>
      </c>
      <c r="C59" s="9" t="s">
        <v>191</v>
      </c>
      <c r="D59" s="5" t="s">
        <v>11</v>
      </c>
      <c r="E59" s="6">
        <v>46087</v>
      </c>
      <c r="F59" s="8" t="s">
        <v>15</v>
      </c>
      <c r="G59" s="4" t="s">
        <v>16</v>
      </c>
      <c r="H59" s="4" t="s">
        <v>118</v>
      </c>
      <c r="I59" s="5" t="s">
        <v>192</v>
      </c>
      <c r="J59" s="7"/>
      <c r="K59" s="15">
        <f>YEAR(Tabla1[[#This Row],[Fecha]])</f>
        <v>2026</v>
      </c>
      <c r="L59" s="15">
        <f>MONTH(Tabla1[[#This Row],[Fecha]])</f>
        <v>3</v>
      </c>
    </row>
    <row r="60" spans="2:12" x14ac:dyDescent="0.25">
      <c r="B60" s="5" t="s">
        <v>27</v>
      </c>
      <c r="C60" s="5" t="s">
        <v>28</v>
      </c>
      <c r="D60" s="5" t="s">
        <v>11</v>
      </c>
      <c r="E60" s="6">
        <v>46084</v>
      </c>
      <c r="F60" s="21" t="s">
        <v>91</v>
      </c>
      <c r="G60" s="21" t="s">
        <v>303</v>
      </c>
      <c r="H60" s="4" t="s">
        <v>304</v>
      </c>
      <c r="I60" s="5" t="s">
        <v>178</v>
      </c>
      <c r="J60" s="5"/>
      <c r="K60" s="22">
        <f>YEAR(Tabla1[[#This Row],[Fecha]])</f>
        <v>2026</v>
      </c>
      <c r="L60" s="22">
        <f>MONTH(Tabla1[[#This Row],[Fecha]])</f>
        <v>3</v>
      </c>
    </row>
    <row r="61" spans="2:12" x14ac:dyDescent="0.25">
      <c r="B61" s="5" t="s">
        <v>27</v>
      </c>
      <c r="C61" s="5" t="s">
        <v>28</v>
      </c>
      <c r="D61" s="5" t="s">
        <v>11</v>
      </c>
      <c r="E61" s="6">
        <v>46083</v>
      </c>
      <c r="F61" s="8" t="s">
        <v>91</v>
      </c>
      <c r="G61" s="4" t="s">
        <v>16</v>
      </c>
      <c r="H61" s="8"/>
      <c r="I61" s="5" t="s">
        <v>269</v>
      </c>
      <c r="J61" s="7"/>
      <c r="K61" s="15">
        <f>YEAR(Tabla1[[#This Row],[Fecha]])</f>
        <v>2026</v>
      </c>
      <c r="L61" s="15">
        <f>MONTH(Tabla1[[#This Row],[Fecha]])</f>
        <v>3</v>
      </c>
    </row>
    <row r="62" spans="2:12" x14ac:dyDescent="0.25">
      <c r="B62" s="5" t="s">
        <v>27</v>
      </c>
      <c r="C62" s="9" t="s">
        <v>28</v>
      </c>
      <c r="D62" s="5" t="s">
        <v>11</v>
      </c>
      <c r="E62" s="6">
        <v>46080</v>
      </c>
      <c r="F62" s="8" t="s">
        <v>91</v>
      </c>
      <c r="G62" s="8" t="s">
        <v>135</v>
      </c>
      <c r="H62" s="8" t="s">
        <v>1822</v>
      </c>
      <c r="I62" s="5" t="s">
        <v>177</v>
      </c>
      <c r="J62" s="7"/>
      <c r="K62" s="15">
        <f>YEAR(Tabla1[[#This Row],[Fecha]])</f>
        <v>2026</v>
      </c>
      <c r="L62" s="15">
        <f>MONTH(Tabla1[[#This Row],[Fecha]])</f>
        <v>2</v>
      </c>
    </row>
    <row r="63" spans="2:12" x14ac:dyDescent="0.25">
      <c r="B63" s="5" t="s">
        <v>45</v>
      </c>
      <c r="C63" s="9" t="s">
        <v>130</v>
      </c>
      <c r="D63" s="5" t="s">
        <v>11</v>
      </c>
      <c r="E63" s="6">
        <v>46080</v>
      </c>
      <c r="F63" s="8" t="s">
        <v>91</v>
      </c>
      <c r="G63" s="4" t="s">
        <v>103</v>
      </c>
      <c r="H63" s="4" t="s">
        <v>104</v>
      </c>
      <c r="I63" s="5" t="s">
        <v>188</v>
      </c>
      <c r="J63" s="7"/>
      <c r="K63" s="15">
        <f>YEAR(Tabla1[[#This Row],[Fecha]])</f>
        <v>2026</v>
      </c>
      <c r="L63" s="15">
        <f>MONTH(Tabla1[[#This Row],[Fecha]])</f>
        <v>2</v>
      </c>
    </row>
    <row r="64" spans="2:12" x14ac:dyDescent="0.25">
      <c r="B64" s="5" t="s">
        <v>193</v>
      </c>
      <c r="C64" s="9" t="s">
        <v>197</v>
      </c>
      <c r="D64" s="5" t="s">
        <v>11</v>
      </c>
      <c r="E64" s="6">
        <v>46080</v>
      </c>
      <c r="F64" s="8" t="s">
        <v>15</v>
      </c>
      <c r="G64" s="4" t="s">
        <v>24</v>
      </c>
      <c r="H64" s="4" t="s">
        <v>51</v>
      </c>
      <c r="I64" s="5" t="s">
        <v>199</v>
      </c>
      <c r="J64" s="7"/>
      <c r="K64" s="15">
        <f>YEAR(Tabla1[[#This Row],[Fecha]])</f>
        <v>2026</v>
      </c>
      <c r="L64" s="15">
        <f>MONTH(Tabla1[[#This Row],[Fecha]])</f>
        <v>2</v>
      </c>
    </row>
    <row r="65" spans="2:12" x14ac:dyDescent="0.25">
      <c r="B65" s="5" t="s">
        <v>27</v>
      </c>
      <c r="C65" s="5" t="s">
        <v>28</v>
      </c>
      <c r="D65" s="5" t="s">
        <v>11</v>
      </c>
      <c r="E65" s="6">
        <v>46080</v>
      </c>
      <c r="F65" s="8" t="s">
        <v>15</v>
      </c>
      <c r="G65" s="4" t="s">
        <v>16</v>
      </c>
      <c r="H65" s="8"/>
      <c r="I65" s="5" t="s">
        <v>268</v>
      </c>
      <c r="J65" s="7"/>
      <c r="K65" s="15">
        <f>YEAR(Tabla1[[#This Row],[Fecha]])</f>
        <v>2026</v>
      </c>
      <c r="L65" s="15">
        <f>MONTH(Tabla1[[#This Row],[Fecha]])</f>
        <v>2</v>
      </c>
    </row>
    <row r="66" spans="2:12" x14ac:dyDescent="0.25">
      <c r="B66" s="5" t="s">
        <v>9</v>
      </c>
      <c r="C66" s="9" t="s">
        <v>99</v>
      </c>
      <c r="D66" s="5" t="s">
        <v>11</v>
      </c>
      <c r="E66" s="6">
        <v>46079</v>
      </c>
      <c r="F66" s="8" t="s">
        <v>15</v>
      </c>
      <c r="G66" s="8" t="s">
        <v>24</v>
      </c>
      <c r="H66" s="8" t="s">
        <v>41</v>
      </c>
      <c r="I66" s="5" t="s">
        <v>152</v>
      </c>
      <c r="J66" s="7"/>
      <c r="K66" s="15">
        <f>YEAR(Tabla1[[#This Row],[Fecha]])</f>
        <v>2026</v>
      </c>
      <c r="L66" s="15">
        <f>MONTH(Tabla1[[#This Row],[Fecha]])</f>
        <v>2</v>
      </c>
    </row>
    <row r="67" spans="2:12" x14ac:dyDescent="0.25">
      <c r="B67" s="5" t="s">
        <v>9</v>
      </c>
      <c r="C67" s="9" t="s">
        <v>99</v>
      </c>
      <c r="D67" s="5" t="s">
        <v>11</v>
      </c>
      <c r="E67" s="6">
        <v>46078</v>
      </c>
      <c r="F67" s="8" t="s">
        <v>15</v>
      </c>
      <c r="G67" s="4" t="s">
        <v>16</v>
      </c>
      <c r="H67" s="4" t="s">
        <v>77</v>
      </c>
      <c r="I67" s="5" t="s">
        <v>155</v>
      </c>
      <c r="J67" s="7"/>
      <c r="K67" s="15">
        <f>YEAR(Tabla1[[#This Row],[Fecha]])</f>
        <v>2026</v>
      </c>
      <c r="L67" s="15">
        <f>MONTH(Tabla1[[#This Row],[Fecha]])</f>
        <v>2</v>
      </c>
    </row>
    <row r="68" spans="2:12" x14ac:dyDescent="0.25">
      <c r="B68" s="5" t="s">
        <v>32</v>
      </c>
      <c r="C68" s="9" t="s">
        <v>144</v>
      </c>
      <c r="D68" s="5" t="s">
        <v>11</v>
      </c>
      <c r="E68" s="6">
        <v>46073</v>
      </c>
      <c r="F68" s="8" t="s">
        <v>15</v>
      </c>
      <c r="G68" s="4" t="s">
        <v>36</v>
      </c>
      <c r="H68" s="4" t="s">
        <v>145</v>
      </c>
      <c r="I68" s="5" t="s">
        <v>167</v>
      </c>
      <c r="J68" s="7"/>
      <c r="K68" s="15">
        <f>YEAR(Tabla1[[#This Row],[Fecha]])</f>
        <v>2026</v>
      </c>
      <c r="L68" s="15">
        <f>MONTH(Tabla1[[#This Row],[Fecha]])</f>
        <v>2</v>
      </c>
    </row>
    <row r="69" spans="2:12" x14ac:dyDescent="0.25">
      <c r="B69" s="5" t="s">
        <v>248</v>
      </c>
      <c r="C69" s="5" t="s">
        <v>261</v>
      </c>
      <c r="D69" s="5" t="s">
        <v>11</v>
      </c>
      <c r="E69" s="6">
        <v>46073</v>
      </c>
      <c r="F69" s="8" t="s">
        <v>15</v>
      </c>
      <c r="G69" s="4" t="s">
        <v>24</v>
      </c>
      <c r="H69" s="4" t="s">
        <v>51</v>
      </c>
      <c r="I69" s="5" t="s">
        <v>262</v>
      </c>
      <c r="J69" s="7"/>
      <c r="K69" s="15">
        <f>YEAR(Tabla1[[#This Row],[Fecha]])</f>
        <v>2026</v>
      </c>
      <c r="L69" s="15">
        <f>MONTH(Tabla1[[#This Row],[Fecha]])</f>
        <v>2</v>
      </c>
    </row>
    <row r="70" spans="2:12" x14ac:dyDescent="0.25">
      <c r="B70" s="5" t="s">
        <v>32</v>
      </c>
      <c r="C70" s="9" t="s">
        <v>142</v>
      </c>
      <c r="D70" s="5" t="s">
        <v>131</v>
      </c>
      <c r="E70" s="6">
        <v>46072</v>
      </c>
      <c r="F70" s="8" t="s">
        <v>15</v>
      </c>
      <c r="G70" s="4" t="s">
        <v>16</v>
      </c>
      <c r="H70" s="4" t="s">
        <v>74</v>
      </c>
      <c r="I70" s="5" t="s">
        <v>143</v>
      </c>
      <c r="J70" s="7"/>
      <c r="K70" s="15">
        <f>YEAR(Tabla1[[#This Row],[Fecha]])</f>
        <v>2026</v>
      </c>
      <c r="L70" s="15">
        <f>MONTH(Tabla1[[#This Row],[Fecha]])</f>
        <v>2</v>
      </c>
    </row>
    <row r="71" spans="2:12" x14ac:dyDescent="0.25">
      <c r="B71" s="5" t="s">
        <v>32</v>
      </c>
      <c r="C71" s="9" t="s">
        <v>144</v>
      </c>
      <c r="D71" s="5" t="s">
        <v>131</v>
      </c>
      <c r="E71" s="6">
        <v>46072</v>
      </c>
      <c r="F71" s="8" t="s">
        <v>15</v>
      </c>
      <c r="G71" s="4" t="s">
        <v>36</v>
      </c>
      <c r="H71" s="4" t="s">
        <v>145</v>
      </c>
      <c r="I71" s="5" t="s">
        <v>146</v>
      </c>
      <c r="J71" s="7"/>
      <c r="K71" s="15">
        <f>YEAR(Tabla1[[#This Row],[Fecha]])</f>
        <v>2026</v>
      </c>
      <c r="L71" s="15">
        <f>MONTH(Tabla1[[#This Row],[Fecha]])</f>
        <v>2</v>
      </c>
    </row>
    <row r="72" spans="2:12" x14ac:dyDescent="0.25">
      <c r="B72" s="5" t="s">
        <v>32</v>
      </c>
      <c r="C72" s="9" t="s">
        <v>147</v>
      </c>
      <c r="D72" s="5" t="s">
        <v>131</v>
      </c>
      <c r="E72" s="6">
        <v>46072</v>
      </c>
      <c r="F72" s="8" t="s">
        <v>15</v>
      </c>
      <c r="G72" s="4" t="s">
        <v>24</v>
      </c>
      <c r="H72" s="8" t="s">
        <v>83</v>
      </c>
      <c r="I72" s="5" t="s">
        <v>148</v>
      </c>
      <c r="J72" s="7"/>
      <c r="K72" s="15">
        <f>YEAR(Tabla1[[#This Row],[Fecha]])</f>
        <v>2026</v>
      </c>
      <c r="L72" s="15">
        <f>MONTH(Tabla1[[#This Row],[Fecha]])</f>
        <v>2</v>
      </c>
    </row>
    <row r="73" spans="2:12" x14ac:dyDescent="0.25">
      <c r="B73" s="10" t="s">
        <v>49</v>
      </c>
      <c r="C73" s="9" t="s">
        <v>56</v>
      </c>
      <c r="D73" s="5" t="s">
        <v>131</v>
      </c>
      <c r="E73" s="6">
        <v>46069</v>
      </c>
      <c r="F73" s="8" t="s">
        <v>91</v>
      </c>
      <c r="G73" s="28" t="s">
        <v>16</v>
      </c>
      <c r="H73" s="28" t="s">
        <v>97</v>
      </c>
      <c r="I73" s="5" t="s">
        <v>173</v>
      </c>
      <c r="J73" s="7"/>
      <c r="K73" s="15">
        <f>YEAR(Tabla1[[#This Row],[Fecha]])</f>
        <v>2026</v>
      </c>
      <c r="L73" s="15">
        <f>MONTH(Tabla1[[#This Row],[Fecha]])</f>
        <v>2</v>
      </c>
    </row>
    <row r="74" spans="2:12" x14ac:dyDescent="0.25">
      <c r="B74" s="5" t="s">
        <v>22</v>
      </c>
      <c r="C74" s="9" t="s">
        <v>179</v>
      </c>
      <c r="D74" s="5" t="s">
        <v>131</v>
      </c>
      <c r="E74" s="6">
        <v>46068</v>
      </c>
      <c r="F74" s="8" t="s">
        <v>15</v>
      </c>
      <c r="G74" s="4" t="s">
        <v>103</v>
      </c>
      <c r="H74" s="4" t="s">
        <v>104</v>
      </c>
      <c r="I74" s="5" t="s">
        <v>187</v>
      </c>
      <c r="J74" s="7"/>
      <c r="K74" s="15">
        <f>YEAR(Tabla1[[#This Row],[Fecha]])</f>
        <v>2026</v>
      </c>
      <c r="L74" s="15">
        <f>MONTH(Tabla1[[#This Row],[Fecha]])</f>
        <v>2</v>
      </c>
    </row>
    <row r="75" spans="2:12" x14ac:dyDescent="0.25">
      <c r="B75" s="10" t="s">
        <v>49</v>
      </c>
      <c r="C75" s="9" t="s">
        <v>123</v>
      </c>
      <c r="D75" s="5" t="s">
        <v>131</v>
      </c>
      <c r="E75" s="6">
        <v>46066</v>
      </c>
      <c r="F75" s="8" t="s">
        <v>91</v>
      </c>
      <c r="G75" s="28" t="s">
        <v>16</v>
      </c>
      <c r="H75" s="28" t="s">
        <v>97</v>
      </c>
      <c r="I75" s="5" t="s">
        <v>174</v>
      </c>
      <c r="J75" s="7"/>
      <c r="K75" s="15">
        <f>YEAR(Tabla1[[#This Row],[Fecha]])</f>
        <v>2026</v>
      </c>
      <c r="L75" s="15">
        <f>MONTH(Tabla1[[#This Row],[Fecha]])</f>
        <v>2</v>
      </c>
    </row>
    <row r="76" spans="2:12" x14ac:dyDescent="0.25">
      <c r="B76" s="10" t="s">
        <v>49</v>
      </c>
      <c r="C76" s="9" t="s">
        <v>115</v>
      </c>
      <c r="D76" s="5" t="s">
        <v>131</v>
      </c>
      <c r="E76" s="6">
        <v>46066</v>
      </c>
      <c r="F76" s="8" t="s">
        <v>91</v>
      </c>
      <c r="G76" s="28" t="s">
        <v>16</v>
      </c>
      <c r="H76" s="28" t="s">
        <v>97</v>
      </c>
      <c r="I76" s="5" t="s">
        <v>175</v>
      </c>
      <c r="J76" s="7"/>
      <c r="K76" s="15">
        <f>YEAR(Tabla1[[#This Row],[Fecha]])</f>
        <v>2026</v>
      </c>
      <c r="L76" s="15">
        <f>MONTH(Tabla1[[#This Row],[Fecha]])</f>
        <v>2</v>
      </c>
    </row>
    <row r="77" spans="2:12" x14ac:dyDescent="0.25">
      <c r="B77" s="5" t="s">
        <v>9</v>
      </c>
      <c r="C77" s="9" t="s">
        <v>153</v>
      </c>
      <c r="D77" s="5" t="s">
        <v>11</v>
      </c>
      <c r="E77" s="6">
        <v>46065</v>
      </c>
      <c r="F77" s="8" t="s">
        <v>15</v>
      </c>
      <c r="G77" s="4" t="s">
        <v>16</v>
      </c>
      <c r="H77" s="4" t="s">
        <v>77</v>
      </c>
      <c r="I77" s="5" t="s">
        <v>154</v>
      </c>
      <c r="J77" s="7"/>
      <c r="K77" s="15">
        <f>YEAR(Tabla1[[#This Row],[Fecha]])</f>
        <v>2026</v>
      </c>
      <c r="L77" s="15">
        <f>MONTH(Tabla1[[#This Row],[Fecha]])</f>
        <v>2</v>
      </c>
    </row>
    <row r="78" spans="2:12" x14ac:dyDescent="0.25">
      <c r="B78" s="5" t="s">
        <v>39</v>
      </c>
      <c r="C78" s="9" t="s">
        <v>40</v>
      </c>
      <c r="D78" s="5" t="s">
        <v>131</v>
      </c>
      <c r="E78" s="6">
        <v>46063</v>
      </c>
      <c r="F78" s="8" t="s">
        <v>15</v>
      </c>
      <c r="G78" s="4" t="s">
        <v>24</v>
      </c>
      <c r="H78" s="4" t="s">
        <v>51</v>
      </c>
      <c r="I78" s="5" t="s">
        <v>141</v>
      </c>
      <c r="J78" s="7"/>
      <c r="K78" s="15">
        <f>YEAR(Tabla1[[#This Row],[Fecha]])</f>
        <v>2026</v>
      </c>
      <c r="L78" s="15">
        <f>MONTH(Tabla1[[#This Row],[Fecha]])</f>
        <v>2</v>
      </c>
    </row>
    <row r="79" spans="2:12" x14ac:dyDescent="0.25">
      <c r="B79" s="10" t="s">
        <v>49</v>
      </c>
      <c r="C79" s="9" t="s">
        <v>123</v>
      </c>
      <c r="D79" s="5" t="s">
        <v>131</v>
      </c>
      <c r="E79" s="6">
        <v>46062</v>
      </c>
      <c r="F79" s="8" t="s">
        <v>91</v>
      </c>
      <c r="G79" s="4" t="s">
        <v>16</v>
      </c>
      <c r="H79" s="4" t="s">
        <v>97</v>
      </c>
      <c r="I79" s="5" t="s">
        <v>170</v>
      </c>
      <c r="J79" s="7"/>
      <c r="K79" s="15">
        <f>YEAR(Tabla1[[#This Row],[Fecha]])</f>
        <v>2026</v>
      </c>
      <c r="L79" s="15">
        <f>MONTH(Tabla1[[#This Row],[Fecha]])</f>
        <v>2</v>
      </c>
    </row>
    <row r="80" spans="2:12" x14ac:dyDescent="0.25">
      <c r="B80" s="10" t="s">
        <v>49</v>
      </c>
      <c r="C80" s="9" t="s">
        <v>56</v>
      </c>
      <c r="D80" s="5" t="s">
        <v>131</v>
      </c>
      <c r="E80" s="6">
        <v>46062</v>
      </c>
      <c r="F80" s="8" t="s">
        <v>15</v>
      </c>
      <c r="G80" s="28" t="s">
        <v>16</v>
      </c>
      <c r="H80" s="28" t="s">
        <v>97</v>
      </c>
      <c r="I80" s="5" t="s">
        <v>171</v>
      </c>
      <c r="J80" s="7"/>
      <c r="K80" s="15">
        <f>YEAR(Tabla1[[#This Row],[Fecha]])</f>
        <v>2026</v>
      </c>
      <c r="L80" s="15">
        <f>MONTH(Tabla1[[#This Row],[Fecha]])</f>
        <v>2</v>
      </c>
    </row>
    <row r="81" spans="2:12" x14ac:dyDescent="0.25">
      <c r="B81" s="10" t="s">
        <v>49</v>
      </c>
      <c r="C81" s="9" t="s">
        <v>57</v>
      </c>
      <c r="D81" s="5" t="s">
        <v>131</v>
      </c>
      <c r="E81" s="6">
        <v>46062</v>
      </c>
      <c r="F81" s="8" t="s">
        <v>91</v>
      </c>
      <c r="G81" s="28" t="s">
        <v>16</v>
      </c>
      <c r="H81" s="28" t="s">
        <v>97</v>
      </c>
      <c r="I81" s="5" t="s">
        <v>172</v>
      </c>
      <c r="J81" s="7"/>
      <c r="K81" s="15">
        <f>YEAR(Tabla1[[#This Row],[Fecha]])</f>
        <v>2026</v>
      </c>
      <c r="L81" s="15">
        <f>MONTH(Tabla1[[#This Row],[Fecha]])</f>
        <v>2</v>
      </c>
    </row>
    <row r="82" spans="2:12" x14ac:dyDescent="0.25">
      <c r="B82" s="10" t="s">
        <v>49</v>
      </c>
      <c r="C82" s="9" t="s">
        <v>176</v>
      </c>
      <c r="D82" s="5" t="s">
        <v>131</v>
      </c>
      <c r="E82" s="6">
        <v>46062</v>
      </c>
      <c r="F82" s="8" t="s">
        <v>91</v>
      </c>
      <c r="G82" s="28" t="s">
        <v>16</v>
      </c>
      <c r="H82" s="28" t="s">
        <v>97</v>
      </c>
      <c r="I82" s="5" t="s">
        <v>175</v>
      </c>
      <c r="J82" s="7"/>
      <c r="K82" s="15">
        <f>YEAR(Tabla1[[#This Row],[Fecha]])</f>
        <v>2026</v>
      </c>
      <c r="L82" s="15">
        <f>MONTH(Tabla1[[#This Row],[Fecha]])</f>
        <v>2</v>
      </c>
    </row>
    <row r="83" spans="2:12" x14ac:dyDescent="0.25">
      <c r="B83" s="10" t="s">
        <v>49</v>
      </c>
      <c r="C83" s="9" t="s">
        <v>50</v>
      </c>
      <c r="D83" s="5" t="s">
        <v>131</v>
      </c>
      <c r="E83" s="6">
        <v>46059</v>
      </c>
      <c r="F83" s="8" t="s">
        <v>91</v>
      </c>
      <c r="G83" s="4" t="s">
        <v>16</v>
      </c>
      <c r="H83" s="4" t="s">
        <v>17</v>
      </c>
      <c r="I83" s="5" t="s">
        <v>168</v>
      </c>
      <c r="J83" s="7"/>
      <c r="K83" s="15">
        <f>YEAR(Tabla1[[#This Row],[Fecha]])</f>
        <v>2026</v>
      </c>
      <c r="L83" s="15">
        <f>MONTH(Tabla1[[#This Row],[Fecha]])</f>
        <v>2</v>
      </c>
    </row>
    <row r="84" spans="2:12" x14ac:dyDescent="0.25">
      <c r="B84" s="10" t="s">
        <v>49</v>
      </c>
      <c r="C84" s="9" t="s">
        <v>50</v>
      </c>
      <c r="D84" s="5" t="s">
        <v>131</v>
      </c>
      <c r="E84" s="6">
        <v>46059</v>
      </c>
      <c r="F84" s="8" t="s">
        <v>91</v>
      </c>
      <c r="G84" s="4" t="s">
        <v>16</v>
      </c>
      <c r="H84" s="4" t="s">
        <v>97</v>
      </c>
      <c r="I84" s="5" t="s">
        <v>169</v>
      </c>
      <c r="J84" s="7"/>
      <c r="K84" s="15">
        <f>YEAR(Tabla1[[#This Row],[Fecha]])</f>
        <v>2026</v>
      </c>
      <c r="L84" s="15">
        <f>MONTH(Tabla1[[#This Row],[Fecha]])</f>
        <v>2</v>
      </c>
    </row>
    <row r="85" spans="2:12" x14ac:dyDescent="0.25">
      <c r="B85" s="10" t="s">
        <v>49</v>
      </c>
      <c r="C85" s="9" t="s">
        <v>117</v>
      </c>
      <c r="D85" s="5" t="s">
        <v>131</v>
      </c>
      <c r="E85" s="6">
        <v>46059</v>
      </c>
      <c r="F85" s="8" t="s">
        <v>91</v>
      </c>
      <c r="G85" s="4" t="s">
        <v>16</v>
      </c>
      <c r="H85" s="4" t="s">
        <v>97</v>
      </c>
      <c r="I85" s="5" t="s">
        <v>169</v>
      </c>
      <c r="J85" s="7"/>
      <c r="K85" s="15">
        <f>YEAR(Tabla1[[#This Row],[Fecha]])</f>
        <v>2026</v>
      </c>
      <c r="L85" s="15">
        <f>MONTH(Tabla1[[#This Row],[Fecha]])</f>
        <v>2</v>
      </c>
    </row>
    <row r="86" spans="2:12" x14ac:dyDescent="0.25">
      <c r="B86" s="5" t="s">
        <v>45</v>
      </c>
      <c r="C86" s="9" t="s">
        <v>46</v>
      </c>
      <c r="D86" s="5" t="s">
        <v>11</v>
      </c>
      <c r="E86" s="6">
        <v>46058</v>
      </c>
      <c r="F86" s="8" t="s">
        <v>15</v>
      </c>
      <c r="G86" s="4" t="s">
        <v>47</v>
      </c>
      <c r="H86" s="4" t="s">
        <v>41</v>
      </c>
      <c r="I86" s="5" t="s">
        <v>140</v>
      </c>
      <c r="J86" s="7"/>
      <c r="K86" s="15">
        <f>YEAR(Tabla1[[#This Row],[Fecha]])</f>
        <v>2026</v>
      </c>
      <c r="L86" s="15">
        <f>MONTH(Tabla1[[#This Row],[Fecha]])</f>
        <v>2</v>
      </c>
    </row>
    <row r="87" spans="2:12" x14ac:dyDescent="0.25">
      <c r="B87" s="10" t="s">
        <v>49</v>
      </c>
      <c r="C87" s="9" t="s">
        <v>56</v>
      </c>
      <c r="D87" s="5" t="s">
        <v>11</v>
      </c>
      <c r="E87" s="6">
        <v>46058</v>
      </c>
      <c r="F87" s="8" t="s">
        <v>15</v>
      </c>
      <c r="G87" s="4" t="s">
        <v>103</v>
      </c>
      <c r="H87" s="4" t="s">
        <v>104</v>
      </c>
      <c r="I87" s="5" t="s">
        <v>149</v>
      </c>
      <c r="J87" s="7"/>
      <c r="K87" s="15">
        <f>YEAR(Tabla1[[#This Row],[Fecha]])</f>
        <v>2026</v>
      </c>
      <c r="L87" s="15">
        <f>MONTH(Tabla1[[#This Row],[Fecha]])</f>
        <v>2</v>
      </c>
    </row>
    <row r="88" spans="2:12" x14ac:dyDescent="0.25">
      <c r="B88" s="10" t="s">
        <v>49</v>
      </c>
      <c r="C88" s="9" t="s">
        <v>111</v>
      </c>
      <c r="D88" s="5" t="s">
        <v>11</v>
      </c>
      <c r="E88" s="6">
        <v>46058</v>
      </c>
      <c r="F88" s="8" t="s">
        <v>91</v>
      </c>
      <c r="G88" s="4" t="s">
        <v>47</v>
      </c>
      <c r="H88" s="4" t="s">
        <v>118</v>
      </c>
      <c r="I88" s="5" t="s">
        <v>150</v>
      </c>
      <c r="J88" s="7"/>
      <c r="K88" s="15">
        <f>YEAR(Tabla1[[#This Row],[Fecha]])</f>
        <v>2026</v>
      </c>
      <c r="L88" s="15">
        <f>MONTH(Tabla1[[#This Row],[Fecha]])</f>
        <v>2</v>
      </c>
    </row>
    <row r="89" spans="2:12" x14ac:dyDescent="0.25">
      <c r="B89" s="10" t="s">
        <v>49</v>
      </c>
      <c r="C89" s="9" t="s">
        <v>60</v>
      </c>
      <c r="D89" s="5" t="s">
        <v>11</v>
      </c>
      <c r="E89" s="6">
        <v>46058</v>
      </c>
      <c r="F89" s="8" t="s">
        <v>91</v>
      </c>
      <c r="G89" s="4" t="s">
        <v>47</v>
      </c>
      <c r="H89" s="4" t="s">
        <v>118</v>
      </c>
      <c r="I89" s="5" t="s">
        <v>150</v>
      </c>
      <c r="J89" s="7"/>
      <c r="K89" s="15">
        <f>YEAR(Tabla1[[#This Row],[Fecha]])</f>
        <v>2026</v>
      </c>
      <c r="L89" s="15">
        <f>MONTH(Tabla1[[#This Row],[Fecha]])</f>
        <v>2</v>
      </c>
    </row>
    <row r="90" spans="2:12" x14ac:dyDescent="0.25">
      <c r="B90" s="10" t="s">
        <v>49</v>
      </c>
      <c r="C90" s="9" t="s">
        <v>66</v>
      </c>
      <c r="D90" s="5" t="s">
        <v>11</v>
      </c>
      <c r="E90" s="6">
        <v>46058</v>
      </c>
      <c r="F90" s="8" t="s">
        <v>91</v>
      </c>
      <c r="G90" s="4" t="s">
        <v>16</v>
      </c>
      <c r="H90" s="4" t="s">
        <v>118</v>
      </c>
      <c r="I90" s="5" t="s">
        <v>151</v>
      </c>
      <c r="J90" s="7"/>
      <c r="K90" s="15">
        <f>YEAR(Tabla1[[#This Row],[Fecha]])</f>
        <v>2026</v>
      </c>
      <c r="L90" s="15">
        <f>MONTH(Tabla1[[#This Row],[Fecha]])</f>
        <v>2</v>
      </c>
    </row>
    <row r="91" spans="2:12" x14ac:dyDescent="0.25">
      <c r="B91" s="10" t="s">
        <v>49</v>
      </c>
      <c r="C91" s="9" t="s">
        <v>53</v>
      </c>
      <c r="D91" s="5" t="s">
        <v>11</v>
      </c>
      <c r="E91" s="6">
        <v>46058</v>
      </c>
      <c r="F91" s="8" t="s">
        <v>91</v>
      </c>
      <c r="G91" s="4" t="s">
        <v>16</v>
      </c>
      <c r="H91" s="4" t="s">
        <v>118</v>
      </c>
      <c r="I91" s="5" t="s">
        <v>151</v>
      </c>
      <c r="J91" s="7"/>
      <c r="K91" s="15">
        <f>YEAR(Tabla1[[#This Row],[Fecha]])</f>
        <v>2026</v>
      </c>
      <c r="L91" s="15">
        <f>MONTH(Tabla1[[#This Row],[Fecha]])</f>
        <v>2</v>
      </c>
    </row>
    <row r="92" spans="2:12" x14ac:dyDescent="0.25">
      <c r="B92" s="5" t="s">
        <v>9</v>
      </c>
      <c r="C92" s="9" t="s">
        <v>80</v>
      </c>
      <c r="D92" s="5" t="s">
        <v>11</v>
      </c>
      <c r="E92" s="6">
        <v>46057</v>
      </c>
      <c r="F92" s="8" t="s">
        <v>15</v>
      </c>
      <c r="G92" s="4" t="s">
        <v>16</v>
      </c>
      <c r="H92" s="4" t="s">
        <v>77</v>
      </c>
      <c r="I92" s="5" t="s">
        <v>156</v>
      </c>
      <c r="J92" s="7"/>
      <c r="K92" s="15">
        <f>YEAR(Tabla1[[#This Row],[Fecha]])</f>
        <v>2026</v>
      </c>
      <c r="L92" s="15">
        <f>MONTH(Tabla1[[#This Row],[Fecha]])</f>
        <v>2</v>
      </c>
    </row>
    <row r="93" spans="2:12" x14ac:dyDescent="0.25">
      <c r="B93" s="5" t="s">
        <v>9</v>
      </c>
      <c r="C93" s="9" t="s">
        <v>153</v>
      </c>
      <c r="D93" s="5" t="s">
        <v>11</v>
      </c>
      <c r="E93" s="6">
        <v>46057</v>
      </c>
      <c r="F93" s="8" t="s">
        <v>15</v>
      </c>
      <c r="G93" s="4" t="s">
        <v>16</v>
      </c>
      <c r="H93" s="4" t="s">
        <v>77</v>
      </c>
      <c r="I93" s="5" t="s">
        <v>157</v>
      </c>
      <c r="J93" s="7"/>
      <c r="K93" s="15">
        <f>YEAR(Tabla1[[#This Row],[Fecha]])</f>
        <v>2026</v>
      </c>
      <c r="L93" s="15">
        <f>MONTH(Tabla1[[#This Row],[Fecha]])</f>
        <v>2</v>
      </c>
    </row>
    <row r="94" spans="2:12" x14ac:dyDescent="0.25">
      <c r="B94" s="5" t="s">
        <v>9</v>
      </c>
      <c r="C94" s="9" t="s">
        <v>93</v>
      </c>
      <c r="D94" s="5" t="s">
        <v>11</v>
      </c>
      <c r="E94" s="6">
        <v>46057</v>
      </c>
      <c r="F94" s="8" t="s">
        <v>15</v>
      </c>
      <c r="G94" s="4" t="s">
        <v>16</v>
      </c>
      <c r="H94" s="8"/>
      <c r="I94" s="5" t="s">
        <v>158</v>
      </c>
      <c r="J94" s="7"/>
      <c r="K94" s="15">
        <f>YEAR(Tabla1[[#This Row],[Fecha]])</f>
        <v>2026</v>
      </c>
      <c r="L94" s="15">
        <f>MONTH(Tabla1[[#This Row],[Fecha]])</f>
        <v>2</v>
      </c>
    </row>
    <row r="95" spans="2:12" x14ac:dyDescent="0.25">
      <c r="B95" s="5" t="s">
        <v>9</v>
      </c>
      <c r="C95" s="9" t="s">
        <v>87</v>
      </c>
      <c r="D95" s="5" t="s">
        <v>11</v>
      </c>
      <c r="E95" s="6">
        <v>46051</v>
      </c>
      <c r="F95" s="8" t="s">
        <v>91</v>
      </c>
      <c r="G95" s="4" t="s">
        <v>16</v>
      </c>
      <c r="H95" s="4" t="s">
        <v>118</v>
      </c>
      <c r="I95" s="5" t="s">
        <v>92</v>
      </c>
      <c r="J95" s="7"/>
      <c r="K95" s="15">
        <f>YEAR(Tabla1[[#This Row],[Fecha]])</f>
        <v>2026</v>
      </c>
      <c r="L95" s="15">
        <f>MONTH(Tabla1[[#This Row],[Fecha]])</f>
        <v>1</v>
      </c>
    </row>
    <row r="96" spans="2:12" x14ac:dyDescent="0.25">
      <c r="B96" s="5" t="s">
        <v>9</v>
      </c>
      <c r="C96" s="9" t="s">
        <v>93</v>
      </c>
      <c r="D96" s="5" t="s">
        <v>11</v>
      </c>
      <c r="E96" s="6">
        <v>46051</v>
      </c>
      <c r="F96" s="8" t="s">
        <v>91</v>
      </c>
      <c r="G96" s="4" t="s">
        <v>16</v>
      </c>
      <c r="H96" s="4" t="s">
        <v>118</v>
      </c>
      <c r="I96" s="5" t="s">
        <v>94</v>
      </c>
      <c r="J96" s="7"/>
      <c r="K96" s="15">
        <f>YEAR(Tabla1[[#This Row],[Fecha]])</f>
        <v>2026</v>
      </c>
      <c r="L96" s="15">
        <f>MONTH(Tabla1[[#This Row],[Fecha]])</f>
        <v>1</v>
      </c>
    </row>
    <row r="97" spans="2:12" x14ac:dyDescent="0.25">
      <c r="B97" s="5" t="s">
        <v>9</v>
      </c>
      <c r="C97" s="9" t="s">
        <v>82</v>
      </c>
      <c r="D97" s="5" t="s">
        <v>11</v>
      </c>
      <c r="E97" s="6">
        <v>46051</v>
      </c>
      <c r="F97" s="8" t="s">
        <v>91</v>
      </c>
      <c r="G97" s="4" t="s">
        <v>16</v>
      </c>
      <c r="H97" s="4" t="s">
        <v>118</v>
      </c>
      <c r="I97" s="5" t="s">
        <v>95</v>
      </c>
      <c r="J97" s="7"/>
      <c r="K97" s="15">
        <f>YEAR(Tabla1[[#This Row],[Fecha]])</f>
        <v>2026</v>
      </c>
      <c r="L97" s="15">
        <f>MONTH(Tabla1[[#This Row],[Fecha]])</f>
        <v>1</v>
      </c>
    </row>
    <row r="98" spans="2:12" x14ac:dyDescent="0.25">
      <c r="B98" s="5" t="s">
        <v>9</v>
      </c>
      <c r="C98" s="9" t="s">
        <v>71</v>
      </c>
      <c r="D98" s="5" t="s">
        <v>11</v>
      </c>
      <c r="E98" s="6">
        <v>46050</v>
      </c>
      <c r="F98" s="8" t="s">
        <v>15</v>
      </c>
      <c r="G98" s="4" t="s">
        <v>16</v>
      </c>
      <c r="H98" s="4" t="s">
        <v>77</v>
      </c>
      <c r="I98" s="5" t="s">
        <v>85</v>
      </c>
      <c r="J98" s="7"/>
      <c r="K98" s="15">
        <f>YEAR(Tabla1[[#This Row],[Fecha]])</f>
        <v>2026</v>
      </c>
      <c r="L98" s="15">
        <f>MONTH(Tabla1[[#This Row],[Fecha]])</f>
        <v>1</v>
      </c>
    </row>
    <row r="99" spans="2:12" x14ac:dyDescent="0.25">
      <c r="B99" s="5" t="s">
        <v>9</v>
      </c>
      <c r="C99" s="5" t="s">
        <v>99</v>
      </c>
      <c r="D99" s="5" t="s">
        <v>11</v>
      </c>
      <c r="E99" s="6">
        <v>46050</v>
      </c>
      <c r="F99" s="4" t="s">
        <v>91</v>
      </c>
      <c r="G99" s="4" t="s">
        <v>47</v>
      </c>
      <c r="H99" s="20" t="s">
        <v>41</v>
      </c>
      <c r="I99" s="5" t="s">
        <v>101</v>
      </c>
      <c r="J99" s="5"/>
      <c r="K99" s="22">
        <f>YEAR(Tabla1[[#This Row],[Fecha]])</f>
        <v>2026</v>
      </c>
      <c r="L99" s="22">
        <f>MONTH(Tabla1[[#This Row],[Fecha]])</f>
        <v>1</v>
      </c>
    </row>
    <row r="100" spans="2:12" x14ac:dyDescent="0.25">
      <c r="B100" s="5" t="s">
        <v>19</v>
      </c>
      <c r="C100" s="9" t="s">
        <v>160</v>
      </c>
      <c r="D100" s="5" t="s">
        <v>11</v>
      </c>
      <c r="E100" s="6">
        <v>46045</v>
      </c>
      <c r="F100" s="8" t="s">
        <v>15</v>
      </c>
      <c r="G100" s="4" t="s">
        <v>16</v>
      </c>
      <c r="H100" s="8"/>
      <c r="I100" s="5" t="s">
        <v>161</v>
      </c>
      <c r="J100" s="7"/>
      <c r="K100" s="15">
        <f>YEAR(Tabla1[[#This Row],[Fecha]])</f>
        <v>2026</v>
      </c>
      <c r="L100" s="15">
        <f>MONTH(Tabla1[[#This Row],[Fecha]])</f>
        <v>1</v>
      </c>
    </row>
    <row r="101" spans="2:12" x14ac:dyDescent="0.25">
      <c r="B101" s="5" t="s">
        <v>19</v>
      </c>
      <c r="C101" s="9" t="s">
        <v>20</v>
      </c>
      <c r="D101" s="5" t="s">
        <v>11</v>
      </c>
      <c r="E101" s="6">
        <v>46044</v>
      </c>
      <c r="F101" s="8" t="s">
        <v>91</v>
      </c>
      <c r="G101" s="4" t="s">
        <v>16</v>
      </c>
      <c r="H101" s="4" t="s">
        <v>118</v>
      </c>
      <c r="I101" s="5" t="s">
        <v>159</v>
      </c>
      <c r="J101" s="7"/>
      <c r="K101" s="15">
        <f>YEAR(Tabla1[[#This Row],[Fecha]])</f>
        <v>2026</v>
      </c>
      <c r="L101" s="15">
        <f>MONTH(Tabla1[[#This Row],[Fecha]])</f>
        <v>1</v>
      </c>
    </row>
    <row r="102" spans="2:12" x14ac:dyDescent="0.25">
      <c r="B102" s="5" t="s">
        <v>19</v>
      </c>
      <c r="C102" s="9" t="s">
        <v>162</v>
      </c>
      <c r="D102" s="5" t="s">
        <v>11</v>
      </c>
      <c r="E102" s="6">
        <v>46044</v>
      </c>
      <c r="F102" s="8" t="s">
        <v>15</v>
      </c>
      <c r="G102" s="4" t="s">
        <v>16</v>
      </c>
      <c r="H102" s="4" t="s">
        <v>77</v>
      </c>
      <c r="I102" s="5" t="s">
        <v>163</v>
      </c>
      <c r="J102" s="7"/>
      <c r="K102" s="15">
        <f>YEAR(Tabla1[[#This Row],[Fecha]])</f>
        <v>2026</v>
      </c>
      <c r="L102" s="15">
        <f>MONTH(Tabla1[[#This Row],[Fecha]])</f>
        <v>1</v>
      </c>
    </row>
    <row r="103" spans="2:12" x14ac:dyDescent="0.25">
      <c r="B103" s="5" t="s">
        <v>19</v>
      </c>
      <c r="C103" s="9" t="s">
        <v>162</v>
      </c>
      <c r="D103" s="5" t="s">
        <v>11</v>
      </c>
      <c r="E103" s="6">
        <v>46044</v>
      </c>
      <c r="F103" s="8" t="s">
        <v>15</v>
      </c>
      <c r="G103" s="4" t="s">
        <v>16</v>
      </c>
      <c r="H103" s="4" t="s">
        <v>77</v>
      </c>
      <c r="I103" s="5" t="s">
        <v>164</v>
      </c>
      <c r="J103" s="7"/>
      <c r="K103" s="15">
        <f>YEAR(Tabla1[[#This Row],[Fecha]])</f>
        <v>2026</v>
      </c>
      <c r="L103" s="15">
        <f>MONTH(Tabla1[[#This Row],[Fecha]])</f>
        <v>1</v>
      </c>
    </row>
    <row r="104" spans="2:12" x14ac:dyDescent="0.25">
      <c r="B104" s="5" t="s">
        <v>9</v>
      </c>
      <c r="C104" s="9" t="s">
        <v>14</v>
      </c>
      <c r="D104" s="5" t="s">
        <v>11</v>
      </c>
      <c r="E104" s="6">
        <v>46043</v>
      </c>
      <c r="F104" s="8" t="s">
        <v>96</v>
      </c>
      <c r="G104" s="4" t="s">
        <v>16</v>
      </c>
      <c r="H104" s="4" t="s">
        <v>97</v>
      </c>
      <c r="I104" s="5" t="s">
        <v>98</v>
      </c>
      <c r="J104" s="7"/>
      <c r="K104" s="15">
        <f>YEAR(Tabla1[[#This Row],[Fecha]])</f>
        <v>2026</v>
      </c>
      <c r="L104" s="15">
        <f>MONTH(Tabla1[[#This Row],[Fecha]])</f>
        <v>1</v>
      </c>
    </row>
    <row r="105" spans="2:12" x14ac:dyDescent="0.25">
      <c r="B105" s="5" t="s">
        <v>22</v>
      </c>
      <c r="C105" s="5" t="s">
        <v>179</v>
      </c>
      <c r="D105" s="5" t="s">
        <v>11</v>
      </c>
      <c r="E105" s="6">
        <v>46043</v>
      </c>
      <c r="F105" s="4" t="s">
        <v>100</v>
      </c>
      <c r="G105" s="4"/>
      <c r="H105" s="4"/>
      <c r="I105" s="5" t="s">
        <v>1686</v>
      </c>
      <c r="J105" s="5"/>
      <c r="K105" s="22">
        <f>YEAR(Tabla1[[#This Row],[Fecha]])</f>
        <v>2026</v>
      </c>
      <c r="L105" s="22">
        <f>MONTH(Tabla1[[#This Row],[Fecha]])</f>
        <v>1</v>
      </c>
    </row>
    <row r="106" spans="2:12" x14ac:dyDescent="0.25">
      <c r="B106" s="5" t="s">
        <v>9</v>
      </c>
      <c r="C106" s="9" t="s">
        <v>82</v>
      </c>
      <c r="D106" s="5" t="s">
        <v>11</v>
      </c>
      <c r="E106" s="6">
        <v>46038</v>
      </c>
      <c r="F106" s="8" t="s">
        <v>15</v>
      </c>
      <c r="G106" s="4" t="s">
        <v>36</v>
      </c>
      <c r="H106" s="4" t="s">
        <v>37</v>
      </c>
      <c r="I106" s="5" t="s">
        <v>89</v>
      </c>
      <c r="J106" s="7"/>
      <c r="K106" s="15">
        <f>YEAR(Tabla1[[#This Row],[Fecha]])</f>
        <v>2026</v>
      </c>
      <c r="L106" s="15">
        <f>MONTH(Tabla1[[#This Row],[Fecha]])</f>
        <v>1</v>
      </c>
    </row>
    <row r="107" spans="2:12" x14ac:dyDescent="0.25">
      <c r="B107" s="5" t="s">
        <v>9</v>
      </c>
      <c r="C107" s="9" t="s">
        <v>62</v>
      </c>
      <c r="D107" s="5" t="s">
        <v>11</v>
      </c>
      <c r="E107" s="6">
        <v>46038</v>
      </c>
      <c r="F107" s="8" t="s">
        <v>15</v>
      </c>
      <c r="G107" s="4" t="s">
        <v>24</v>
      </c>
      <c r="H107" s="4" t="s">
        <v>12</v>
      </c>
      <c r="I107" s="5" t="s">
        <v>90</v>
      </c>
      <c r="J107" s="7"/>
      <c r="K107" s="15">
        <f>YEAR(Tabla1[[#This Row],[Fecha]])</f>
        <v>2026</v>
      </c>
      <c r="L107" s="15">
        <f>MONTH(Tabla1[[#This Row],[Fecha]])</f>
        <v>1</v>
      </c>
    </row>
    <row r="108" spans="2:12" x14ac:dyDescent="0.25">
      <c r="B108" s="5" t="s">
        <v>248</v>
      </c>
      <c r="C108" s="5" t="s">
        <v>264</v>
      </c>
      <c r="D108" s="5" t="s">
        <v>11</v>
      </c>
      <c r="E108" s="6">
        <v>46038</v>
      </c>
      <c r="F108" s="8" t="s">
        <v>15</v>
      </c>
      <c r="G108" s="4" t="s">
        <v>36</v>
      </c>
      <c r="H108" s="4" t="s">
        <v>37</v>
      </c>
      <c r="I108" s="5" t="s">
        <v>265</v>
      </c>
      <c r="J108" s="7"/>
      <c r="K108" s="15">
        <f>YEAR(Tabla1[[#This Row],[Fecha]])</f>
        <v>2026</v>
      </c>
      <c r="L108" s="15">
        <f>MONTH(Tabla1[[#This Row],[Fecha]])</f>
        <v>1</v>
      </c>
    </row>
    <row r="109" spans="2:12" x14ac:dyDescent="0.25">
      <c r="B109" s="10" t="s">
        <v>49</v>
      </c>
      <c r="C109" s="9" t="s">
        <v>115</v>
      </c>
      <c r="D109" s="5" t="s">
        <v>11</v>
      </c>
      <c r="E109" s="6">
        <v>46035</v>
      </c>
      <c r="F109" s="8" t="s">
        <v>15</v>
      </c>
      <c r="G109" s="4" t="s">
        <v>103</v>
      </c>
      <c r="H109" s="4" t="s">
        <v>104</v>
      </c>
      <c r="I109" s="5" t="s">
        <v>116</v>
      </c>
      <c r="J109" s="7"/>
      <c r="K109" s="15">
        <f>YEAR(Tabla1[[#This Row],[Fecha]])</f>
        <v>2026</v>
      </c>
      <c r="L109" s="15">
        <f>MONTH(Tabla1[[#This Row],[Fecha]])</f>
        <v>1</v>
      </c>
    </row>
    <row r="110" spans="2:12" x14ac:dyDescent="0.25">
      <c r="B110" s="5" t="s">
        <v>9</v>
      </c>
      <c r="C110" s="9" t="s">
        <v>80</v>
      </c>
      <c r="D110" s="5" t="s">
        <v>11</v>
      </c>
      <c r="E110" s="6">
        <v>46029</v>
      </c>
      <c r="F110" s="8" t="s">
        <v>15</v>
      </c>
      <c r="G110" s="4" t="s">
        <v>16</v>
      </c>
      <c r="H110" s="4" t="s">
        <v>77</v>
      </c>
      <c r="I110" s="5" t="s">
        <v>86</v>
      </c>
      <c r="J110" s="7"/>
      <c r="K110" s="15">
        <f>YEAR(Tabla1[[#This Row],[Fecha]])</f>
        <v>2026</v>
      </c>
      <c r="L110" s="15">
        <f>MONTH(Tabla1[[#This Row],[Fecha]])</f>
        <v>1</v>
      </c>
    </row>
    <row r="111" spans="2:12" x14ac:dyDescent="0.25">
      <c r="B111" s="5" t="s">
        <v>9</v>
      </c>
      <c r="C111" s="9" t="s">
        <v>87</v>
      </c>
      <c r="D111" s="5" t="s">
        <v>11</v>
      </c>
      <c r="E111" s="6">
        <v>46029</v>
      </c>
      <c r="F111" s="8" t="s">
        <v>15</v>
      </c>
      <c r="G111" s="4" t="s">
        <v>36</v>
      </c>
      <c r="H111" s="4" t="s">
        <v>37</v>
      </c>
      <c r="I111" s="5" t="s">
        <v>88</v>
      </c>
      <c r="J111" s="7"/>
      <c r="K111" s="15">
        <f>YEAR(Tabla1[[#This Row],[Fecha]])</f>
        <v>2026</v>
      </c>
      <c r="L111" s="15">
        <f>MONTH(Tabla1[[#This Row],[Fecha]])</f>
        <v>1</v>
      </c>
    </row>
    <row r="112" spans="2:12" x14ac:dyDescent="0.25">
      <c r="B112" s="5" t="s">
        <v>9</v>
      </c>
      <c r="C112" s="9" t="s">
        <v>102</v>
      </c>
      <c r="D112" s="5" t="s">
        <v>11</v>
      </c>
      <c r="E112" s="6">
        <v>46029</v>
      </c>
      <c r="F112" s="8" t="s">
        <v>15</v>
      </c>
      <c r="G112" s="4" t="s">
        <v>103</v>
      </c>
      <c r="H112" s="4" t="s">
        <v>104</v>
      </c>
      <c r="I112" s="5" t="s">
        <v>105</v>
      </c>
      <c r="J112" s="7"/>
      <c r="K112" s="15">
        <f>YEAR(Tabla1[[#This Row],[Fecha]])</f>
        <v>2026</v>
      </c>
      <c r="L112" s="15">
        <f>MONTH(Tabla1[[#This Row],[Fecha]])</f>
        <v>1</v>
      </c>
    </row>
    <row r="113" spans="2:12" x14ac:dyDescent="0.25">
      <c r="B113" s="5" t="s">
        <v>193</v>
      </c>
      <c r="C113" s="9" t="s">
        <v>197</v>
      </c>
      <c r="D113" s="5" t="s">
        <v>131</v>
      </c>
      <c r="E113" s="6">
        <v>46029</v>
      </c>
      <c r="F113" s="8" t="s">
        <v>15</v>
      </c>
      <c r="G113" s="4" t="s">
        <v>24</v>
      </c>
      <c r="H113" s="4" t="s">
        <v>51</v>
      </c>
      <c r="I113" s="5" t="s">
        <v>198</v>
      </c>
      <c r="J113" s="7"/>
      <c r="K113" s="15">
        <f>YEAR(Tabla1[[#This Row],[Fecha]])</f>
        <v>2026</v>
      </c>
      <c r="L113" s="15">
        <f>MONTH(Tabla1[[#This Row],[Fecha]])</f>
        <v>1</v>
      </c>
    </row>
    <row r="114" spans="2:12" x14ac:dyDescent="0.25">
      <c r="B114" s="10" t="s">
        <v>49</v>
      </c>
      <c r="C114" s="9" t="s">
        <v>117</v>
      </c>
      <c r="D114" s="5" t="s">
        <v>11</v>
      </c>
      <c r="E114" s="6">
        <v>46028</v>
      </c>
      <c r="F114" s="8" t="s">
        <v>15</v>
      </c>
      <c r="G114" s="4" t="s">
        <v>16</v>
      </c>
      <c r="H114" s="4" t="s">
        <v>118</v>
      </c>
      <c r="I114" s="5" t="s">
        <v>119</v>
      </c>
      <c r="J114" s="7"/>
      <c r="K114" s="15">
        <f>YEAR(Tabla1[[#This Row],[Fecha]])</f>
        <v>2026</v>
      </c>
      <c r="L114" s="15">
        <f>MONTH(Tabla1[[#This Row],[Fecha]])</f>
        <v>1</v>
      </c>
    </row>
    <row r="115" spans="2:12" x14ac:dyDescent="0.25">
      <c r="B115" s="10" t="s">
        <v>49</v>
      </c>
      <c r="C115" s="9" t="s">
        <v>117</v>
      </c>
      <c r="D115" s="5" t="s">
        <v>11</v>
      </c>
      <c r="E115" s="6">
        <v>46028</v>
      </c>
      <c r="F115" s="8" t="s">
        <v>15</v>
      </c>
      <c r="G115" s="4" t="s">
        <v>16</v>
      </c>
      <c r="H115" s="4" t="s">
        <v>118</v>
      </c>
      <c r="I115" s="5" t="s">
        <v>119</v>
      </c>
      <c r="J115" s="7"/>
      <c r="K115" s="15">
        <f>YEAR(Tabla1[[#This Row],[Fecha]])</f>
        <v>2026</v>
      </c>
      <c r="L115" s="15">
        <f>MONTH(Tabla1[[#This Row],[Fecha]])</f>
        <v>1</v>
      </c>
    </row>
    <row r="116" spans="2:12" x14ac:dyDescent="0.25">
      <c r="B116" s="5" t="s">
        <v>19</v>
      </c>
      <c r="C116" s="9" t="s">
        <v>20</v>
      </c>
      <c r="D116" s="5" t="s">
        <v>11</v>
      </c>
      <c r="E116" s="6">
        <v>46027</v>
      </c>
      <c r="F116" s="8" t="s">
        <v>15</v>
      </c>
      <c r="G116" s="4" t="s">
        <v>36</v>
      </c>
      <c r="H116" s="4" t="s">
        <v>145</v>
      </c>
      <c r="I116" s="5" t="s">
        <v>165</v>
      </c>
      <c r="J116" s="7"/>
      <c r="K116" s="15">
        <f>YEAR(Tabla1[[#This Row],[Fecha]])</f>
        <v>2026</v>
      </c>
      <c r="L116" s="15">
        <f>MONTH(Tabla1[[#This Row],[Fecha]])</f>
        <v>1</v>
      </c>
    </row>
    <row r="117" spans="2:12" hidden="1" x14ac:dyDescent="0.25">
      <c r="B117" s="5" t="s">
        <v>9</v>
      </c>
      <c r="C117" s="9" t="s">
        <v>71</v>
      </c>
      <c r="D117" s="5" t="s">
        <v>11</v>
      </c>
      <c r="E117" s="6">
        <v>46021</v>
      </c>
      <c r="F117" s="8" t="s">
        <v>15</v>
      </c>
      <c r="G117" s="4" t="s">
        <v>16</v>
      </c>
      <c r="H117" s="4" t="s">
        <v>63</v>
      </c>
      <c r="I117" s="5" t="s">
        <v>79</v>
      </c>
      <c r="J117" s="7"/>
      <c r="K117" s="15">
        <f>YEAR(Tabla1[[#This Row],[Fecha]])</f>
        <v>2025</v>
      </c>
      <c r="L117" s="15">
        <f>MONTH(Tabla1[[#This Row],[Fecha]])</f>
        <v>12</v>
      </c>
    </row>
    <row r="118" spans="2:12" hidden="1" x14ac:dyDescent="0.25">
      <c r="B118" s="5" t="s">
        <v>9</v>
      </c>
      <c r="C118" s="9" t="s">
        <v>80</v>
      </c>
      <c r="D118" s="5" t="s">
        <v>11</v>
      </c>
      <c r="E118" s="6">
        <v>46021</v>
      </c>
      <c r="F118" s="8" t="s">
        <v>15</v>
      </c>
      <c r="G118" s="4" t="s">
        <v>16</v>
      </c>
      <c r="H118" s="4" t="s">
        <v>43</v>
      </c>
      <c r="I118" s="5" t="s">
        <v>81</v>
      </c>
      <c r="J118" s="7"/>
      <c r="K118" s="15">
        <f>YEAR(Tabla1[[#This Row],[Fecha]])</f>
        <v>2025</v>
      </c>
      <c r="L118" s="15">
        <f>MONTH(Tabla1[[#This Row],[Fecha]])</f>
        <v>12</v>
      </c>
    </row>
    <row r="119" spans="2:12" hidden="1" x14ac:dyDescent="0.25">
      <c r="B119" s="10" t="s">
        <v>49</v>
      </c>
      <c r="C119" s="9" t="s">
        <v>53</v>
      </c>
      <c r="D119" s="5" t="s">
        <v>11</v>
      </c>
      <c r="E119" s="6">
        <v>46018</v>
      </c>
      <c r="F119" s="8" t="s">
        <v>15</v>
      </c>
      <c r="G119" s="4" t="s">
        <v>16</v>
      </c>
      <c r="H119" s="4" t="s">
        <v>97</v>
      </c>
      <c r="I119" s="5" t="s">
        <v>120</v>
      </c>
      <c r="J119" s="7"/>
      <c r="K119" s="15">
        <f>YEAR(Tabla1[[#This Row],[Fecha]])</f>
        <v>2025</v>
      </c>
      <c r="L119" s="15">
        <f>MONTH(Tabla1[[#This Row],[Fecha]])</f>
        <v>12</v>
      </c>
    </row>
    <row r="120" spans="2:12" hidden="1" x14ac:dyDescent="0.25">
      <c r="B120" s="5" t="s">
        <v>9</v>
      </c>
      <c r="C120" s="9" t="s">
        <v>82</v>
      </c>
      <c r="D120" s="5" t="s">
        <v>11</v>
      </c>
      <c r="E120" s="6">
        <v>46016</v>
      </c>
      <c r="F120" s="8" t="s">
        <v>15</v>
      </c>
      <c r="G120" s="4" t="s">
        <v>24</v>
      </c>
      <c r="H120" s="4" t="s">
        <v>83</v>
      </c>
      <c r="I120" s="5" t="s">
        <v>84</v>
      </c>
      <c r="J120" s="7"/>
      <c r="K120" s="15">
        <f>YEAR(Tabla1[[#This Row],[Fecha]])</f>
        <v>2025</v>
      </c>
      <c r="L120" s="15">
        <f>MONTH(Tabla1[[#This Row],[Fecha]])</f>
        <v>12</v>
      </c>
    </row>
    <row r="121" spans="2:12" hidden="1" x14ac:dyDescent="0.25">
      <c r="B121" s="10" t="s">
        <v>49</v>
      </c>
      <c r="C121" s="9" t="s">
        <v>117</v>
      </c>
      <c r="D121" s="5" t="s">
        <v>11</v>
      </c>
      <c r="E121" s="6">
        <v>46014</v>
      </c>
      <c r="F121" s="8" t="s">
        <v>15</v>
      </c>
      <c r="G121" s="4" t="s">
        <v>24</v>
      </c>
      <c r="H121" s="4" t="s">
        <v>12</v>
      </c>
      <c r="I121" s="5" t="s">
        <v>128</v>
      </c>
      <c r="J121" s="7"/>
      <c r="K121" s="15">
        <f>YEAR(Tabla1[[#This Row],[Fecha]])</f>
        <v>2025</v>
      </c>
      <c r="L121" s="15">
        <f>MONTH(Tabla1[[#This Row],[Fecha]])</f>
        <v>12</v>
      </c>
    </row>
    <row r="122" spans="2:12" hidden="1" x14ac:dyDescent="0.25">
      <c r="B122" s="5" t="s">
        <v>248</v>
      </c>
      <c r="C122" s="5" t="s">
        <v>266</v>
      </c>
      <c r="D122" s="5" t="s">
        <v>11</v>
      </c>
      <c r="E122" s="6">
        <v>46013</v>
      </c>
      <c r="F122" s="8" t="s">
        <v>15</v>
      </c>
      <c r="G122" s="4" t="s">
        <v>24</v>
      </c>
      <c r="H122" s="4" t="s">
        <v>184</v>
      </c>
      <c r="I122" s="5" t="s">
        <v>267</v>
      </c>
      <c r="J122" s="7"/>
      <c r="K122" s="15">
        <f>YEAR(Tabla1[[#This Row],[Fecha]])</f>
        <v>2025</v>
      </c>
      <c r="L122" s="15">
        <f>MONTH(Tabla1[[#This Row],[Fecha]])</f>
        <v>12</v>
      </c>
    </row>
    <row r="123" spans="2:12" hidden="1" x14ac:dyDescent="0.25">
      <c r="B123" s="10" t="s">
        <v>49</v>
      </c>
      <c r="C123" s="9" t="s">
        <v>60</v>
      </c>
      <c r="D123" s="5" t="s">
        <v>11</v>
      </c>
      <c r="E123" s="6">
        <v>46009</v>
      </c>
      <c r="F123" s="8" t="s">
        <v>15</v>
      </c>
      <c r="G123" s="4" t="s">
        <v>36</v>
      </c>
      <c r="H123" s="4" t="s">
        <v>72</v>
      </c>
      <c r="I123" s="5" t="s">
        <v>126</v>
      </c>
      <c r="J123" s="7"/>
      <c r="K123" s="15">
        <f>YEAR(Tabla1[[#This Row],[Fecha]])</f>
        <v>2025</v>
      </c>
      <c r="L123" s="15">
        <f>MONTH(Tabla1[[#This Row],[Fecha]])</f>
        <v>12</v>
      </c>
    </row>
    <row r="124" spans="2:12" hidden="1" x14ac:dyDescent="0.25">
      <c r="B124" s="10" t="s">
        <v>49</v>
      </c>
      <c r="C124" s="9" t="s">
        <v>56</v>
      </c>
      <c r="D124" s="5" t="s">
        <v>11</v>
      </c>
      <c r="E124" s="6">
        <v>46009</v>
      </c>
      <c r="F124" s="8" t="s">
        <v>15</v>
      </c>
      <c r="G124" s="4" t="s">
        <v>47</v>
      </c>
      <c r="H124" s="4" t="s">
        <v>41</v>
      </c>
      <c r="I124" s="5" t="s">
        <v>127</v>
      </c>
      <c r="J124" s="7"/>
      <c r="K124" s="15">
        <f>YEAR(Tabla1[[#This Row],[Fecha]])</f>
        <v>2025</v>
      </c>
      <c r="L124" s="15">
        <f>MONTH(Tabla1[[#This Row],[Fecha]])</f>
        <v>12</v>
      </c>
    </row>
    <row r="125" spans="2:12" hidden="1" x14ac:dyDescent="0.25">
      <c r="B125" s="10" t="s">
        <v>49</v>
      </c>
      <c r="C125" s="9" t="s">
        <v>53</v>
      </c>
      <c r="D125" s="5" t="s">
        <v>11</v>
      </c>
      <c r="E125" s="6">
        <v>46008</v>
      </c>
      <c r="F125" s="8" t="s">
        <v>15</v>
      </c>
      <c r="G125" s="4" t="s">
        <v>47</v>
      </c>
      <c r="H125" s="4" t="s">
        <v>121</v>
      </c>
      <c r="I125" s="5" t="s">
        <v>122</v>
      </c>
      <c r="J125" s="7"/>
      <c r="K125" s="15">
        <f>YEAR(Tabla1[[#This Row],[Fecha]])</f>
        <v>2025</v>
      </c>
      <c r="L125" s="15">
        <f>MONTH(Tabla1[[#This Row],[Fecha]])</f>
        <v>12</v>
      </c>
    </row>
    <row r="126" spans="2:12" hidden="1" x14ac:dyDescent="0.25">
      <c r="B126" s="5" t="s">
        <v>9</v>
      </c>
      <c r="C126" s="9" t="s">
        <v>62</v>
      </c>
      <c r="D126" s="5" t="s">
        <v>11</v>
      </c>
      <c r="E126" s="6">
        <v>46001</v>
      </c>
      <c r="F126" s="8" t="s">
        <v>15</v>
      </c>
      <c r="G126" s="4" t="s">
        <v>16</v>
      </c>
      <c r="H126" s="4" t="s">
        <v>74</v>
      </c>
      <c r="I126" s="5" t="s">
        <v>75</v>
      </c>
      <c r="J126" s="7"/>
      <c r="K126" s="15">
        <f>YEAR(Tabla1[[#This Row],[Fecha]])</f>
        <v>2025</v>
      </c>
      <c r="L126" s="15">
        <f>MONTH(Tabla1[[#This Row],[Fecha]])</f>
        <v>12</v>
      </c>
    </row>
    <row r="127" spans="2:12" hidden="1" x14ac:dyDescent="0.25">
      <c r="B127" s="5" t="s">
        <v>9</v>
      </c>
      <c r="C127" s="9" t="s">
        <v>10</v>
      </c>
      <c r="D127" s="5" t="s">
        <v>11</v>
      </c>
      <c r="E127" s="6">
        <v>46001</v>
      </c>
      <c r="F127" s="8" t="s">
        <v>15</v>
      </c>
      <c r="G127" s="4" t="s">
        <v>47</v>
      </c>
      <c r="H127" s="4" t="s">
        <v>41</v>
      </c>
      <c r="I127" s="5" t="s">
        <v>76</v>
      </c>
      <c r="J127" s="7"/>
      <c r="K127" s="15">
        <f>YEAR(Tabla1[[#This Row],[Fecha]])</f>
        <v>2025</v>
      </c>
      <c r="L127" s="15">
        <f>MONTH(Tabla1[[#This Row],[Fecha]])</f>
        <v>12</v>
      </c>
    </row>
    <row r="128" spans="2:12" hidden="1" x14ac:dyDescent="0.25">
      <c r="B128" s="5" t="s">
        <v>9</v>
      </c>
      <c r="C128" s="9" t="s">
        <v>10</v>
      </c>
      <c r="D128" s="5" t="s">
        <v>11</v>
      </c>
      <c r="E128" s="6">
        <v>46001</v>
      </c>
      <c r="F128" s="8" t="s">
        <v>15</v>
      </c>
      <c r="G128" s="4" t="s">
        <v>16</v>
      </c>
      <c r="H128" s="4" t="s">
        <v>77</v>
      </c>
      <c r="I128" s="5" t="s">
        <v>78</v>
      </c>
      <c r="J128" s="7"/>
      <c r="K128" s="15">
        <f>YEAR(Tabla1[[#This Row],[Fecha]])</f>
        <v>2025</v>
      </c>
      <c r="L128" s="15">
        <f>MONTH(Tabla1[[#This Row],[Fecha]])</f>
        <v>12</v>
      </c>
    </row>
    <row r="129" spans="2:12" hidden="1" x14ac:dyDescent="0.25">
      <c r="B129" s="10" t="s">
        <v>49</v>
      </c>
      <c r="C129" s="5" t="s">
        <v>56</v>
      </c>
      <c r="D129" s="5" t="s">
        <v>11</v>
      </c>
      <c r="E129" s="6">
        <v>46001</v>
      </c>
      <c r="F129" s="20" t="s">
        <v>15</v>
      </c>
      <c r="G129" s="20" t="s">
        <v>1685</v>
      </c>
      <c r="H129" s="4"/>
      <c r="I129" s="5" t="s">
        <v>129</v>
      </c>
      <c r="J129" s="5"/>
      <c r="K129" s="22">
        <f>YEAR(Tabla1[[#This Row],[Fecha]])</f>
        <v>2025</v>
      </c>
      <c r="L129" s="22">
        <f>MONTH(Tabla1[[#This Row],[Fecha]])</f>
        <v>12</v>
      </c>
    </row>
    <row r="130" spans="2:12" hidden="1" x14ac:dyDescent="0.25">
      <c r="B130" s="10" t="s">
        <v>49</v>
      </c>
      <c r="C130" s="5" t="s">
        <v>123</v>
      </c>
      <c r="D130" s="5" t="s">
        <v>11</v>
      </c>
      <c r="E130" s="6">
        <v>46000</v>
      </c>
      <c r="F130" s="20" t="s">
        <v>15</v>
      </c>
      <c r="G130" s="20" t="s">
        <v>1685</v>
      </c>
      <c r="H130" s="4"/>
      <c r="I130" s="5" t="s">
        <v>124</v>
      </c>
      <c r="J130" s="5"/>
      <c r="K130" s="22">
        <f>YEAR(Tabla1[[#This Row],[Fecha]])</f>
        <v>2025</v>
      </c>
      <c r="L130" s="22">
        <f>MONTH(Tabla1[[#This Row],[Fecha]])</f>
        <v>12</v>
      </c>
    </row>
    <row r="131" spans="2:12" hidden="1" x14ac:dyDescent="0.25">
      <c r="B131" s="10" t="s">
        <v>49</v>
      </c>
      <c r="C131" s="5" t="s">
        <v>53</v>
      </c>
      <c r="D131" s="5" t="s">
        <v>11</v>
      </c>
      <c r="E131" s="6">
        <v>46000</v>
      </c>
      <c r="F131" s="20" t="s">
        <v>15</v>
      </c>
      <c r="G131" s="20" t="s">
        <v>1685</v>
      </c>
      <c r="H131" s="4"/>
      <c r="I131" s="5" t="s">
        <v>125</v>
      </c>
      <c r="J131" s="5"/>
      <c r="K131" s="22">
        <f>YEAR(Tabla1[[#This Row],[Fecha]])</f>
        <v>2025</v>
      </c>
      <c r="L131" s="22">
        <f>MONTH(Tabla1[[#This Row],[Fecha]])</f>
        <v>12</v>
      </c>
    </row>
    <row r="132" spans="2:12" hidden="1" x14ac:dyDescent="0.25">
      <c r="B132" s="5" t="s">
        <v>9</v>
      </c>
      <c r="C132" s="9" t="s">
        <v>70</v>
      </c>
      <c r="D132" s="5" t="s">
        <v>11</v>
      </c>
      <c r="E132" s="6">
        <v>45996</v>
      </c>
      <c r="F132" s="8" t="s">
        <v>15</v>
      </c>
      <c r="G132" s="4" t="s">
        <v>36</v>
      </c>
      <c r="H132" s="4" t="s">
        <v>37</v>
      </c>
      <c r="I132" s="5" t="s">
        <v>69</v>
      </c>
      <c r="J132" s="7"/>
      <c r="K132" s="15">
        <f>YEAR(Tabla1[[#This Row],[Fecha]])</f>
        <v>2025</v>
      </c>
      <c r="L132" s="15">
        <f>MONTH(Tabla1[[#This Row],[Fecha]])</f>
        <v>12</v>
      </c>
    </row>
    <row r="133" spans="2:12" hidden="1" x14ac:dyDescent="0.25">
      <c r="B133" s="5" t="s">
        <v>9</v>
      </c>
      <c r="C133" s="9" t="s">
        <v>71</v>
      </c>
      <c r="D133" s="5" t="s">
        <v>11</v>
      </c>
      <c r="E133" s="6">
        <v>45996</v>
      </c>
      <c r="F133" s="8" t="s">
        <v>15</v>
      </c>
      <c r="G133" s="4" t="s">
        <v>36</v>
      </c>
      <c r="H133" s="4" t="s">
        <v>72</v>
      </c>
      <c r="I133" s="5" t="s">
        <v>73</v>
      </c>
      <c r="J133" s="7"/>
      <c r="K133" s="15">
        <f>YEAR(Tabla1[[#This Row],[Fecha]])</f>
        <v>2025</v>
      </c>
      <c r="L133" s="15">
        <f>MONTH(Tabla1[[#This Row],[Fecha]])</f>
        <v>12</v>
      </c>
    </row>
    <row r="134" spans="2:12" hidden="1" x14ac:dyDescent="0.25">
      <c r="B134" s="5" t="s">
        <v>133</v>
      </c>
      <c r="C134" s="9" t="s">
        <v>134</v>
      </c>
      <c r="D134" s="5" t="s">
        <v>11</v>
      </c>
      <c r="E134" s="6">
        <v>45996</v>
      </c>
      <c r="F134" s="8" t="s">
        <v>15</v>
      </c>
      <c r="G134" s="4" t="s">
        <v>135</v>
      </c>
      <c r="H134" s="4" t="s">
        <v>136</v>
      </c>
      <c r="I134" s="5" t="s">
        <v>137</v>
      </c>
      <c r="J134" s="7"/>
      <c r="K134" s="15">
        <f>YEAR(Tabla1[[#This Row],[Fecha]])</f>
        <v>2025</v>
      </c>
      <c r="L134" s="15">
        <f>MONTH(Tabla1[[#This Row],[Fecha]])</f>
        <v>12</v>
      </c>
    </row>
    <row r="135" spans="2:12" hidden="1" x14ac:dyDescent="0.25">
      <c r="B135" s="5" t="s">
        <v>39</v>
      </c>
      <c r="C135" s="9" t="s">
        <v>40</v>
      </c>
      <c r="D135" s="5" t="s">
        <v>11</v>
      </c>
      <c r="E135" s="6">
        <v>45995</v>
      </c>
      <c r="F135" s="8" t="s">
        <v>15</v>
      </c>
      <c r="G135" s="4" t="s">
        <v>16</v>
      </c>
      <c r="H135" s="4" t="s">
        <v>41</v>
      </c>
      <c r="I135" s="5" t="s">
        <v>139</v>
      </c>
      <c r="J135" s="7"/>
      <c r="K135" s="15">
        <f>YEAR(Tabla1[[#This Row],[Fecha]])</f>
        <v>2025</v>
      </c>
      <c r="L135" s="15">
        <f>MONTH(Tabla1[[#This Row],[Fecha]])</f>
        <v>12</v>
      </c>
    </row>
    <row r="136" spans="2:12" hidden="1" x14ac:dyDescent="0.25">
      <c r="B136" s="5" t="s">
        <v>19</v>
      </c>
      <c r="C136" s="9" t="s">
        <v>160</v>
      </c>
      <c r="D136" s="5" t="s">
        <v>11</v>
      </c>
      <c r="E136" s="6">
        <v>45982</v>
      </c>
      <c r="F136" s="8" t="s">
        <v>91</v>
      </c>
      <c r="G136" s="4" t="s">
        <v>16</v>
      </c>
      <c r="H136" s="4" t="s">
        <v>118</v>
      </c>
      <c r="I136" s="5" t="s">
        <v>166</v>
      </c>
      <c r="J136" s="7"/>
      <c r="K136" s="15">
        <f>YEAR(Tabla1[[#This Row],[Fecha]])</f>
        <v>2025</v>
      </c>
      <c r="L136" s="15">
        <f>MONTH(Tabla1[[#This Row],[Fecha]])</f>
        <v>11</v>
      </c>
    </row>
    <row r="137" spans="2:12" ht="15.75" hidden="1" x14ac:dyDescent="0.25">
      <c r="B137" s="5" t="s">
        <v>19</v>
      </c>
      <c r="C137" s="9" t="s">
        <v>20</v>
      </c>
      <c r="D137" s="5" t="s">
        <v>11</v>
      </c>
      <c r="E137" s="6">
        <v>45981</v>
      </c>
      <c r="F137" s="8" t="s">
        <v>91</v>
      </c>
      <c r="G137" s="4" t="s">
        <v>16</v>
      </c>
      <c r="H137" s="27" t="s">
        <v>118</v>
      </c>
      <c r="I137" s="5" t="s">
        <v>166</v>
      </c>
      <c r="J137" s="7"/>
      <c r="K137" s="15">
        <f>YEAR(Tabla1[[#This Row],[Fecha]])</f>
        <v>2025</v>
      </c>
      <c r="L137" s="15">
        <f>MONTH(Tabla1[[#This Row],[Fecha]])</f>
        <v>11</v>
      </c>
    </row>
    <row r="138" spans="2:12" hidden="1" x14ac:dyDescent="0.25">
      <c r="B138" s="10" t="s">
        <v>49</v>
      </c>
      <c r="C138" s="9" t="s">
        <v>66</v>
      </c>
      <c r="D138" s="5" t="s">
        <v>11</v>
      </c>
      <c r="E138" s="6">
        <v>45980</v>
      </c>
      <c r="F138" s="8" t="s">
        <v>15</v>
      </c>
      <c r="G138" s="4" t="s">
        <v>16</v>
      </c>
      <c r="H138" s="4" t="s">
        <v>63</v>
      </c>
      <c r="I138" s="5" t="s">
        <v>67</v>
      </c>
      <c r="J138" s="7"/>
      <c r="K138" s="15">
        <f>YEAR(Tabla1[[#This Row],[Fecha]])</f>
        <v>2025</v>
      </c>
      <c r="L138" s="15">
        <f>MONTH(Tabla1[[#This Row],[Fecha]])</f>
        <v>11</v>
      </c>
    </row>
    <row r="139" spans="2:12" hidden="1" x14ac:dyDescent="0.25">
      <c r="B139" s="5" t="s">
        <v>9</v>
      </c>
      <c r="C139" s="9" t="s">
        <v>68</v>
      </c>
      <c r="D139" s="5" t="s">
        <v>11</v>
      </c>
      <c r="E139" s="6">
        <v>45979</v>
      </c>
      <c r="F139" s="8" t="s">
        <v>15</v>
      </c>
      <c r="G139" s="4" t="s">
        <v>36</v>
      </c>
      <c r="H139" s="4" t="s">
        <v>37</v>
      </c>
      <c r="I139" s="5" t="s">
        <v>69</v>
      </c>
      <c r="J139" s="7"/>
      <c r="K139" s="15">
        <f>YEAR(Tabla1[[#This Row],[Fecha]])</f>
        <v>2025</v>
      </c>
      <c r="L139" s="15">
        <f>MONTH(Tabla1[[#This Row],[Fecha]])</f>
        <v>11</v>
      </c>
    </row>
    <row r="140" spans="2:12" hidden="1" x14ac:dyDescent="0.25">
      <c r="B140" s="10" t="s">
        <v>49</v>
      </c>
      <c r="C140" s="9" t="s">
        <v>50</v>
      </c>
      <c r="D140" s="5" t="s">
        <v>11</v>
      </c>
      <c r="E140" s="6">
        <v>45979</v>
      </c>
      <c r="F140" s="8" t="s">
        <v>15</v>
      </c>
      <c r="G140" s="4" t="s">
        <v>16</v>
      </c>
      <c r="H140" s="4" t="s">
        <v>34</v>
      </c>
      <c r="I140" s="5" t="s">
        <v>113</v>
      </c>
      <c r="J140" s="7"/>
      <c r="K140" s="15">
        <f>YEAR(Tabla1[[#This Row],[Fecha]])</f>
        <v>2025</v>
      </c>
      <c r="L140" s="15">
        <f>MONTH(Tabla1[[#This Row],[Fecha]])</f>
        <v>11</v>
      </c>
    </row>
    <row r="141" spans="2:12" hidden="1" x14ac:dyDescent="0.25">
      <c r="B141" s="10" t="s">
        <v>49</v>
      </c>
      <c r="C141" s="9" t="s">
        <v>56</v>
      </c>
      <c r="D141" s="5" t="s">
        <v>11</v>
      </c>
      <c r="E141" s="6">
        <v>45975</v>
      </c>
      <c r="F141" s="8" t="s">
        <v>15</v>
      </c>
      <c r="G141" s="4" t="s">
        <v>47</v>
      </c>
      <c r="H141" s="4" t="s">
        <v>41</v>
      </c>
      <c r="I141" s="5" t="s">
        <v>114</v>
      </c>
      <c r="J141" s="7"/>
      <c r="K141" s="15">
        <f>YEAR(Tabla1[[#This Row],[Fecha]])</f>
        <v>2025</v>
      </c>
      <c r="L141" s="15">
        <f>MONTH(Tabla1[[#This Row],[Fecha]])</f>
        <v>11</v>
      </c>
    </row>
    <row r="142" spans="2:12" hidden="1" x14ac:dyDescent="0.25">
      <c r="B142" s="5" t="s">
        <v>45</v>
      </c>
      <c r="C142" s="9" t="s">
        <v>130</v>
      </c>
      <c r="D142" s="5" t="s">
        <v>131</v>
      </c>
      <c r="E142" s="6">
        <v>45961</v>
      </c>
      <c r="F142" s="8" t="s">
        <v>15</v>
      </c>
      <c r="G142" s="4" t="s">
        <v>16</v>
      </c>
      <c r="H142" s="4" t="s">
        <v>74</v>
      </c>
      <c r="I142" s="5" t="s">
        <v>132</v>
      </c>
      <c r="J142" s="7"/>
      <c r="K142" s="15">
        <f>YEAR(Tabla1[[#This Row],[Fecha]])</f>
        <v>2025</v>
      </c>
      <c r="L142" s="15">
        <f>MONTH(Tabla1[[#This Row],[Fecha]])</f>
        <v>10</v>
      </c>
    </row>
    <row r="143" spans="2:12" hidden="1" x14ac:dyDescent="0.25">
      <c r="B143" s="5" t="s">
        <v>45</v>
      </c>
      <c r="C143" s="9" t="s">
        <v>130</v>
      </c>
      <c r="D143" s="5" t="s">
        <v>131</v>
      </c>
      <c r="E143" s="6">
        <v>45961</v>
      </c>
      <c r="F143" s="8" t="s">
        <v>15</v>
      </c>
      <c r="G143" s="4" t="s">
        <v>16</v>
      </c>
      <c r="H143" s="4" t="s">
        <v>74</v>
      </c>
      <c r="I143" s="5" t="s">
        <v>132</v>
      </c>
      <c r="J143" s="7"/>
      <c r="K143" s="15">
        <f>YEAR(Tabla1[[#This Row],[Fecha]])</f>
        <v>2025</v>
      </c>
      <c r="L143" s="15">
        <f>MONTH(Tabla1[[#This Row],[Fecha]])</f>
        <v>10</v>
      </c>
    </row>
    <row r="144" spans="2:12" hidden="1" x14ac:dyDescent="0.25">
      <c r="B144" s="5" t="s">
        <v>181</v>
      </c>
      <c r="C144" s="5" t="s">
        <v>209</v>
      </c>
      <c r="D144" s="5" t="s">
        <v>11</v>
      </c>
      <c r="E144" s="6">
        <v>45958</v>
      </c>
      <c r="F144" s="8" t="s">
        <v>15</v>
      </c>
      <c r="G144" s="4" t="s">
        <v>47</v>
      </c>
      <c r="H144" s="4" t="s">
        <v>41</v>
      </c>
      <c r="I144" s="5" t="s">
        <v>259</v>
      </c>
      <c r="J144" s="7"/>
      <c r="K144" s="15">
        <f>YEAR(Tabla1[[#This Row],[Fecha]])</f>
        <v>2025</v>
      </c>
      <c r="L144" s="15">
        <f>MONTH(Tabla1[[#This Row],[Fecha]])</f>
        <v>10</v>
      </c>
    </row>
    <row r="145" spans="2:12" hidden="1" x14ac:dyDescent="0.25">
      <c r="B145" s="5" t="s">
        <v>181</v>
      </c>
      <c r="C145" s="5" t="s">
        <v>182</v>
      </c>
      <c r="D145" s="5" t="s">
        <v>11</v>
      </c>
      <c r="E145" s="6">
        <v>45958</v>
      </c>
      <c r="F145" s="8" t="s">
        <v>15</v>
      </c>
      <c r="G145" s="4" t="s">
        <v>36</v>
      </c>
      <c r="H145" s="4" t="s">
        <v>145</v>
      </c>
      <c r="I145" s="5" t="s">
        <v>260</v>
      </c>
      <c r="J145" s="7"/>
      <c r="K145" s="15">
        <f>YEAR(Tabla1[[#This Row],[Fecha]])</f>
        <v>2025</v>
      </c>
      <c r="L145" s="15">
        <f>MONTH(Tabla1[[#This Row],[Fecha]])</f>
        <v>10</v>
      </c>
    </row>
    <row r="146" spans="2:12" hidden="1" x14ac:dyDescent="0.25">
      <c r="B146" s="5" t="s">
        <v>181</v>
      </c>
      <c r="C146" s="5" t="s">
        <v>182</v>
      </c>
      <c r="D146" s="5" t="s">
        <v>131</v>
      </c>
      <c r="E146" s="6">
        <v>45954</v>
      </c>
      <c r="F146" s="8" t="s">
        <v>15</v>
      </c>
      <c r="G146" s="4" t="s">
        <v>16</v>
      </c>
      <c r="H146" s="4" t="s">
        <v>17</v>
      </c>
      <c r="I146" s="5" t="s">
        <v>258</v>
      </c>
      <c r="J146" s="7"/>
      <c r="K146" s="15">
        <f>YEAR(Tabla1[[#This Row],[Fecha]])</f>
        <v>2025</v>
      </c>
      <c r="L146" s="15">
        <f>MONTH(Tabla1[[#This Row],[Fecha]])</f>
        <v>10</v>
      </c>
    </row>
    <row r="147" spans="2:12" hidden="1" x14ac:dyDescent="0.25">
      <c r="B147" s="5" t="s">
        <v>9</v>
      </c>
      <c r="C147" s="9" t="s">
        <v>62</v>
      </c>
      <c r="D147" s="5" t="s">
        <v>11</v>
      </c>
      <c r="E147" s="6">
        <v>45947</v>
      </c>
      <c r="F147" s="8" t="s">
        <v>15</v>
      </c>
      <c r="G147" s="4" t="s">
        <v>16</v>
      </c>
      <c r="H147" s="4" t="s">
        <v>63</v>
      </c>
      <c r="I147" s="5" t="s">
        <v>64</v>
      </c>
      <c r="J147" s="7"/>
      <c r="K147" s="15">
        <f>YEAR(Tabla1[[#This Row],[Fecha]])</f>
        <v>2025</v>
      </c>
      <c r="L147" s="15">
        <f>MONTH(Tabla1[[#This Row],[Fecha]])</f>
        <v>10</v>
      </c>
    </row>
    <row r="148" spans="2:12" hidden="1" x14ac:dyDescent="0.25">
      <c r="B148" s="10" t="s">
        <v>49</v>
      </c>
      <c r="C148" s="9" t="s">
        <v>50</v>
      </c>
      <c r="D148" s="5" t="s">
        <v>11</v>
      </c>
      <c r="E148" s="6">
        <v>45946</v>
      </c>
      <c r="F148" s="8" t="s">
        <v>15</v>
      </c>
      <c r="G148" s="4" t="s">
        <v>24</v>
      </c>
      <c r="H148" s="4" t="s">
        <v>51</v>
      </c>
      <c r="I148" s="5" t="s">
        <v>52</v>
      </c>
      <c r="J148" s="7"/>
      <c r="K148" s="15">
        <f>YEAR(Tabla1[[#This Row],[Fecha]])</f>
        <v>2025</v>
      </c>
      <c r="L148" s="15">
        <f>MONTH(Tabla1[[#This Row],[Fecha]])</f>
        <v>10</v>
      </c>
    </row>
    <row r="149" spans="2:12" hidden="1" x14ac:dyDescent="0.25">
      <c r="B149" s="10" t="s">
        <v>49</v>
      </c>
      <c r="C149" s="9" t="s">
        <v>53</v>
      </c>
      <c r="D149" s="5" t="s">
        <v>11</v>
      </c>
      <c r="E149" s="6">
        <v>45946</v>
      </c>
      <c r="F149" s="8" t="s">
        <v>15</v>
      </c>
      <c r="G149" s="4" t="s">
        <v>24</v>
      </c>
      <c r="H149" s="4" t="s">
        <v>51</v>
      </c>
      <c r="I149" s="5" t="s">
        <v>54</v>
      </c>
      <c r="J149" s="7"/>
      <c r="K149" s="15">
        <f>YEAR(Tabla1[[#This Row],[Fecha]])</f>
        <v>2025</v>
      </c>
      <c r="L149" s="15">
        <f>MONTH(Tabla1[[#This Row],[Fecha]])</f>
        <v>10</v>
      </c>
    </row>
    <row r="150" spans="2:12" hidden="1" x14ac:dyDescent="0.25">
      <c r="B150" s="5" t="s">
        <v>193</v>
      </c>
      <c r="C150" s="9" t="s">
        <v>194</v>
      </c>
      <c r="D150" s="5" t="s">
        <v>11</v>
      </c>
      <c r="E150" s="6">
        <v>45946</v>
      </c>
      <c r="F150" s="8" t="s">
        <v>15</v>
      </c>
      <c r="G150" s="4" t="s">
        <v>47</v>
      </c>
      <c r="H150" s="4" t="s">
        <v>195</v>
      </c>
      <c r="I150" s="5" t="s">
        <v>196</v>
      </c>
      <c r="J150" s="7"/>
      <c r="K150" s="15">
        <f>YEAR(Tabla1[[#This Row],[Fecha]])</f>
        <v>2025</v>
      </c>
      <c r="L150" s="15">
        <f>MONTH(Tabla1[[#This Row],[Fecha]])</f>
        <v>10</v>
      </c>
    </row>
    <row r="151" spans="2:12" hidden="1" x14ac:dyDescent="0.25">
      <c r="B151" s="10" t="s">
        <v>49</v>
      </c>
      <c r="C151" s="9" t="s">
        <v>57</v>
      </c>
      <c r="D151" s="5" t="s">
        <v>11</v>
      </c>
      <c r="E151" s="6">
        <v>45940</v>
      </c>
      <c r="F151" s="8" t="s">
        <v>15</v>
      </c>
      <c r="G151" s="4" t="s">
        <v>36</v>
      </c>
      <c r="H151" s="4" t="s">
        <v>37</v>
      </c>
      <c r="I151" s="5" t="s">
        <v>59</v>
      </c>
      <c r="J151" s="7"/>
      <c r="K151" s="15">
        <f>YEAR(Tabla1[[#This Row],[Fecha]])</f>
        <v>2025</v>
      </c>
      <c r="L151" s="15">
        <f>MONTH(Tabla1[[#This Row],[Fecha]])</f>
        <v>10</v>
      </c>
    </row>
    <row r="152" spans="2:12" hidden="1" x14ac:dyDescent="0.25">
      <c r="B152" s="10" t="s">
        <v>49</v>
      </c>
      <c r="C152" s="9" t="s">
        <v>60</v>
      </c>
      <c r="D152" s="5" t="s">
        <v>11</v>
      </c>
      <c r="E152" s="6">
        <v>45940</v>
      </c>
      <c r="F152" s="8" t="s">
        <v>15</v>
      </c>
      <c r="G152" s="4" t="s">
        <v>36</v>
      </c>
      <c r="H152" s="4" t="s">
        <v>37</v>
      </c>
      <c r="I152" s="5" t="s">
        <v>59</v>
      </c>
      <c r="J152" s="7"/>
      <c r="K152" s="15">
        <f>YEAR(Tabla1[[#This Row],[Fecha]])</f>
        <v>2025</v>
      </c>
      <c r="L152" s="15">
        <f>MONTH(Tabla1[[#This Row],[Fecha]])</f>
        <v>10</v>
      </c>
    </row>
    <row r="153" spans="2:12" hidden="1" x14ac:dyDescent="0.25">
      <c r="B153" s="5" t="s">
        <v>181</v>
      </c>
      <c r="C153" s="5" t="s">
        <v>209</v>
      </c>
      <c r="D153" s="5" t="s">
        <v>11</v>
      </c>
      <c r="E153" s="6">
        <v>45938</v>
      </c>
      <c r="F153" s="8" t="s">
        <v>15</v>
      </c>
      <c r="G153" s="4" t="s">
        <v>47</v>
      </c>
      <c r="H153" s="8"/>
      <c r="I153" s="5" t="s">
        <v>271</v>
      </c>
      <c r="J153" s="7"/>
      <c r="K153" s="15">
        <f>YEAR(Tabla1[[#This Row],[Fecha]])</f>
        <v>2025</v>
      </c>
      <c r="L153" s="15">
        <f>MONTH(Tabla1[[#This Row],[Fecha]])</f>
        <v>10</v>
      </c>
    </row>
    <row r="154" spans="2:12" hidden="1" x14ac:dyDescent="0.25">
      <c r="B154" s="5" t="s">
        <v>181</v>
      </c>
      <c r="C154" s="5" t="s">
        <v>182</v>
      </c>
      <c r="D154" s="5" t="s">
        <v>11</v>
      </c>
      <c r="E154" s="6">
        <v>45938</v>
      </c>
      <c r="F154" s="8" t="s">
        <v>15</v>
      </c>
      <c r="G154" s="4" t="s">
        <v>16</v>
      </c>
      <c r="H154" s="4" t="s">
        <v>17</v>
      </c>
      <c r="I154" s="5" t="s">
        <v>272</v>
      </c>
      <c r="J154" s="7"/>
      <c r="K154" s="15">
        <f>YEAR(Tabla1[[#This Row],[Fecha]])</f>
        <v>2025</v>
      </c>
      <c r="L154" s="15">
        <f>MONTH(Tabla1[[#This Row],[Fecha]])</f>
        <v>10</v>
      </c>
    </row>
    <row r="155" spans="2:12" hidden="1" x14ac:dyDescent="0.25">
      <c r="B155" s="5" t="s">
        <v>45</v>
      </c>
      <c r="C155" s="5" t="s">
        <v>130</v>
      </c>
      <c r="D155" s="5" t="s">
        <v>11</v>
      </c>
      <c r="E155" s="6">
        <v>45938</v>
      </c>
      <c r="F155" s="8" t="s">
        <v>15</v>
      </c>
      <c r="G155" s="31" t="s">
        <v>24</v>
      </c>
      <c r="H155" s="31" t="s">
        <v>1823</v>
      </c>
      <c r="I155" s="5" t="s">
        <v>282</v>
      </c>
      <c r="J155" s="7"/>
      <c r="K155" s="15">
        <f>YEAR(Tabla1[[#This Row],[Fecha]])</f>
        <v>2025</v>
      </c>
      <c r="L155" s="15">
        <f>MONTH(Tabla1[[#This Row],[Fecha]])</f>
        <v>10</v>
      </c>
    </row>
    <row r="156" spans="2:12" hidden="1" x14ac:dyDescent="0.25">
      <c r="B156" s="5" t="s">
        <v>39</v>
      </c>
      <c r="C156" s="9" t="s">
        <v>40</v>
      </c>
      <c r="D156" s="5" t="s">
        <v>11</v>
      </c>
      <c r="E156" s="6">
        <v>45937</v>
      </c>
      <c r="F156" s="8" t="s">
        <v>15</v>
      </c>
      <c r="G156" s="4" t="s">
        <v>16</v>
      </c>
      <c r="H156" s="4" t="s">
        <v>43</v>
      </c>
      <c r="I156" s="5" t="s">
        <v>44</v>
      </c>
      <c r="J156" s="7"/>
      <c r="K156" s="15">
        <f>YEAR(Tabla1[[#This Row],[Fecha]])</f>
        <v>2025</v>
      </c>
      <c r="L156" s="15">
        <f>MONTH(Tabla1[[#This Row],[Fecha]])</f>
        <v>10</v>
      </c>
    </row>
    <row r="157" spans="2:12" hidden="1" x14ac:dyDescent="0.25">
      <c r="B157" s="5" t="s">
        <v>9</v>
      </c>
      <c r="C157" s="5" t="s">
        <v>68</v>
      </c>
      <c r="D157" s="5" t="s">
        <v>280</v>
      </c>
      <c r="E157" s="6">
        <v>45937</v>
      </c>
      <c r="F157" s="8" t="s">
        <v>15</v>
      </c>
      <c r="G157" s="4" t="s">
        <v>16</v>
      </c>
      <c r="H157" s="4" t="s">
        <v>63</v>
      </c>
      <c r="I157" s="5" t="s">
        <v>281</v>
      </c>
      <c r="J157" s="7"/>
      <c r="K157" s="15">
        <f>YEAR(Tabla1[[#This Row],[Fecha]])</f>
        <v>2025</v>
      </c>
      <c r="L157" s="15">
        <f>MONTH(Tabla1[[#This Row],[Fecha]])</f>
        <v>10</v>
      </c>
    </row>
    <row r="158" spans="2:12" hidden="1" x14ac:dyDescent="0.25">
      <c r="B158" s="5" t="s">
        <v>27</v>
      </c>
      <c r="C158" s="9" t="s">
        <v>28</v>
      </c>
      <c r="D158" s="5" t="s">
        <v>11</v>
      </c>
      <c r="E158" s="6">
        <v>45917</v>
      </c>
      <c r="F158" s="8" t="s">
        <v>15</v>
      </c>
      <c r="G158" s="4" t="s">
        <v>103</v>
      </c>
      <c r="H158" s="8" t="s">
        <v>298</v>
      </c>
      <c r="I158" s="5" t="s">
        <v>1682</v>
      </c>
      <c r="J158" s="7"/>
      <c r="K158" s="15">
        <f>YEAR(Tabla1[[#This Row],[Fecha]])</f>
        <v>2025</v>
      </c>
      <c r="L158" s="15">
        <f>MONTH(Tabla1[[#This Row],[Fecha]])</f>
        <v>9</v>
      </c>
    </row>
    <row r="159" spans="2:12" hidden="1" x14ac:dyDescent="0.25">
      <c r="B159" s="5" t="s">
        <v>181</v>
      </c>
      <c r="C159" s="5" t="s">
        <v>182</v>
      </c>
      <c r="D159" s="5" t="s">
        <v>11</v>
      </c>
      <c r="E159" s="6">
        <v>45915</v>
      </c>
      <c r="F159" s="8" t="s">
        <v>15</v>
      </c>
      <c r="G159" s="4" t="s">
        <v>16</v>
      </c>
      <c r="H159" s="4" t="s">
        <v>97</v>
      </c>
      <c r="I159" s="5" t="s">
        <v>270</v>
      </c>
      <c r="J159" s="7"/>
      <c r="K159" s="15">
        <f>YEAR(Tabla1[[#This Row],[Fecha]])</f>
        <v>2025</v>
      </c>
      <c r="L159" s="15">
        <f>MONTH(Tabla1[[#This Row],[Fecha]])</f>
        <v>9</v>
      </c>
    </row>
    <row r="160" spans="2:12" hidden="1" x14ac:dyDescent="0.25">
      <c r="B160" s="5" t="s">
        <v>190</v>
      </c>
      <c r="C160" s="5" t="s">
        <v>287</v>
      </c>
      <c r="D160" s="5" t="s">
        <v>11</v>
      </c>
      <c r="E160" s="6">
        <v>45909</v>
      </c>
      <c r="F160" s="8" t="s">
        <v>91</v>
      </c>
      <c r="G160" s="8" t="s">
        <v>16</v>
      </c>
      <c r="H160" s="8" t="s">
        <v>34</v>
      </c>
      <c r="I160" s="5" t="s">
        <v>288</v>
      </c>
      <c r="J160" s="7"/>
      <c r="K160" s="15">
        <f>YEAR(Tabla1[[#This Row],[Fecha]])</f>
        <v>2025</v>
      </c>
      <c r="L160" s="15">
        <f>MONTH(Tabla1[[#This Row],[Fecha]])</f>
        <v>9</v>
      </c>
    </row>
    <row r="161" spans="2:12" hidden="1" x14ac:dyDescent="0.25">
      <c r="B161" s="5" t="s">
        <v>27</v>
      </c>
      <c r="C161" s="9" t="s">
        <v>28</v>
      </c>
      <c r="D161" s="5" t="s">
        <v>11</v>
      </c>
      <c r="E161" s="6">
        <v>45908</v>
      </c>
      <c r="F161" s="8" t="s">
        <v>15</v>
      </c>
      <c r="G161" s="4" t="s">
        <v>24</v>
      </c>
      <c r="H161" s="4" t="s">
        <v>29</v>
      </c>
      <c r="I161" s="5" t="s">
        <v>31</v>
      </c>
      <c r="J161" s="7"/>
      <c r="K161" s="15">
        <f>YEAR(Tabla1[[#This Row],[Fecha]])</f>
        <v>2025</v>
      </c>
      <c r="L161" s="15">
        <f>MONTH(Tabla1[[#This Row],[Fecha]])</f>
        <v>9</v>
      </c>
    </row>
    <row r="162" spans="2:12" hidden="1" x14ac:dyDescent="0.25">
      <c r="B162" s="5" t="s">
        <v>284</v>
      </c>
      <c r="C162" s="5" t="s">
        <v>285</v>
      </c>
      <c r="D162" s="5" t="s">
        <v>11</v>
      </c>
      <c r="E162" s="6">
        <v>45908</v>
      </c>
      <c r="F162" s="8" t="s">
        <v>15</v>
      </c>
      <c r="G162" s="4" t="s">
        <v>36</v>
      </c>
      <c r="H162" s="4" t="s">
        <v>145</v>
      </c>
      <c r="I162" s="5" t="s">
        <v>286</v>
      </c>
      <c r="J162" s="7"/>
      <c r="K162" s="15">
        <f>YEAR(Tabla1[[#This Row],[Fecha]])</f>
        <v>2025</v>
      </c>
      <c r="L162" s="15">
        <f>MONTH(Tabla1[[#This Row],[Fecha]])</f>
        <v>9</v>
      </c>
    </row>
    <row r="163" spans="2:12" hidden="1" x14ac:dyDescent="0.25">
      <c r="B163" s="5" t="s">
        <v>9</v>
      </c>
      <c r="C163" s="9" t="s">
        <v>62</v>
      </c>
      <c r="D163" s="5" t="s">
        <v>11</v>
      </c>
      <c r="E163" s="6">
        <v>45907</v>
      </c>
      <c r="F163" s="8" t="s">
        <v>15</v>
      </c>
      <c r="G163" s="4" t="s">
        <v>16</v>
      </c>
      <c r="H163" s="4" t="s">
        <v>63</v>
      </c>
      <c r="I163" s="5" t="s">
        <v>65</v>
      </c>
      <c r="J163" s="7"/>
      <c r="K163" s="15">
        <f>YEAR(Tabla1[[#This Row],[Fecha]])</f>
        <v>2025</v>
      </c>
      <c r="L163" s="15">
        <f>MONTH(Tabla1[[#This Row],[Fecha]])</f>
        <v>9</v>
      </c>
    </row>
    <row r="164" spans="2:12" hidden="1" x14ac:dyDescent="0.25">
      <c r="B164" s="5" t="s">
        <v>27</v>
      </c>
      <c r="C164" s="9" t="s">
        <v>28</v>
      </c>
      <c r="D164" s="5" t="s">
        <v>11</v>
      </c>
      <c r="E164" s="6">
        <v>45902</v>
      </c>
      <c r="F164" s="8" t="s">
        <v>15</v>
      </c>
      <c r="G164" s="4" t="s">
        <v>24</v>
      </c>
      <c r="H164" s="4" t="s">
        <v>29</v>
      </c>
      <c r="I164" s="5" t="s">
        <v>30</v>
      </c>
      <c r="J164" s="7"/>
      <c r="K164" s="15">
        <f>YEAR(Tabla1[[#This Row],[Fecha]])</f>
        <v>2025</v>
      </c>
      <c r="L164" s="15">
        <f>MONTH(Tabla1[[#This Row],[Fecha]])</f>
        <v>9</v>
      </c>
    </row>
    <row r="165" spans="2:12" hidden="1" x14ac:dyDescent="0.25">
      <c r="B165" s="5" t="s">
        <v>19</v>
      </c>
      <c r="C165" s="5" t="s">
        <v>160</v>
      </c>
      <c r="D165" s="5" t="s">
        <v>11</v>
      </c>
      <c r="E165" s="6">
        <v>45902</v>
      </c>
      <c r="F165" s="4" t="s">
        <v>15</v>
      </c>
      <c r="G165" s="4" t="s">
        <v>108</v>
      </c>
      <c r="H165" s="4"/>
      <c r="I165" s="5" t="s">
        <v>283</v>
      </c>
      <c r="J165" s="5"/>
      <c r="K165" s="22">
        <f>YEAR(Tabla1[[#This Row],[Fecha]])</f>
        <v>2025</v>
      </c>
      <c r="L165" s="22">
        <f>MONTH(Tabla1[[#This Row],[Fecha]])</f>
        <v>9</v>
      </c>
    </row>
    <row r="166" spans="2:12" hidden="1" x14ac:dyDescent="0.25">
      <c r="B166" s="5" t="s">
        <v>284</v>
      </c>
      <c r="C166" s="5" t="s">
        <v>285</v>
      </c>
      <c r="D166" s="5" t="s">
        <v>11</v>
      </c>
      <c r="E166" s="6">
        <v>45902</v>
      </c>
      <c r="F166" s="8" t="s">
        <v>15</v>
      </c>
      <c r="G166" s="4" t="s">
        <v>135</v>
      </c>
      <c r="H166" s="4" t="s">
        <v>37</v>
      </c>
      <c r="I166" s="7"/>
      <c r="J166" s="7"/>
      <c r="K166" s="15">
        <f>YEAR(Tabla1[[#This Row],[Fecha]])</f>
        <v>2025</v>
      </c>
      <c r="L166" s="15">
        <f>MONTH(Tabla1[[#This Row],[Fecha]])</f>
        <v>9</v>
      </c>
    </row>
    <row r="167" spans="2:12" hidden="1" x14ac:dyDescent="0.25">
      <c r="B167" s="5" t="s">
        <v>248</v>
      </c>
      <c r="C167" s="5" t="s">
        <v>276</v>
      </c>
      <c r="D167" s="5" t="s">
        <v>11</v>
      </c>
      <c r="E167" s="6">
        <v>45902</v>
      </c>
      <c r="F167" s="8" t="s">
        <v>15</v>
      </c>
      <c r="G167" s="4" t="s">
        <v>24</v>
      </c>
      <c r="H167" s="4" t="s">
        <v>51</v>
      </c>
      <c r="I167" s="5" t="s">
        <v>277</v>
      </c>
      <c r="J167" s="7"/>
      <c r="K167" s="15">
        <f>YEAR(Tabla1[[#This Row],[Fecha]])</f>
        <v>2025</v>
      </c>
      <c r="L167" s="15">
        <f>MONTH(Tabla1[[#This Row],[Fecha]])</f>
        <v>9</v>
      </c>
    </row>
    <row r="168" spans="2:12" hidden="1" x14ac:dyDescent="0.25">
      <c r="B168" s="5" t="s">
        <v>45</v>
      </c>
      <c r="C168" s="9" t="s">
        <v>46</v>
      </c>
      <c r="D168" s="5" t="s">
        <v>11</v>
      </c>
      <c r="E168" s="6">
        <v>45901</v>
      </c>
      <c r="F168" s="8" t="s">
        <v>15</v>
      </c>
      <c r="G168" s="4" t="s">
        <v>47</v>
      </c>
      <c r="H168" s="4" t="s">
        <v>41</v>
      </c>
      <c r="I168" s="5" t="s">
        <v>48</v>
      </c>
      <c r="J168" s="7"/>
      <c r="K168" s="15">
        <f>YEAR(Tabla1[[#This Row],[Fecha]])</f>
        <v>2025</v>
      </c>
      <c r="L168" s="15">
        <f>MONTH(Tabla1[[#This Row],[Fecha]])</f>
        <v>9</v>
      </c>
    </row>
    <row r="169" spans="2:12" hidden="1" x14ac:dyDescent="0.25">
      <c r="B169" s="10" t="s">
        <v>49</v>
      </c>
      <c r="C169" s="9" t="s">
        <v>56</v>
      </c>
      <c r="D169" s="5" t="s">
        <v>11</v>
      </c>
      <c r="E169" s="6">
        <v>45901</v>
      </c>
      <c r="F169" s="8" t="s">
        <v>15</v>
      </c>
      <c r="G169" s="4" t="s">
        <v>47</v>
      </c>
      <c r="H169" s="4" t="s">
        <v>41</v>
      </c>
      <c r="I169" s="5" t="s">
        <v>55</v>
      </c>
      <c r="J169" s="7"/>
      <c r="K169" s="15">
        <f>YEAR(Tabla1[[#This Row],[Fecha]])</f>
        <v>2025</v>
      </c>
      <c r="L169" s="15">
        <f>MONTH(Tabla1[[#This Row],[Fecha]])</f>
        <v>9</v>
      </c>
    </row>
    <row r="170" spans="2:12" hidden="1" x14ac:dyDescent="0.25">
      <c r="B170" s="10" t="s">
        <v>49</v>
      </c>
      <c r="C170" s="9" t="s">
        <v>57</v>
      </c>
      <c r="D170" s="5" t="s">
        <v>11</v>
      </c>
      <c r="E170" s="6">
        <v>45901</v>
      </c>
      <c r="F170" s="8" t="s">
        <v>15</v>
      </c>
      <c r="G170" s="4" t="s">
        <v>47</v>
      </c>
      <c r="H170" s="4" t="s">
        <v>41</v>
      </c>
      <c r="I170" s="5" t="s">
        <v>58</v>
      </c>
      <c r="J170" s="7"/>
      <c r="K170" s="15">
        <f>YEAR(Tabla1[[#This Row],[Fecha]])</f>
        <v>2025</v>
      </c>
      <c r="L170" s="15">
        <f>MONTH(Tabla1[[#This Row],[Fecha]])</f>
        <v>9</v>
      </c>
    </row>
    <row r="171" spans="2:12" hidden="1" x14ac:dyDescent="0.25">
      <c r="B171" s="5" t="s">
        <v>9</v>
      </c>
      <c r="C171" s="9" t="s">
        <v>10</v>
      </c>
      <c r="D171" s="5" t="s">
        <v>11</v>
      </c>
      <c r="E171" s="6">
        <v>45901</v>
      </c>
      <c r="F171" s="8" t="s">
        <v>15</v>
      </c>
      <c r="G171" s="4" t="s">
        <v>24</v>
      </c>
      <c r="H171" s="4" t="s">
        <v>12</v>
      </c>
      <c r="I171" s="5" t="s">
        <v>61</v>
      </c>
      <c r="J171" s="7"/>
      <c r="K171" s="15">
        <f>YEAR(Tabla1[[#This Row],[Fecha]])</f>
        <v>2025</v>
      </c>
      <c r="L171" s="15">
        <f>MONTH(Tabla1[[#This Row],[Fecha]])</f>
        <v>9</v>
      </c>
    </row>
    <row r="172" spans="2:12" hidden="1" x14ac:dyDescent="0.25">
      <c r="B172" s="5" t="s">
        <v>248</v>
      </c>
      <c r="C172" s="5" t="s">
        <v>278</v>
      </c>
      <c r="D172" s="5" t="s">
        <v>11</v>
      </c>
      <c r="E172" s="6">
        <v>45887</v>
      </c>
      <c r="F172" s="8" t="s">
        <v>15</v>
      </c>
      <c r="G172" s="4" t="s">
        <v>36</v>
      </c>
      <c r="H172" s="4" t="s">
        <v>145</v>
      </c>
      <c r="I172" s="5" t="s">
        <v>279</v>
      </c>
      <c r="J172" s="7"/>
      <c r="K172" s="15">
        <f>YEAR(Tabla1[[#This Row],[Fecha]])</f>
        <v>2025</v>
      </c>
      <c r="L172" s="15">
        <f>MONTH(Tabla1[[#This Row],[Fecha]])</f>
        <v>8</v>
      </c>
    </row>
    <row r="173" spans="2:12" hidden="1" x14ac:dyDescent="0.25">
      <c r="B173" s="5" t="s">
        <v>22</v>
      </c>
      <c r="C173" s="9" t="s">
        <v>23</v>
      </c>
      <c r="D173" s="5" t="s">
        <v>11</v>
      </c>
      <c r="E173" s="6">
        <v>45883</v>
      </c>
      <c r="F173" s="8" t="s">
        <v>15</v>
      </c>
      <c r="G173" s="4" t="s">
        <v>24</v>
      </c>
      <c r="H173" s="4" t="s">
        <v>25</v>
      </c>
      <c r="I173" s="5" t="s">
        <v>26</v>
      </c>
      <c r="J173" s="7"/>
      <c r="K173" s="15">
        <f>YEAR(Tabla1[[#This Row],[Fecha]])</f>
        <v>2025</v>
      </c>
      <c r="L173" s="15">
        <f>MONTH(Tabla1[[#This Row],[Fecha]])</f>
        <v>8</v>
      </c>
    </row>
    <row r="174" spans="2:12" hidden="1" x14ac:dyDescent="0.25">
      <c r="B174" s="10" t="s">
        <v>49</v>
      </c>
      <c r="C174" s="9" t="s">
        <v>53</v>
      </c>
      <c r="D174" s="5" t="s">
        <v>11</v>
      </c>
      <c r="E174" s="6">
        <v>45880</v>
      </c>
      <c r="F174" s="8" t="s">
        <v>15</v>
      </c>
      <c r="G174" s="4" t="s">
        <v>47</v>
      </c>
      <c r="H174" s="4" t="s">
        <v>41</v>
      </c>
      <c r="I174" s="5" t="s">
        <v>55</v>
      </c>
      <c r="J174" s="7"/>
      <c r="K174" s="15">
        <f>YEAR(Tabla1[[#This Row],[Fecha]])</f>
        <v>2025</v>
      </c>
      <c r="L174" s="15">
        <f>MONTH(Tabla1[[#This Row],[Fecha]])</f>
        <v>8</v>
      </c>
    </row>
    <row r="175" spans="2:12" hidden="1" x14ac:dyDescent="0.25">
      <c r="B175" s="5" t="s">
        <v>9</v>
      </c>
      <c r="C175" s="5" t="s">
        <v>10</v>
      </c>
      <c r="D175" s="5" t="s">
        <v>11</v>
      </c>
      <c r="E175" s="6">
        <v>45877</v>
      </c>
      <c r="F175" s="8" t="s">
        <v>15</v>
      </c>
      <c r="G175" s="4" t="s">
        <v>24</v>
      </c>
      <c r="H175" s="8" t="s">
        <v>12</v>
      </c>
      <c r="I175" s="5" t="s">
        <v>13</v>
      </c>
      <c r="J175" s="7"/>
      <c r="K175" s="15">
        <f>YEAR(Tabla1[[#This Row],[Fecha]])</f>
        <v>2025</v>
      </c>
      <c r="L175" s="15">
        <f>MONTH(Tabla1[[#This Row],[Fecha]])</f>
        <v>8</v>
      </c>
    </row>
    <row r="176" spans="2:12" hidden="1" x14ac:dyDescent="0.25">
      <c r="B176" s="5" t="s">
        <v>181</v>
      </c>
      <c r="C176" s="5" t="s">
        <v>209</v>
      </c>
      <c r="D176" s="5" t="s">
        <v>11</v>
      </c>
      <c r="E176" s="6">
        <v>45877</v>
      </c>
      <c r="F176" s="8" t="s">
        <v>15</v>
      </c>
      <c r="G176" s="4" t="s">
        <v>36</v>
      </c>
      <c r="H176" s="4" t="s">
        <v>37</v>
      </c>
      <c r="I176" s="5" t="s">
        <v>273</v>
      </c>
      <c r="J176" s="7"/>
      <c r="K176" s="15">
        <f>YEAR(Tabla1[[#This Row],[Fecha]])</f>
        <v>2025</v>
      </c>
      <c r="L176" s="15">
        <f>MONTH(Tabla1[[#This Row],[Fecha]])</f>
        <v>8</v>
      </c>
    </row>
    <row r="177" spans="2:12" hidden="1" x14ac:dyDescent="0.25">
      <c r="B177" s="5" t="s">
        <v>181</v>
      </c>
      <c r="C177" s="5" t="s">
        <v>274</v>
      </c>
      <c r="D177" s="5" t="s">
        <v>11</v>
      </c>
      <c r="E177" s="6">
        <v>45877</v>
      </c>
      <c r="F177" s="8" t="s">
        <v>15</v>
      </c>
      <c r="G177" s="4" t="s">
        <v>36</v>
      </c>
      <c r="H177" s="4" t="s">
        <v>37</v>
      </c>
      <c r="I177" s="5" t="s">
        <v>275</v>
      </c>
      <c r="J177" s="7"/>
      <c r="K177" s="15">
        <f>YEAR(Tabla1[[#This Row],[Fecha]])</f>
        <v>2025</v>
      </c>
      <c r="L177" s="15">
        <f>MONTH(Tabla1[[#This Row],[Fecha]])</f>
        <v>8</v>
      </c>
    </row>
    <row r="178" spans="2:12" hidden="1" x14ac:dyDescent="0.25">
      <c r="B178" s="5" t="s">
        <v>32</v>
      </c>
      <c r="C178" s="9" t="s">
        <v>33</v>
      </c>
      <c r="D178" s="5" t="s">
        <v>11</v>
      </c>
      <c r="E178" s="6">
        <v>45869</v>
      </c>
      <c r="F178" s="8" t="s">
        <v>15</v>
      </c>
      <c r="G178" s="4" t="s">
        <v>16</v>
      </c>
      <c r="H178" s="4" t="s">
        <v>34</v>
      </c>
      <c r="I178" s="5" t="s">
        <v>35</v>
      </c>
      <c r="J178" s="7"/>
      <c r="K178" s="15">
        <f>YEAR(Tabla1[[#This Row],[Fecha]])</f>
        <v>2025</v>
      </c>
      <c r="L178" s="15">
        <f>MONTH(Tabla1[[#This Row],[Fecha]])</f>
        <v>7</v>
      </c>
    </row>
    <row r="179" spans="2:12" hidden="1" x14ac:dyDescent="0.25">
      <c r="B179" s="5" t="s">
        <v>49</v>
      </c>
      <c r="C179" s="5" t="s">
        <v>115</v>
      </c>
      <c r="D179" s="5" t="s">
        <v>11</v>
      </c>
      <c r="E179" s="6">
        <v>45869</v>
      </c>
      <c r="F179" s="4" t="s">
        <v>15</v>
      </c>
      <c r="G179" s="4" t="s">
        <v>135</v>
      </c>
      <c r="H179" s="4" t="s">
        <v>37</v>
      </c>
      <c r="I179" s="5" t="s">
        <v>295</v>
      </c>
      <c r="J179" s="5"/>
      <c r="K179" s="22">
        <f>YEAR(Tabla1[[#This Row],[Fecha]])</f>
        <v>2025</v>
      </c>
      <c r="L179" s="22">
        <f>MONTH(Tabla1[[#This Row],[Fecha]])</f>
        <v>7</v>
      </c>
    </row>
    <row r="180" spans="2:12" hidden="1" x14ac:dyDescent="0.25">
      <c r="B180" s="5" t="s">
        <v>49</v>
      </c>
      <c r="C180" s="5" t="s">
        <v>176</v>
      </c>
      <c r="D180" s="5" t="s">
        <v>11</v>
      </c>
      <c r="E180" s="6">
        <v>45869</v>
      </c>
      <c r="F180" s="8" t="s">
        <v>15</v>
      </c>
      <c r="G180" s="8" t="s">
        <v>135</v>
      </c>
      <c r="H180" s="8" t="s">
        <v>245</v>
      </c>
      <c r="I180" s="5" t="s">
        <v>296</v>
      </c>
      <c r="J180" s="7"/>
      <c r="K180" s="15">
        <f>YEAR(Tabla1[[#This Row],[Fecha]])</f>
        <v>2025</v>
      </c>
      <c r="L180" s="15">
        <f>MONTH(Tabla1[[#This Row],[Fecha]])</f>
        <v>7</v>
      </c>
    </row>
    <row r="181" spans="2:12" hidden="1" x14ac:dyDescent="0.25">
      <c r="B181" s="5" t="s">
        <v>32</v>
      </c>
      <c r="C181" s="9" t="s">
        <v>33</v>
      </c>
      <c r="D181" s="5" t="s">
        <v>11</v>
      </c>
      <c r="E181" s="6">
        <v>45868</v>
      </c>
      <c r="F181" s="8" t="s">
        <v>15</v>
      </c>
      <c r="G181" s="4" t="s">
        <v>36</v>
      </c>
      <c r="H181" s="4" t="s">
        <v>37</v>
      </c>
      <c r="I181" s="5" t="s">
        <v>38</v>
      </c>
      <c r="J181" s="7"/>
      <c r="K181" s="15">
        <f>YEAR(Tabla1[[#This Row],[Fecha]])</f>
        <v>2025</v>
      </c>
      <c r="L181" s="15">
        <f>MONTH(Tabla1[[#This Row],[Fecha]])</f>
        <v>7</v>
      </c>
    </row>
    <row r="182" spans="2:12" hidden="1" x14ac:dyDescent="0.25">
      <c r="B182" s="5" t="s">
        <v>39</v>
      </c>
      <c r="C182" s="9" t="s">
        <v>40</v>
      </c>
      <c r="D182" s="5" t="s">
        <v>11</v>
      </c>
      <c r="E182" s="6">
        <v>45868</v>
      </c>
      <c r="F182" s="8" t="s">
        <v>15</v>
      </c>
      <c r="G182" s="4" t="s">
        <v>16</v>
      </c>
      <c r="H182" s="4" t="s">
        <v>41</v>
      </c>
      <c r="I182" s="5" t="s">
        <v>42</v>
      </c>
      <c r="J182" s="7"/>
      <c r="K182" s="15">
        <f>YEAR(Tabla1[[#This Row],[Fecha]])</f>
        <v>2025</v>
      </c>
      <c r="L182" s="15">
        <f>MONTH(Tabla1[[#This Row],[Fecha]])</f>
        <v>7</v>
      </c>
    </row>
    <row r="183" spans="2:12" hidden="1" x14ac:dyDescent="0.25">
      <c r="B183" s="5" t="s">
        <v>49</v>
      </c>
      <c r="C183" s="5" t="s">
        <v>111</v>
      </c>
      <c r="D183" s="5" t="s">
        <v>11</v>
      </c>
      <c r="E183" s="6">
        <v>45868</v>
      </c>
      <c r="F183" s="8" t="s">
        <v>15</v>
      </c>
      <c r="G183" s="8" t="s">
        <v>135</v>
      </c>
      <c r="H183" s="8" t="s">
        <v>245</v>
      </c>
      <c r="I183" s="5" t="s">
        <v>293</v>
      </c>
      <c r="J183" s="7"/>
      <c r="K183" s="15">
        <f>YEAR(Tabla1[[#This Row],[Fecha]])</f>
        <v>2025</v>
      </c>
      <c r="L183" s="15">
        <f>MONTH(Tabla1[[#This Row],[Fecha]])</f>
        <v>7</v>
      </c>
    </row>
    <row r="184" spans="2:12" hidden="1" x14ac:dyDescent="0.25">
      <c r="B184" s="5" t="s">
        <v>49</v>
      </c>
      <c r="C184" s="5" t="s">
        <v>66</v>
      </c>
      <c r="D184" s="5" t="s">
        <v>11</v>
      </c>
      <c r="E184" s="6">
        <v>45868</v>
      </c>
      <c r="F184" s="8" t="s">
        <v>15</v>
      </c>
      <c r="G184" s="8" t="s">
        <v>135</v>
      </c>
      <c r="H184" s="8" t="s">
        <v>245</v>
      </c>
      <c r="I184" s="5" t="s">
        <v>294</v>
      </c>
      <c r="J184" s="7"/>
      <c r="K184" s="15">
        <f>YEAR(Tabla1[[#This Row],[Fecha]])</f>
        <v>2025</v>
      </c>
      <c r="L184" s="15">
        <f>MONTH(Tabla1[[#This Row],[Fecha]])</f>
        <v>7</v>
      </c>
    </row>
    <row r="185" spans="2:12" hidden="1" x14ac:dyDescent="0.25">
      <c r="B185" s="5" t="s">
        <v>49</v>
      </c>
      <c r="C185" s="5" t="s">
        <v>50</v>
      </c>
      <c r="D185" s="5" t="s">
        <v>11</v>
      </c>
      <c r="E185" s="6">
        <v>45868</v>
      </c>
      <c r="F185" s="4" t="s">
        <v>91</v>
      </c>
      <c r="G185" s="4" t="s">
        <v>16</v>
      </c>
      <c r="H185" s="4" t="s">
        <v>34</v>
      </c>
      <c r="I185" s="5" t="s">
        <v>297</v>
      </c>
      <c r="J185" s="5"/>
      <c r="K185" s="22">
        <f>YEAR(Tabla1[[#This Row],[Fecha]])</f>
        <v>2025</v>
      </c>
      <c r="L185" s="22">
        <f>MONTH(Tabla1[[#This Row],[Fecha]])</f>
        <v>7</v>
      </c>
    </row>
    <row r="186" spans="2:12" hidden="1" x14ac:dyDescent="0.25">
      <c r="B186" s="5" t="s">
        <v>9</v>
      </c>
      <c r="C186" s="5" t="s">
        <v>153</v>
      </c>
      <c r="D186" s="5" t="s">
        <v>11</v>
      </c>
      <c r="E186" s="6">
        <v>45866</v>
      </c>
      <c r="F186" s="4" t="s">
        <v>91</v>
      </c>
      <c r="G186" s="4" t="s">
        <v>103</v>
      </c>
      <c r="H186" s="4" t="s">
        <v>298</v>
      </c>
      <c r="I186" s="5" t="s">
        <v>299</v>
      </c>
      <c r="J186" s="5"/>
      <c r="K186" s="22">
        <f>YEAR(Tabla1[[#This Row],[Fecha]])</f>
        <v>2025</v>
      </c>
      <c r="L186" s="22">
        <f>MONTH(Tabla1[[#This Row],[Fecha]])</f>
        <v>7</v>
      </c>
    </row>
    <row r="187" spans="2:12" hidden="1" x14ac:dyDescent="0.25">
      <c r="B187" s="5" t="s">
        <v>9</v>
      </c>
      <c r="C187" s="5" t="s">
        <v>70</v>
      </c>
      <c r="D187" s="5" t="s">
        <v>11</v>
      </c>
      <c r="E187" s="6">
        <v>45866</v>
      </c>
      <c r="F187" s="4" t="s">
        <v>15</v>
      </c>
      <c r="G187" s="4" t="s">
        <v>24</v>
      </c>
      <c r="H187" s="4" t="s">
        <v>12</v>
      </c>
      <c r="I187" s="5" t="s">
        <v>300</v>
      </c>
      <c r="J187" s="5"/>
      <c r="K187" s="22">
        <f>YEAR(Tabla1[[#This Row],[Fecha]])</f>
        <v>2025</v>
      </c>
      <c r="L187" s="22">
        <f>MONTH(Tabla1[[#This Row],[Fecha]])</f>
        <v>7</v>
      </c>
    </row>
    <row r="188" spans="2:12" hidden="1" x14ac:dyDescent="0.25">
      <c r="B188" s="5" t="s">
        <v>248</v>
      </c>
      <c r="C188" s="5" t="s">
        <v>249</v>
      </c>
      <c r="D188" s="5" t="s">
        <v>11</v>
      </c>
      <c r="E188" s="6">
        <v>45866</v>
      </c>
      <c r="F188" s="4" t="s">
        <v>15</v>
      </c>
      <c r="G188" s="4" t="s">
        <v>24</v>
      </c>
      <c r="H188" s="4" t="s">
        <v>12</v>
      </c>
      <c r="I188" s="5" t="s">
        <v>292</v>
      </c>
      <c r="J188" s="5"/>
      <c r="K188" s="22">
        <f>YEAR(Tabla1[[#This Row],[Fecha]])</f>
        <v>2025</v>
      </c>
      <c r="L188" s="22">
        <f>MONTH(Tabla1[[#This Row],[Fecha]])</f>
        <v>7</v>
      </c>
    </row>
    <row r="189" spans="2:12" hidden="1" x14ac:dyDescent="0.25">
      <c r="B189" s="5" t="s">
        <v>284</v>
      </c>
      <c r="C189" s="5" t="s">
        <v>285</v>
      </c>
      <c r="D189" s="5" t="s">
        <v>11</v>
      </c>
      <c r="E189" s="6">
        <v>45862</v>
      </c>
      <c r="F189" s="4" t="s">
        <v>100</v>
      </c>
      <c r="G189" s="4"/>
      <c r="H189" s="4"/>
      <c r="I189" s="5" t="s">
        <v>301</v>
      </c>
      <c r="J189" s="5"/>
      <c r="K189" s="22">
        <f>YEAR(Tabla1[[#This Row],[Fecha]])</f>
        <v>2025</v>
      </c>
      <c r="L189" s="22">
        <f>MONTH(Tabla1[[#This Row],[Fecha]])</f>
        <v>7</v>
      </c>
    </row>
    <row r="190" spans="2:12" hidden="1" x14ac:dyDescent="0.25">
      <c r="B190" s="5" t="s">
        <v>284</v>
      </c>
      <c r="C190" s="5" t="s">
        <v>302</v>
      </c>
      <c r="D190" s="5" t="s">
        <v>11</v>
      </c>
      <c r="E190" s="6">
        <v>45862</v>
      </c>
      <c r="F190" s="4" t="s">
        <v>100</v>
      </c>
      <c r="G190" s="4"/>
      <c r="H190" s="4"/>
      <c r="I190" s="5" t="s">
        <v>301</v>
      </c>
      <c r="J190" s="5"/>
      <c r="K190" s="22">
        <f>YEAR(Tabla1[[#This Row],[Fecha]])</f>
        <v>2025</v>
      </c>
      <c r="L190" s="22">
        <f>MONTH(Tabla1[[#This Row],[Fecha]])</f>
        <v>7</v>
      </c>
    </row>
    <row r="191" spans="2:12" hidden="1" x14ac:dyDescent="0.25">
      <c r="B191" s="5" t="s">
        <v>133</v>
      </c>
      <c r="C191" s="5" t="s">
        <v>134</v>
      </c>
      <c r="D191" s="5" t="s">
        <v>131</v>
      </c>
      <c r="E191" s="6">
        <v>45862</v>
      </c>
      <c r="F191" s="4" t="s">
        <v>91</v>
      </c>
      <c r="G191" s="4" t="s">
        <v>303</v>
      </c>
      <c r="H191" s="4" t="s">
        <v>304</v>
      </c>
      <c r="I191" s="5" t="s">
        <v>305</v>
      </c>
      <c r="J191" s="5"/>
      <c r="K191" s="22">
        <f>YEAR(Tabla1[[#This Row],[Fecha]])</f>
        <v>2025</v>
      </c>
      <c r="L191" s="22">
        <f>MONTH(Tabla1[[#This Row],[Fecha]])</f>
        <v>7</v>
      </c>
    </row>
    <row r="192" spans="2:12" hidden="1" x14ac:dyDescent="0.25">
      <c r="B192" s="5" t="s">
        <v>9</v>
      </c>
      <c r="C192" s="5" t="s">
        <v>14</v>
      </c>
      <c r="D192" s="5" t="s">
        <v>11</v>
      </c>
      <c r="E192" s="6">
        <v>45856</v>
      </c>
      <c r="F192" s="4" t="s">
        <v>15</v>
      </c>
      <c r="G192" s="4" t="s">
        <v>47</v>
      </c>
      <c r="H192" s="4" t="s">
        <v>333</v>
      </c>
      <c r="I192" s="5"/>
      <c r="J192" s="5" t="s">
        <v>334</v>
      </c>
      <c r="K192" s="22">
        <f>YEAR(Tabla1[[#This Row],[Fecha]])</f>
        <v>2025</v>
      </c>
      <c r="L192" s="22">
        <f>MONTH(Tabla1[[#This Row],[Fecha]])</f>
        <v>7</v>
      </c>
    </row>
    <row r="193" spans="2:12" hidden="1" x14ac:dyDescent="0.25">
      <c r="B193" s="5" t="s">
        <v>206</v>
      </c>
      <c r="C193" s="5" t="s">
        <v>255</v>
      </c>
      <c r="D193" s="5" t="s">
        <v>11</v>
      </c>
      <c r="E193" s="6">
        <v>45853</v>
      </c>
      <c r="F193" s="8" t="s">
        <v>15</v>
      </c>
      <c r="G193" s="4" t="s">
        <v>16</v>
      </c>
      <c r="H193" s="8"/>
      <c r="I193" s="5" t="s">
        <v>289</v>
      </c>
      <c r="J193" s="7"/>
      <c r="K193" s="15">
        <f>YEAR(Tabla1[[#This Row],[Fecha]])</f>
        <v>2025</v>
      </c>
      <c r="L193" s="15">
        <f>MONTH(Tabla1[[#This Row],[Fecha]])</f>
        <v>7</v>
      </c>
    </row>
    <row r="194" spans="2:12" hidden="1" x14ac:dyDescent="0.25">
      <c r="B194" s="5" t="s">
        <v>206</v>
      </c>
      <c r="C194" s="5" t="s">
        <v>290</v>
      </c>
      <c r="D194" s="5" t="s">
        <v>11</v>
      </c>
      <c r="E194" s="6">
        <v>45853</v>
      </c>
      <c r="F194" s="8" t="s">
        <v>15</v>
      </c>
      <c r="G194" s="4" t="s">
        <v>16</v>
      </c>
      <c r="H194" s="8"/>
      <c r="I194" s="5" t="s">
        <v>291</v>
      </c>
      <c r="J194" s="7"/>
      <c r="K194" s="15">
        <f>YEAR(Tabla1[[#This Row],[Fecha]])</f>
        <v>2025</v>
      </c>
      <c r="L194" s="15">
        <f>MONTH(Tabla1[[#This Row],[Fecha]])</f>
        <v>7</v>
      </c>
    </row>
    <row r="195" spans="2:12" hidden="1" x14ac:dyDescent="0.25">
      <c r="B195" s="5" t="s">
        <v>9</v>
      </c>
      <c r="C195" s="5" t="s">
        <v>87</v>
      </c>
      <c r="D195" s="5" t="s">
        <v>11</v>
      </c>
      <c r="E195" s="6">
        <v>45853</v>
      </c>
      <c r="F195" s="4" t="s">
        <v>15</v>
      </c>
      <c r="G195" s="4" t="s">
        <v>16</v>
      </c>
      <c r="H195" s="4" t="s">
        <v>97</v>
      </c>
      <c r="I195" s="5" t="s">
        <v>330</v>
      </c>
      <c r="J195" s="5"/>
      <c r="K195" s="22">
        <f>YEAR(Tabla1[[#This Row],[Fecha]])</f>
        <v>2025</v>
      </c>
      <c r="L195" s="22">
        <f>MONTH(Tabla1[[#This Row],[Fecha]])</f>
        <v>7</v>
      </c>
    </row>
    <row r="196" spans="2:12" hidden="1" x14ac:dyDescent="0.25">
      <c r="B196" s="5" t="s">
        <v>9</v>
      </c>
      <c r="C196" s="5" t="s">
        <v>87</v>
      </c>
      <c r="D196" s="5" t="s">
        <v>11</v>
      </c>
      <c r="E196" s="6">
        <v>45853</v>
      </c>
      <c r="F196" s="4" t="s">
        <v>91</v>
      </c>
      <c r="G196" s="4" t="s">
        <v>16</v>
      </c>
      <c r="H196" s="4" t="s">
        <v>17</v>
      </c>
      <c r="I196" s="5" t="s">
        <v>332</v>
      </c>
      <c r="J196" s="5"/>
      <c r="K196" s="22">
        <f>YEAR(Tabla1[[#This Row],[Fecha]])</f>
        <v>2025</v>
      </c>
      <c r="L196" s="22">
        <f>MONTH(Tabla1[[#This Row],[Fecha]])</f>
        <v>7</v>
      </c>
    </row>
    <row r="197" spans="2:12" hidden="1" x14ac:dyDescent="0.25">
      <c r="B197" s="5" t="s">
        <v>19</v>
      </c>
      <c r="C197" s="5" t="s">
        <v>162</v>
      </c>
      <c r="D197" s="5" t="s">
        <v>11</v>
      </c>
      <c r="E197" s="6">
        <v>45853</v>
      </c>
      <c r="F197" s="4" t="s">
        <v>15</v>
      </c>
      <c r="G197" s="4" t="s">
        <v>24</v>
      </c>
      <c r="H197" s="4" t="s">
        <v>12</v>
      </c>
      <c r="I197" s="5" t="s">
        <v>340</v>
      </c>
      <c r="J197" s="5"/>
      <c r="K197" s="22">
        <f>YEAR(Tabla1[[#This Row],[Fecha]])</f>
        <v>2025</v>
      </c>
      <c r="L197" s="22">
        <f>MONTH(Tabla1[[#This Row],[Fecha]])</f>
        <v>7</v>
      </c>
    </row>
    <row r="198" spans="2:12" hidden="1" x14ac:dyDescent="0.25">
      <c r="B198" s="5" t="s">
        <v>242</v>
      </c>
      <c r="C198" s="5" t="s">
        <v>341</v>
      </c>
      <c r="D198" s="5" t="s">
        <v>11</v>
      </c>
      <c r="E198" s="6">
        <v>45853</v>
      </c>
      <c r="F198" s="4" t="s">
        <v>15</v>
      </c>
      <c r="G198" s="4" t="s">
        <v>36</v>
      </c>
      <c r="H198" s="4" t="s">
        <v>72</v>
      </c>
      <c r="I198" s="5" t="s">
        <v>342</v>
      </c>
      <c r="J198" s="5"/>
      <c r="K198" s="22">
        <f>YEAR(Tabla1[[#This Row],[Fecha]])</f>
        <v>2025</v>
      </c>
      <c r="L198" s="22">
        <f>MONTH(Tabla1[[#This Row],[Fecha]])</f>
        <v>7</v>
      </c>
    </row>
    <row r="199" spans="2:12" hidden="1" x14ac:dyDescent="0.25">
      <c r="B199" s="5" t="s">
        <v>49</v>
      </c>
      <c r="C199" s="5" t="s">
        <v>66</v>
      </c>
      <c r="D199" s="5" t="s">
        <v>131</v>
      </c>
      <c r="E199" s="6">
        <v>45852</v>
      </c>
      <c r="F199" s="4" t="s">
        <v>15</v>
      </c>
      <c r="G199" s="4" t="s">
        <v>16</v>
      </c>
      <c r="H199" s="4" t="s">
        <v>41</v>
      </c>
      <c r="I199" s="5" t="s">
        <v>338</v>
      </c>
      <c r="J199" s="5"/>
      <c r="K199" s="22">
        <f>YEAR(Tabla1[[#This Row],[Fecha]])</f>
        <v>2025</v>
      </c>
      <c r="L199" s="22">
        <f>MONTH(Tabla1[[#This Row],[Fecha]])</f>
        <v>7</v>
      </c>
    </row>
    <row r="200" spans="2:12" hidden="1" x14ac:dyDescent="0.25">
      <c r="B200" s="5" t="s">
        <v>133</v>
      </c>
      <c r="C200" s="5" t="s">
        <v>134</v>
      </c>
      <c r="D200" s="5" t="s">
        <v>131</v>
      </c>
      <c r="E200" s="6">
        <v>45849</v>
      </c>
      <c r="F200" s="4" t="s">
        <v>100</v>
      </c>
      <c r="G200" s="4"/>
      <c r="H200" s="4"/>
      <c r="I200" s="5" t="s">
        <v>306</v>
      </c>
      <c r="J200" s="5"/>
      <c r="K200" s="22">
        <f>YEAR(Tabla1[[#This Row],[Fecha]])</f>
        <v>2025</v>
      </c>
      <c r="L200" s="22">
        <f>MONTH(Tabla1[[#This Row],[Fecha]])</f>
        <v>7</v>
      </c>
    </row>
    <row r="201" spans="2:12" hidden="1" x14ac:dyDescent="0.25">
      <c r="B201" s="5" t="s">
        <v>106</v>
      </c>
      <c r="C201" s="5" t="s">
        <v>335</v>
      </c>
      <c r="D201" s="5" t="s">
        <v>11</v>
      </c>
      <c r="E201" s="6">
        <v>45848</v>
      </c>
      <c r="F201" s="4" t="s">
        <v>15</v>
      </c>
      <c r="G201" s="4" t="s">
        <v>47</v>
      </c>
      <c r="H201" s="4" t="s">
        <v>333</v>
      </c>
      <c r="I201" s="5"/>
      <c r="J201" s="5"/>
      <c r="K201" s="22">
        <f>YEAR(Tabla1[[#This Row],[Fecha]])</f>
        <v>2025</v>
      </c>
      <c r="L201" s="22">
        <f>MONTH(Tabla1[[#This Row],[Fecha]])</f>
        <v>7</v>
      </c>
    </row>
    <row r="202" spans="2:12" hidden="1" x14ac:dyDescent="0.25">
      <c r="B202" s="5" t="s">
        <v>9</v>
      </c>
      <c r="C202" s="5" t="s">
        <v>153</v>
      </c>
      <c r="D202" s="5" t="s">
        <v>11</v>
      </c>
      <c r="E202" s="6">
        <v>45846</v>
      </c>
      <c r="F202" s="4" t="s">
        <v>91</v>
      </c>
      <c r="G202" s="4" t="s">
        <v>103</v>
      </c>
      <c r="H202" s="4" t="s">
        <v>298</v>
      </c>
      <c r="I202" s="5" t="s">
        <v>326</v>
      </c>
      <c r="J202" s="5"/>
      <c r="K202" s="22">
        <f>YEAR(Tabla1[[#This Row],[Fecha]])</f>
        <v>2025</v>
      </c>
      <c r="L202" s="22">
        <f>MONTH(Tabla1[[#This Row],[Fecha]])</f>
        <v>7</v>
      </c>
    </row>
    <row r="203" spans="2:12" hidden="1" x14ac:dyDescent="0.25">
      <c r="B203" s="5" t="s">
        <v>9</v>
      </c>
      <c r="C203" s="5" t="s">
        <v>80</v>
      </c>
      <c r="D203" s="5" t="s">
        <v>11</v>
      </c>
      <c r="E203" s="6">
        <v>45846</v>
      </c>
      <c r="F203" s="4" t="s">
        <v>91</v>
      </c>
      <c r="G203" s="4" t="s">
        <v>103</v>
      </c>
      <c r="H203" s="4" t="s">
        <v>298</v>
      </c>
      <c r="I203" s="5" t="s">
        <v>327</v>
      </c>
      <c r="J203" s="5"/>
      <c r="K203" s="22">
        <f>YEAR(Tabla1[[#This Row],[Fecha]])</f>
        <v>2025</v>
      </c>
      <c r="L203" s="22">
        <f>MONTH(Tabla1[[#This Row],[Fecha]])</f>
        <v>7</v>
      </c>
    </row>
    <row r="204" spans="2:12" hidden="1" x14ac:dyDescent="0.25">
      <c r="B204" s="5" t="s">
        <v>9</v>
      </c>
      <c r="C204" s="5" t="s">
        <v>87</v>
      </c>
      <c r="D204" s="5" t="s">
        <v>11</v>
      </c>
      <c r="E204" s="6">
        <v>45846</v>
      </c>
      <c r="F204" s="4" t="s">
        <v>15</v>
      </c>
      <c r="G204" s="4" t="s">
        <v>135</v>
      </c>
      <c r="H204" s="4" t="s">
        <v>37</v>
      </c>
      <c r="I204" s="5" t="s">
        <v>328</v>
      </c>
      <c r="J204" s="5"/>
      <c r="K204" s="22">
        <f>YEAR(Tabla1[[#This Row],[Fecha]])</f>
        <v>2025</v>
      </c>
      <c r="L204" s="22">
        <f>MONTH(Tabla1[[#This Row],[Fecha]])</f>
        <v>7</v>
      </c>
    </row>
    <row r="205" spans="2:12" hidden="1" x14ac:dyDescent="0.25">
      <c r="B205" s="5" t="s">
        <v>9</v>
      </c>
      <c r="C205" s="5" t="s">
        <v>93</v>
      </c>
      <c r="D205" s="5" t="s">
        <v>11</v>
      </c>
      <c r="E205" s="6">
        <v>45846</v>
      </c>
      <c r="F205" s="4" t="s">
        <v>15</v>
      </c>
      <c r="G205" s="4" t="s">
        <v>16</v>
      </c>
      <c r="H205" s="4" t="s">
        <v>63</v>
      </c>
      <c r="I205" s="5" t="s">
        <v>329</v>
      </c>
      <c r="J205" s="5"/>
      <c r="K205" s="22">
        <f>YEAR(Tabla1[[#This Row],[Fecha]])</f>
        <v>2025</v>
      </c>
      <c r="L205" s="22">
        <f>MONTH(Tabla1[[#This Row],[Fecha]])</f>
        <v>7</v>
      </c>
    </row>
    <row r="206" spans="2:12" hidden="1" x14ac:dyDescent="0.25">
      <c r="B206" s="5" t="s">
        <v>9</v>
      </c>
      <c r="C206" s="5" t="s">
        <v>71</v>
      </c>
      <c r="D206" s="5" t="s">
        <v>11</v>
      </c>
      <c r="E206" s="6">
        <v>45846</v>
      </c>
      <c r="F206" s="4" t="s">
        <v>15</v>
      </c>
      <c r="G206" s="4" t="s">
        <v>16</v>
      </c>
      <c r="H206" s="4" t="s">
        <v>63</v>
      </c>
      <c r="I206" s="5" t="s">
        <v>329</v>
      </c>
      <c r="J206" s="5"/>
      <c r="K206" s="22">
        <f>YEAR(Tabla1[[#This Row],[Fecha]])</f>
        <v>2025</v>
      </c>
      <c r="L206" s="22">
        <f>MONTH(Tabla1[[#This Row],[Fecha]])</f>
        <v>7</v>
      </c>
    </row>
    <row r="207" spans="2:12" hidden="1" x14ac:dyDescent="0.25">
      <c r="B207" s="5" t="s">
        <v>9</v>
      </c>
      <c r="C207" s="5" t="s">
        <v>82</v>
      </c>
      <c r="D207" s="5" t="s">
        <v>11</v>
      </c>
      <c r="E207" s="6">
        <v>45846</v>
      </c>
      <c r="F207" s="4" t="s">
        <v>15</v>
      </c>
      <c r="G207" s="4" t="s">
        <v>36</v>
      </c>
      <c r="H207" s="4" t="s">
        <v>72</v>
      </c>
      <c r="I207" s="5" t="s">
        <v>331</v>
      </c>
      <c r="J207" s="5"/>
      <c r="K207" s="22">
        <f>YEAR(Tabla1[[#This Row],[Fecha]])</f>
        <v>2025</v>
      </c>
      <c r="L207" s="22">
        <f>MONTH(Tabla1[[#This Row],[Fecha]])</f>
        <v>7</v>
      </c>
    </row>
    <row r="208" spans="2:12" hidden="1" x14ac:dyDescent="0.25">
      <c r="B208" s="5" t="s">
        <v>27</v>
      </c>
      <c r="C208" s="5" t="s">
        <v>28</v>
      </c>
      <c r="D208" s="5" t="s">
        <v>131</v>
      </c>
      <c r="E208" s="6">
        <v>45846</v>
      </c>
      <c r="F208" s="4" t="s">
        <v>15</v>
      </c>
      <c r="G208" s="4" t="s">
        <v>16</v>
      </c>
      <c r="H208" s="4" t="s">
        <v>74</v>
      </c>
      <c r="I208" s="5" t="s">
        <v>343</v>
      </c>
      <c r="J208" s="5"/>
      <c r="K208" s="22">
        <f>YEAR(Tabla1[[#This Row],[Fecha]])</f>
        <v>2025</v>
      </c>
      <c r="L208" s="22">
        <f>MONTH(Tabla1[[#This Row],[Fecha]])</f>
        <v>7</v>
      </c>
    </row>
    <row r="209" spans="2:12" hidden="1" x14ac:dyDescent="0.25">
      <c r="B209" s="5" t="s">
        <v>309</v>
      </c>
      <c r="C209" s="5" t="s">
        <v>322</v>
      </c>
      <c r="D209" s="5" t="s">
        <v>131</v>
      </c>
      <c r="E209" s="6">
        <v>45840</v>
      </c>
      <c r="F209" s="4" t="s">
        <v>15</v>
      </c>
      <c r="G209" s="4" t="s">
        <v>311</v>
      </c>
      <c r="H209" s="4"/>
      <c r="I209" s="5" t="s">
        <v>323</v>
      </c>
      <c r="J209" s="5"/>
      <c r="K209" s="22">
        <f>YEAR(Tabla1[[#This Row],[Fecha]])</f>
        <v>2025</v>
      </c>
      <c r="L209" s="22">
        <f>MONTH(Tabla1[[#This Row],[Fecha]])</f>
        <v>7</v>
      </c>
    </row>
    <row r="210" spans="2:12" hidden="1" x14ac:dyDescent="0.25">
      <c r="B210" s="5" t="s">
        <v>32</v>
      </c>
      <c r="C210" s="5" t="s">
        <v>33</v>
      </c>
      <c r="D210" s="5" t="s">
        <v>131</v>
      </c>
      <c r="E210" s="6">
        <v>45839</v>
      </c>
      <c r="F210" s="4" t="s">
        <v>91</v>
      </c>
      <c r="G210" s="4" t="s">
        <v>16</v>
      </c>
      <c r="H210" s="4" t="s">
        <v>34</v>
      </c>
      <c r="I210" s="5" t="s">
        <v>308</v>
      </c>
      <c r="J210" s="5"/>
      <c r="K210" s="22">
        <f>YEAR(Tabla1[[#This Row],[Fecha]])</f>
        <v>2025</v>
      </c>
      <c r="L210" s="22">
        <f>MONTH(Tabla1[[#This Row],[Fecha]])</f>
        <v>7</v>
      </c>
    </row>
    <row r="211" spans="2:12" hidden="1" x14ac:dyDescent="0.25">
      <c r="B211" s="5" t="s">
        <v>309</v>
      </c>
      <c r="C211" s="5" t="s">
        <v>320</v>
      </c>
      <c r="D211" s="5" t="s">
        <v>131</v>
      </c>
      <c r="E211" s="6">
        <v>45839</v>
      </c>
      <c r="F211" s="4" t="s">
        <v>15</v>
      </c>
      <c r="G211" s="4" t="s">
        <v>311</v>
      </c>
      <c r="H211" s="4"/>
      <c r="I211" s="5" t="s">
        <v>319</v>
      </c>
      <c r="J211" s="5"/>
      <c r="K211" s="22">
        <f>YEAR(Tabla1[[#This Row],[Fecha]])</f>
        <v>2025</v>
      </c>
      <c r="L211" s="22">
        <f>MONTH(Tabla1[[#This Row],[Fecha]])</f>
        <v>7</v>
      </c>
    </row>
    <row r="212" spans="2:12" hidden="1" x14ac:dyDescent="0.25">
      <c r="B212" s="5" t="s">
        <v>309</v>
      </c>
      <c r="C212" s="5" t="s">
        <v>321</v>
      </c>
      <c r="D212" s="5" t="s">
        <v>131</v>
      </c>
      <c r="E212" s="6">
        <v>45839</v>
      </c>
      <c r="F212" s="4" t="s">
        <v>15</v>
      </c>
      <c r="G212" s="4" t="s">
        <v>311</v>
      </c>
      <c r="H212" s="4"/>
      <c r="I212" s="5" t="s">
        <v>319</v>
      </c>
      <c r="J212" s="5"/>
      <c r="K212" s="22">
        <f>YEAR(Tabla1[[#This Row],[Fecha]])</f>
        <v>2025</v>
      </c>
      <c r="L212" s="22">
        <f>MONTH(Tabla1[[#This Row],[Fecha]])</f>
        <v>7</v>
      </c>
    </row>
    <row r="213" spans="2:12" hidden="1" x14ac:dyDescent="0.25">
      <c r="B213" s="5" t="s">
        <v>309</v>
      </c>
      <c r="C213" s="5" t="s">
        <v>315</v>
      </c>
      <c r="D213" s="5" t="s">
        <v>131</v>
      </c>
      <c r="E213" s="6">
        <v>45838</v>
      </c>
      <c r="F213" s="4" t="s">
        <v>15</v>
      </c>
      <c r="G213" s="4" t="s">
        <v>311</v>
      </c>
      <c r="H213" s="4"/>
      <c r="I213" s="5" t="s">
        <v>316</v>
      </c>
      <c r="J213" s="5"/>
      <c r="K213" s="22">
        <f>YEAR(Tabla1[[#This Row],[Fecha]])</f>
        <v>2025</v>
      </c>
      <c r="L213" s="22">
        <f>MONTH(Tabla1[[#This Row],[Fecha]])</f>
        <v>6</v>
      </c>
    </row>
    <row r="214" spans="2:12" hidden="1" x14ac:dyDescent="0.25">
      <c r="B214" s="5" t="s">
        <v>309</v>
      </c>
      <c r="C214" s="5" t="s">
        <v>317</v>
      </c>
      <c r="D214" s="5" t="s">
        <v>131</v>
      </c>
      <c r="E214" s="6">
        <v>45838</v>
      </c>
      <c r="F214" s="4" t="s">
        <v>15</v>
      </c>
      <c r="G214" s="4" t="s">
        <v>311</v>
      </c>
      <c r="H214" s="4"/>
      <c r="I214" s="5" t="s">
        <v>316</v>
      </c>
      <c r="J214" s="5"/>
      <c r="K214" s="22">
        <f>YEAR(Tabla1[[#This Row],[Fecha]])</f>
        <v>2025</v>
      </c>
      <c r="L214" s="22">
        <f>MONTH(Tabla1[[#This Row],[Fecha]])</f>
        <v>6</v>
      </c>
    </row>
    <row r="215" spans="2:12" hidden="1" x14ac:dyDescent="0.25">
      <c r="B215" s="5" t="s">
        <v>309</v>
      </c>
      <c r="C215" s="5" t="s">
        <v>318</v>
      </c>
      <c r="D215" s="5" t="s">
        <v>131</v>
      </c>
      <c r="E215" s="6">
        <v>45838</v>
      </c>
      <c r="F215" s="4" t="s">
        <v>15</v>
      </c>
      <c r="G215" s="4" t="s">
        <v>311</v>
      </c>
      <c r="H215" s="4"/>
      <c r="I215" s="5" t="s">
        <v>319</v>
      </c>
      <c r="J215" s="5"/>
      <c r="K215" s="22">
        <f>YEAR(Tabla1[[#This Row],[Fecha]])</f>
        <v>2025</v>
      </c>
      <c r="L215" s="22">
        <f>MONTH(Tabla1[[#This Row],[Fecha]])</f>
        <v>6</v>
      </c>
    </row>
    <row r="216" spans="2:12" hidden="1" x14ac:dyDescent="0.25">
      <c r="B216" s="5" t="s">
        <v>49</v>
      </c>
      <c r="C216" s="5" t="s">
        <v>60</v>
      </c>
      <c r="D216" s="5" t="s">
        <v>131</v>
      </c>
      <c r="E216" s="6">
        <v>45835</v>
      </c>
      <c r="F216" s="4" t="s">
        <v>15</v>
      </c>
      <c r="G216" s="4" t="s">
        <v>16</v>
      </c>
      <c r="H216" s="4" t="s">
        <v>63</v>
      </c>
      <c r="I216" s="5" t="s">
        <v>307</v>
      </c>
      <c r="J216" s="5"/>
      <c r="K216" s="22">
        <f>YEAR(Tabla1[[#This Row],[Fecha]])</f>
        <v>2025</v>
      </c>
      <c r="L216" s="22">
        <f>MONTH(Tabla1[[#This Row],[Fecha]])</f>
        <v>6</v>
      </c>
    </row>
    <row r="217" spans="2:12" hidden="1" x14ac:dyDescent="0.25">
      <c r="B217" s="5" t="s">
        <v>49</v>
      </c>
      <c r="C217" s="5" t="s">
        <v>176</v>
      </c>
      <c r="D217" s="5" t="s">
        <v>131</v>
      </c>
      <c r="E217" s="6">
        <v>45835</v>
      </c>
      <c r="F217" s="4" t="s">
        <v>15</v>
      </c>
      <c r="G217" s="4" t="s">
        <v>16</v>
      </c>
      <c r="H217" s="4" t="s">
        <v>63</v>
      </c>
      <c r="I217" s="5" t="s">
        <v>307</v>
      </c>
      <c r="J217" s="5"/>
      <c r="K217" s="22">
        <f>YEAR(Tabla1[[#This Row],[Fecha]])</f>
        <v>2025</v>
      </c>
      <c r="L217" s="22">
        <f>MONTH(Tabla1[[#This Row],[Fecha]])</f>
        <v>6</v>
      </c>
    </row>
    <row r="218" spans="2:12" hidden="1" x14ac:dyDescent="0.25">
      <c r="B218" s="5" t="s">
        <v>49</v>
      </c>
      <c r="C218" s="5" t="s">
        <v>176</v>
      </c>
      <c r="D218" s="5" t="s">
        <v>131</v>
      </c>
      <c r="E218" s="6">
        <v>45835</v>
      </c>
      <c r="F218" s="4" t="s">
        <v>15</v>
      </c>
      <c r="G218" s="4" t="s">
        <v>16</v>
      </c>
      <c r="H218" s="4" t="s">
        <v>63</v>
      </c>
      <c r="I218" s="5" t="s">
        <v>307</v>
      </c>
      <c r="J218" s="5"/>
      <c r="K218" s="22">
        <f>YEAR(Tabla1[[#This Row],[Fecha]])</f>
        <v>2025</v>
      </c>
      <c r="L218" s="22">
        <f>MONTH(Tabla1[[#This Row],[Fecha]])</f>
        <v>6</v>
      </c>
    </row>
    <row r="219" spans="2:12" hidden="1" x14ac:dyDescent="0.25">
      <c r="B219" s="5" t="s">
        <v>309</v>
      </c>
      <c r="C219" s="5" t="s">
        <v>310</v>
      </c>
      <c r="D219" s="5" t="s">
        <v>131</v>
      </c>
      <c r="E219" s="6">
        <v>45835</v>
      </c>
      <c r="F219" s="4" t="s">
        <v>15</v>
      </c>
      <c r="G219" s="4" t="s">
        <v>311</v>
      </c>
      <c r="H219" s="4"/>
      <c r="I219" s="5" t="s">
        <v>312</v>
      </c>
      <c r="J219" s="5"/>
      <c r="K219" s="22">
        <f>YEAR(Tabla1[[#This Row],[Fecha]])</f>
        <v>2025</v>
      </c>
      <c r="L219" s="22">
        <f>MONTH(Tabla1[[#This Row],[Fecha]])</f>
        <v>6</v>
      </c>
    </row>
    <row r="220" spans="2:12" hidden="1" x14ac:dyDescent="0.25">
      <c r="B220" s="5" t="s">
        <v>309</v>
      </c>
      <c r="C220" s="5" t="s">
        <v>313</v>
      </c>
      <c r="D220" s="5" t="s">
        <v>131</v>
      </c>
      <c r="E220" s="6">
        <v>45834</v>
      </c>
      <c r="F220" s="4" t="s">
        <v>15</v>
      </c>
      <c r="G220" s="4" t="s">
        <v>311</v>
      </c>
      <c r="H220" s="4"/>
      <c r="I220" s="5" t="s">
        <v>314</v>
      </c>
      <c r="J220" s="5"/>
      <c r="K220" s="22">
        <f>YEAR(Tabla1[[#This Row],[Fecha]])</f>
        <v>2025</v>
      </c>
      <c r="L220" s="22">
        <f>MONTH(Tabla1[[#This Row],[Fecha]])</f>
        <v>6</v>
      </c>
    </row>
    <row r="221" spans="2:12" hidden="1" x14ac:dyDescent="0.25">
      <c r="B221" s="5" t="s">
        <v>39</v>
      </c>
      <c r="C221" s="5" t="s">
        <v>40</v>
      </c>
      <c r="D221" s="5" t="s">
        <v>131</v>
      </c>
      <c r="E221" s="6">
        <v>45821</v>
      </c>
      <c r="F221" s="4" t="s">
        <v>15</v>
      </c>
      <c r="G221" s="4" t="s">
        <v>47</v>
      </c>
      <c r="H221" s="4" t="s">
        <v>121</v>
      </c>
      <c r="I221" s="5" t="s">
        <v>337</v>
      </c>
      <c r="J221" s="5"/>
      <c r="K221" s="22">
        <f>YEAR(Tabla1[[#This Row],[Fecha]])</f>
        <v>2025</v>
      </c>
      <c r="L221" s="22">
        <f>MONTH(Tabla1[[#This Row],[Fecha]])</f>
        <v>6</v>
      </c>
    </row>
    <row r="222" spans="2:12" hidden="1" x14ac:dyDescent="0.25">
      <c r="B222" s="5" t="s">
        <v>19</v>
      </c>
      <c r="C222" s="5" t="s">
        <v>162</v>
      </c>
      <c r="D222" s="5" t="s">
        <v>131</v>
      </c>
      <c r="E222" s="6">
        <v>45821</v>
      </c>
      <c r="F222" s="4" t="s">
        <v>15</v>
      </c>
      <c r="G222" s="4" t="s">
        <v>135</v>
      </c>
      <c r="H222" s="4" t="s">
        <v>41</v>
      </c>
      <c r="I222" s="5" t="s">
        <v>339</v>
      </c>
      <c r="J222" s="5"/>
      <c r="K222" s="22">
        <f>YEAR(Tabla1[[#This Row],[Fecha]])</f>
        <v>2025</v>
      </c>
      <c r="L222" s="22">
        <f>MONTH(Tabla1[[#This Row],[Fecha]])</f>
        <v>6</v>
      </c>
    </row>
    <row r="223" spans="2:12" hidden="1" x14ac:dyDescent="0.25">
      <c r="B223" s="5" t="s">
        <v>106</v>
      </c>
      <c r="C223" s="5" t="s">
        <v>335</v>
      </c>
      <c r="D223" s="5" t="s">
        <v>131</v>
      </c>
      <c r="E223" s="6">
        <v>45819</v>
      </c>
      <c r="F223" s="4" t="s">
        <v>15</v>
      </c>
      <c r="G223" s="4" t="s">
        <v>47</v>
      </c>
      <c r="H223" s="4" t="s">
        <v>333</v>
      </c>
      <c r="I223" s="5"/>
      <c r="J223" s="5" t="s">
        <v>336</v>
      </c>
      <c r="K223" s="22">
        <f>YEAR(Tabla1[[#This Row],[Fecha]])</f>
        <v>2025</v>
      </c>
      <c r="L223" s="22">
        <f>MONTH(Tabla1[[#This Row],[Fecha]])</f>
        <v>6</v>
      </c>
    </row>
    <row r="224" spans="2:12" hidden="1" x14ac:dyDescent="0.25">
      <c r="B224" s="5" t="s">
        <v>9</v>
      </c>
      <c r="C224" s="5" t="s">
        <v>93</v>
      </c>
      <c r="D224" s="5" t="s">
        <v>11</v>
      </c>
      <c r="E224" s="6">
        <v>45812</v>
      </c>
      <c r="F224" s="4" t="s">
        <v>15</v>
      </c>
      <c r="G224" s="4" t="s">
        <v>16</v>
      </c>
      <c r="H224" s="4" t="s">
        <v>77</v>
      </c>
      <c r="I224" s="5" t="s">
        <v>324</v>
      </c>
      <c r="J224" s="5"/>
      <c r="K224" s="22">
        <f>YEAR(Tabla1[[#This Row],[Fecha]])</f>
        <v>2025</v>
      </c>
      <c r="L224" s="22">
        <f>MONTH(Tabla1[[#This Row],[Fecha]])</f>
        <v>6</v>
      </c>
    </row>
    <row r="225" spans="2:12" hidden="1" x14ac:dyDescent="0.25">
      <c r="B225" s="5" t="s">
        <v>9</v>
      </c>
      <c r="C225" s="5" t="s">
        <v>87</v>
      </c>
      <c r="D225" s="5" t="s">
        <v>11</v>
      </c>
      <c r="E225" s="6">
        <v>45810</v>
      </c>
      <c r="F225" s="4" t="s">
        <v>91</v>
      </c>
      <c r="G225" s="4" t="s">
        <v>16</v>
      </c>
      <c r="H225" s="4" t="s">
        <v>34</v>
      </c>
      <c r="I225" s="5" t="s">
        <v>325</v>
      </c>
      <c r="J225" s="5"/>
      <c r="K225" s="22">
        <f>YEAR(Tabla1[[#This Row],[Fecha]])</f>
        <v>2025</v>
      </c>
      <c r="L225" s="22">
        <f>MONTH(Tabla1[[#This Row],[Fecha]])</f>
        <v>6</v>
      </c>
    </row>
    <row r="226" spans="2:12" hidden="1" x14ac:dyDescent="0.25">
      <c r="B226" s="5" t="s">
        <v>106</v>
      </c>
      <c r="C226" s="5" t="s">
        <v>110</v>
      </c>
      <c r="D226" s="5" t="s">
        <v>11</v>
      </c>
      <c r="E226" s="6">
        <v>45808</v>
      </c>
      <c r="F226" s="4" t="s">
        <v>15</v>
      </c>
      <c r="G226" s="4" t="s">
        <v>16</v>
      </c>
      <c r="H226" s="4" t="s">
        <v>63</v>
      </c>
      <c r="I226" s="5" t="s">
        <v>410</v>
      </c>
      <c r="J226" s="5"/>
      <c r="K226" s="22">
        <f>YEAR(Tabla1[[#This Row],[Fecha]])</f>
        <v>2025</v>
      </c>
      <c r="L226" s="22">
        <f>MONTH(Tabla1[[#This Row],[Fecha]])</f>
        <v>5</v>
      </c>
    </row>
    <row r="227" spans="2:12" hidden="1" x14ac:dyDescent="0.25">
      <c r="B227" s="5" t="s">
        <v>9</v>
      </c>
      <c r="C227" s="5" t="s">
        <v>87</v>
      </c>
      <c r="D227" s="5" t="s">
        <v>11</v>
      </c>
      <c r="E227" s="6">
        <v>45804</v>
      </c>
      <c r="F227" s="4" t="s">
        <v>15</v>
      </c>
      <c r="G227" s="4" t="s">
        <v>16</v>
      </c>
      <c r="H227" s="4" t="s">
        <v>1690</v>
      </c>
      <c r="I227" s="5" t="s">
        <v>344</v>
      </c>
      <c r="J227" s="5"/>
      <c r="K227" s="22">
        <f>YEAR(Tabla1[[#This Row],[Fecha]])</f>
        <v>2025</v>
      </c>
      <c r="L227" s="22">
        <f>MONTH(Tabla1[[#This Row],[Fecha]])</f>
        <v>5</v>
      </c>
    </row>
    <row r="228" spans="2:12" hidden="1" x14ac:dyDescent="0.25">
      <c r="B228" s="5" t="s">
        <v>49</v>
      </c>
      <c r="C228" s="5" t="s">
        <v>60</v>
      </c>
      <c r="D228" s="5" t="s">
        <v>11</v>
      </c>
      <c r="E228" s="6">
        <v>45800</v>
      </c>
      <c r="F228" s="4" t="s">
        <v>15</v>
      </c>
      <c r="G228" s="4" t="s">
        <v>36</v>
      </c>
      <c r="H228" s="4" t="s">
        <v>72</v>
      </c>
      <c r="I228" s="5" t="s">
        <v>345</v>
      </c>
      <c r="J228" s="5"/>
      <c r="K228" s="22">
        <f>YEAR(Tabla1[[#This Row],[Fecha]])</f>
        <v>2025</v>
      </c>
      <c r="L228" s="22">
        <f>MONTH(Tabla1[[#This Row],[Fecha]])</f>
        <v>5</v>
      </c>
    </row>
    <row r="229" spans="2:12" hidden="1" x14ac:dyDescent="0.25">
      <c r="B229" s="5" t="s">
        <v>39</v>
      </c>
      <c r="C229" s="5" t="s">
        <v>40</v>
      </c>
      <c r="D229" s="5" t="s">
        <v>11</v>
      </c>
      <c r="E229" s="6">
        <v>45799</v>
      </c>
      <c r="F229" s="4" t="s">
        <v>15</v>
      </c>
      <c r="G229" s="4" t="s">
        <v>103</v>
      </c>
      <c r="H229" s="20" t="s">
        <v>104</v>
      </c>
      <c r="I229" s="5" t="s">
        <v>346</v>
      </c>
      <c r="J229" s="5"/>
      <c r="K229" s="22">
        <f>YEAR(Tabla1[[#This Row],[Fecha]])</f>
        <v>2025</v>
      </c>
      <c r="L229" s="22">
        <f>MONTH(Tabla1[[#This Row],[Fecha]])</f>
        <v>5</v>
      </c>
    </row>
    <row r="230" spans="2:12" hidden="1" x14ac:dyDescent="0.25">
      <c r="B230" s="5" t="s">
        <v>39</v>
      </c>
      <c r="C230" s="5" t="s">
        <v>40</v>
      </c>
      <c r="D230" s="5" t="s">
        <v>11</v>
      </c>
      <c r="E230" s="6">
        <v>45797</v>
      </c>
      <c r="F230" s="4" t="s">
        <v>15</v>
      </c>
      <c r="G230" s="4" t="s">
        <v>24</v>
      </c>
      <c r="H230" s="4" t="s">
        <v>51</v>
      </c>
      <c r="I230" s="5" t="s">
        <v>1691</v>
      </c>
      <c r="J230" s="5"/>
      <c r="K230" s="22">
        <f>YEAR(Tabla1[[#This Row],[Fecha]])</f>
        <v>2025</v>
      </c>
      <c r="L230" s="22">
        <f>MONTH(Tabla1[[#This Row],[Fecha]])</f>
        <v>5</v>
      </c>
    </row>
    <row r="231" spans="2:12" hidden="1" x14ac:dyDescent="0.25">
      <c r="B231" s="5" t="s">
        <v>242</v>
      </c>
      <c r="C231" s="5" t="s">
        <v>243</v>
      </c>
      <c r="D231" s="5" t="s">
        <v>11</v>
      </c>
      <c r="E231" s="6">
        <v>45797</v>
      </c>
      <c r="F231" s="4" t="s">
        <v>15</v>
      </c>
      <c r="G231" s="4" t="s">
        <v>36</v>
      </c>
      <c r="H231" s="4" t="s">
        <v>145</v>
      </c>
      <c r="I231" s="5" t="s">
        <v>347</v>
      </c>
      <c r="J231" s="5"/>
      <c r="K231" s="22">
        <f>YEAR(Tabla1[[#This Row],[Fecha]])</f>
        <v>2025</v>
      </c>
      <c r="L231" s="22">
        <f>MONTH(Tabla1[[#This Row],[Fecha]])</f>
        <v>5</v>
      </c>
    </row>
    <row r="232" spans="2:12" hidden="1" x14ac:dyDescent="0.25">
      <c r="B232" s="5" t="s">
        <v>309</v>
      </c>
      <c r="C232" s="5" t="s">
        <v>315</v>
      </c>
      <c r="D232" s="5" t="s">
        <v>11</v>
      </c>
      <c r="E232" s="6">
        <v>45797</v>
      </c>
      <c r="F232" s="4" t="s">
        <v>15</v>
      </c>
      <c r="G232" s="4" t="s">
        <v>103</v>
      </c>
      <c r="H232" s="4" t="s">
        <v>348</v>
      </c>
      <c r="I232" s="5" t="s">
        <v>349</v>
      </c>
      <c r="J232" s="5"/>
      <c r="K232" s="22">
        <f>YEAR(Tabla1[[#This Row],[Fecha]])</f>
        <v>2025</v>
      </c>
      <c r="L232" s="22">
        <f>MONTH(Tabla1[[#This Row],[Fecha]])</f>
        <v>5</v>
      </c>
    </row>
    <row r="233" spans="2:12" hidden="1" x14ac:dyDescent="0.25">
      <c r="B233" s="5" t="s">
        <v>106</v>
      </c>
      <c r="C233" s="5" t="s">
        <v>110</v>
      </c>
      <c r="D233" s="5" t="s">
        <v>11</v>
      </c>
      <c r="E233" s="6">
        <v>45797</v>
      </c>
      <c r="F233" s="4" t="s">
        <v>15</v>
      </c>
      <c r="G233" s="4" t="s">
        <v>16</v>
      </c>
      <c r="H233" s="4" t="s">
        <v>63</v>
      </c>
      <c r="I233" s="5" t="s">
        <v>350</v>
      </c>
      <c r="J233" s="5"/>
      <c r="K233" s="22">
        <f>YEAR(Tabla1[[#This Row],[Fecha]])</f>
        <v>2025</v>
      </c>
      <c r="L233" s="22">
        <f>MONTH(Tabla1[[#This Row],[Fecha]])</f>
        <v>5</v>
      </c>
    </row>
    <row r="234" spans="2:12" hidden="1" x14ac:dyDescent="0.25">
      <c r="B234" s="5" t="s">
        <v>9</v>
      </c>
      <c r="C234" s="5" t="s">
        <v>14</v>
      </c>
      <c r="D234" s="5" t="s">
        <v>11</v>
      </c>
      <c r="E234" s="6">
        <v>45792</v>
      </c>
      <c r="F234" s="4" t="s">
        <v>15</v>
      </c>
      <c r="G234" s="4" t="s">
        <v>16</v>
      </c>
      <c r="H234" s="4" t="s">
        <v>63</v>
      </c>
      <c r="I234" s="5" t="s">
        <v>351</v>
      </c>
      <c r="J234" s="5"/>
      <c r="K234" s="22">
        <f>YEAR(Tabla1[[#This Row],[Fecha]])</f>
        <v>2025</v>
      </c>
      <c r="L234" s="22">
        <f>MONTH(Tabla1[[#This Row],[Fecha]])</f>
        <v>5</v>
      </c>
    </row>
    <row r="235" spans="2:12" hidden="1" x14ac:dyDescent="0.25">
      <c r="B235" s="5" t="s">
        <v>9</v>
      </c>
      <c r="C235" s="5" t="s">
        <v>87</v>
      </c>
      <c r="D235" s="5" t="s">
        <v>11</v>
      </c>
      <c r="E235" s="6">
        <v>45792</v>
      </c>
      <c r="F235" s="4" t="s">
        <v>15</v>
      </c>
      <c r="G235" s="4" t="s">
        <v>47</v>
      </c>
      <c r="H235" s="4" t="s">
        <v>121</v>
      </c>
      <c r="I235" s="5" t="s">
        <v>352</v>
      </c>
      <c r="J235" s="5"/>
      <c r="K235" s="22">
        <f>YEAR(Tabla1[[#This Row],[Fecha]])</f>
        <v>2025</v>
      </c>
      <c r="L235" s="22">
        <f>MONTH(Tabla1[[#This Row],[Fecha]])</f>
        <v>5</v>
      </c>
    </row>
    <row r="236" spans="2:12" hidden="1" x14ac:dyDescent="0.25">
      <c r="B236" s="5" t="s">
        <v>9</v>
      </c>
      <c r="C236" s="5" t="s">
        <v>71</v>
      </c>
      <c r="D236" s="5" t="s">
        <v>11</v>
      </c>
      <c r="E236" s="6">
        <v>45792</v>
      </c>
      <c r="F236" s="4" t="s">
        <v>15</v>
      </c>
      <c r="G236" s="4" t="s">
        <v>16</v>
      </c>
      <c r="H236" s="4" t="s">
        <v>63</v>
      </c>
      <c r="I236" s="5" t="s">
        <v>353</v>
      </c>
      <c r="J236" s="5"/>
      <c r="K236" s="22">
        <f>YEAR(Tabla1[[#This Row],[Fecha]])</f>
        <v>2025</v>
      </c>
      <c r="L236" s="22">
        <f>MONTH(Tabla1[[#This Row],[Fecha]])</f>
        <v>5</v>
      </c>
    </row>
    <row r="237" spans="2:12" hidden="1" x14ac:dyDescent="0.25">
      <c r="B237" s="5" t="s">
        <v>9</v>
      </c>
      <c r="C237" s="5" t="s">
        <v>82</v>
      </c>
      <c r="D237" s="5" t="s">
        <v>11</v>
      </c>
      <c r="E237" s="6">
        <v>45791</v>
      </c>
      <c r="F237" s="4" t="s">
        <v>91</v>
      </c>
      <c r="G237" s="4" t="s">
        <v>135</v>
      </c>
      <c r="H237" s="4" t="s">
        <v>223</v>
      </c>
      <c r="I237" s="5" t="s">
        <v>358</v>
      </c>
      <c r="J237" s="5"/>
      <c r="K237" s="22">
        <f>YEAR(Tabla1[[#This Row],[Fecha]])</f>
        <v>2025</v>
      </c>
      <c r="L237" s="22">
        <f>MONTH(Tabla1[[#This Row],[Fecha]])</f>
        <v>5</v>
      </c>
    </row>
    <row r="238" spans="2:12" hidden="1" x14ac:dyDescent="0.25">
      <c r="B238" s="5" t="s">
        <v>9</v>
      </c>
      <c r="C238" s="5" t="s">
        <v>14</v>
      </c>
      <c r="D238" s="5" t="s">
        <v>11</v>
      </c>
      <c r="E238" s="6">
        <v>45791</v>
      </c>
      <c r="F238" s="4" t="s">
        <v>91</v>
      </c>
      <c r="G238" s="4" t="s">
        <v>303</v>
      </c>
      <c r="H238" s="4" t="s">
        <v>359</v>
      </c>
      <c r="I238" s="5" t="s">
        <v>360</v>
      </c>
      <c r="J238" s="5"/>
      <c r="K238" s="22">
        <f>YEAR(Tabla1[[#This Row],[Fecha]])</f>
        <v>2025</v>
      </c>
      <c r="L238" s="22">
        <f>MONTH(Tabla1[[#This Row],[Fecha]])</f>
        <v>5</v>
      </c>
    </row>
    <row r="239" spans="2:12" hidden="1" x14ac:dyDescent="0.25">
      <c r="B239" s="5" t="s">
        <v>9</v>
      </c>
      <c r="C239" s="5" t="s">
        <v>102</v>
      </c>
      <c r="D239" s="5" t="s">
        <v>11</v>
      </c>
      <c r="E239" s="6">
        <v>45790</v>
      </c>
      <c r="F239" s="4" t="s">
        <v>91</v>
      </c>
      <c r="G239" s="4" t="s">
        <v>135</v>
      </c>
      <c r="H239" s="4" t="s">
        <v>1692</v>
      </c>
      <c r="I239" s="5" t="s">
        <v>354</v>
      </c>
      <c r="J239" s="5"/>
      <c r="K239" s="22">
        <f>YEAR(Tabla1[[#This Row],[Fecha]])</f>
        <v>2025</v>
      </c>
      <c r="L239" s="22">
        <f>MONTH(Tabla1[[#This Row],[Fecha]])</f>
        <v>5</v>
      </c>
    </row>
    <row r="240" spans="2:12" hidden="1" x14ac:dyDescent="0.25">
      <c r="B240" s="5" t="s">
        <v>242</v>
      </c>
      <c r="C240" s="5" t="s">
        <v>243</v>
      </c>
      <c r="D240" s="5" t="s">
        <v>131</v>
      </c>
      <c r="E240" s="6">
        <v>45789</v>
      </c>
      <c r="F240" s="4" t="s">
        <v>91</v>
      </c>
      <c r="G240" s="4" t="s">
        <v>36</v>
      </c>
      <c r="H240" s="4" t="s">
        <v>145</v>
      </c>
      <c r="I240" s="5" t="s">
        <v>355</v>
      </c>
      <c r="J240" s="5"/>
      <c r="K240" s="22">
        <f>YEAR(Tabla1[[#This Row],[Fecha]])</f>
        <v>2025</v>
      </c>
      <c r="L240" s="22">
        <f>MONTH(Tabla1[[#This Row],[Fecha]])</f>
        <v>5</v>
      </c>
    </row>
    <row r="241" spans="2:12" hidden="1" x14ac:dyDescent="0.25">
      <c r="B241" s="5" t="s">
        <v>242</v>
      </c>
      <c r="C241" s="5" t="s">
        <v>341</v>
      </c>
      <c r="D241" s="5" t="s">
        <v>131</v>
      </c>
      <c r="E241" s="6">
        <v>45789</v>
      </c>
      <c r="F241" s="8" t="s">
        <v>15</v>
      </c>
      <c r="G241" s="8" t="s">
        <v>135</v>
      </c>
      <c r="H241" s="8" t="s">
        <v>245</v>
      </c>
      <c r="I241" s="5" t="s">
        <v>356</v>
      </c>
      <c r="J241" s="7"/>
      <c r="K241" s="15">
        <f>YEAR(Tabla1[[#This Row],[Fecha]])</f>
        <v>2025</v>
      </c>
      <c r="L241" s="15">
        <f>MONTH(Tabla1[[#This Row],[Fecha]])</f>
        <v>5</v>
      </c>
    </row>
    <row r="242" spans="2:12" hidden="1" x14ac:dyDescent="0.25">
      <c r="B242" s="5" t="s">
        <v>9</v>
      </c>
      <c r="C242" s="5" t="s">
        <v>14</v>
      </c>
      <c r="D242" s="5" t="s">
        <v>11</v>
      </c>
      <c r="E242" s="6">
        <v>45784</v>
      </c>
      <c r="F242" s="4" t="s">
        <v>15</v>
      </c>
      <c r="G242" s="4" t="s">
        <v>135</v>
      </c>
      <c r="H242" s="4" t="s">
        <v>37</v>
      </c>
      <c r="I242" s="5" t="s">
        <v>357</v>
      </c>
      <c r="J242" s="5"/>
      <c r="K242" s="22">
        <f>YEAR(Tabla1[[#This Row],[Fecha]])</f>
        <v>2025</v>
      </c>
      <c r="L242" s="22">
        <f>MONTH(Tabla1[[#This Row],[Fecha]])</f>
        <v>5</v>
      </c>
    </row>
    <row r="243" spans="2:12" hidden="1" x14ac:dyDescent="0.25">
      <c r="B243" s="5" t="s">
        <v>106</v>
      </c>
      <c r="C243" s="5" t="s">
        <v>335</v>
      </c>
      <c r="D243" s="5" t="s">
        <v>11</v>
      </c>
      <c r="E243" s="6">
        <v>45783</v>
      </c>
      <c r="F243" s="4" t="s">
        <v>15</v>
      </c>
      <c r="G243" s="4" t="s">
        <v>47</v>
      </c>
      <c r="H243" s="4" t="s">
        <v>333</v>
      </c>
      <c r="I243" s="5" t="s">
        <v>362</v>
      </c>
      <c r="J243" s="5"/>
      <c r="K243" s="22">
        <f>YEAR(Tabla1[[#This Row],[Fecha]])</f>
        <v>2025</v>
      </c>
      <c r="L243" s="22">
        <f>MONTH(Tabla1[[#This Row],[Fecha]])</f>
        <v>5</v>
      </c>
    </row>
    <row r="244" spans="2:12" hidden="1" x14ac:dyDescent="0.25">
      <c r="B244" s="5" t="s">
        <v>49</v>
      </c>
      <c r="C244" s="5" t="s">
        <v>50</v>
      </c>
      <c r="D244" s="5" t="s">
        <v>11</v>
      </c>
      <c r="E244" s="6">
        <v>45783</v>
      </c>
      <c r="F244" s="4" t="s">
        <v>15</v>
      </c>
      <c r="G244" s="4" t="s">
        <v>16</v>
      </c>
      <c r="H244" s="4" t="s">
        <v>63</v>
      </c>
      <c r="I244" s="5" t="s">
        <v>406</v>
      </c>
      <c r="J244" s="5"/>
      <c r="K244" s="22">
        <f>YEAR(Tabla1[[#This Row],[Fecha]])</f>
        <v>2025</v>
      </c>
      <c r="L244" s="22">
        <f>MONTH(Tabla1[[#This Row],[Fecha]])</f>
        <v>5</v>
      </c>
    </row>
    <row r="245" spans="2:12" hidden="1" x14ac:dyDescent="0.25">
      <c r="B245" s="5" t="s">
        <v>9</v>
      </c>
      <c r="C245" s="5" t="s">
        <v>70</v>
      </c>
      <c r="D245" s="5" t="s">
        <v>11</v>
      </c>
      <c r="E245" s="6">
        <v>45783</v>
      </c>
      <c r="F245" s="4" t="s">
        <v>15</v>
      </c>
      <c r="G245" s="4" t="s">
        <v>47</v>
      </c>
      <c r="H245" s="4" t="s">
        <v>41</v>
      </c>
      <c r="I245" s="5" t="s">
        <v>412</v>
      </c>
      <c r="J245" s="5"/>
      <c r="K245" s="22">
        <f>YEAR(Tabla1[[#This Row],[Fecha]])</f>
        <v>2025</v>
      </c>
      <c r="L245" s="22">
        <f>MONTH(Tabla1[[#This Row],[Fecha]])</f>
        <v>5</v>
      </c>
    </row>
    <row r="246" spans="2:12" hidden="1" x14ac:dyDescent="0.25">
      <c r="B246" s="5" t="s">
        <v>193</v>
      </c>
      <c r="C246" s="5" t="s">
        <v>407</v>
      </c>
      <c r="D246" s="5" t="s">
        <v>131</v>
      </c>
      <c r="E246" s="6">
        <v>45777</v>
      </c>
      <c r="F246" s="4" t="s">
        <v>15</v>
      </c>
      <c r="G246" s="4" t="s">
        <v>16</v>
      </c>
      <c r="H246" s="4" t="s">
        <v>77</v>
      </c>
      <c r="I246" s="5" t="s">
        <v>408</v>
      </c>
      <c r="J246" s="5"/>
      <c r="K246" s="22">
        <f>YEAR(Tabla1[[#This Row],[Fecha]])</f>
        <v>2025</v>
      </c>
      <c r="L246" s="22">
        <f>MONTH(Tabla1[[#This Row],[Fecha]])</f>
        <v>4</v>
      </c>
    </row>
    <row r="247" spans="2:12" hidden="1" x14ac:dyDescent="0.25">
      <c r="B247" s="5" t="s">
        <v>193</v>
      </c>
      <c r="C247" s="5" t="s">
        <v>407</v>
      </c>
      <c r="D247" s="5" t="s">
        <v>131</v>
      </c>
      <c r="E247" s="6">
        <v>45777</v>
      </c>
      <c r="F247" s="4" t="s">
        <v>15</v>
      </c>
      <c r="G247" s="4" t="s">
        <v>16</v>
      </c>
      <c r="H247" s="4" t="s">
        <v>77</v>
      </c>
      <c r="I247" s="5" t="s">
        <v>408</v>
      </c>
      <c r="J247" s="5"/>
      <c r="K247" s="22">
        <f>YEAR(Tabla1[[#This Row],[Fecha]])</f>
        <v>2025</v>
      </c>
      <c r="L247" s="22">
        <f>MONTH(Tabla1[[#This Row],[Fecha]])</f>
        <v>4</v>
      </c>
    </row>
    <row r="248" spans="2:12" hidden="1" x14ac:dyDescent="0.25">
      <c r="B248" s="5" t="s">
        <v>193</v>
      </c>
      <c r="C248" s="5" t="s">
        <v>253</v>
      </c>
      <c r="D248" s="5" t="s">
        <v>131</v>
      </c>
      <c r="E248" s="6">
        <v>45777</v>
      </c>
      <c r="F248" s="4" t="s">
        <v>91</v>
      </c>
      <c r="G248" s="4" t="s">
        <v>135</v>
      </c>
      <c r="H248" s="4" t="s">
        <v>223</v>
      </c>
      <c r="I248" s="5" t="s">
        <v>409</v>
      </c>
      <c r="J248" s="5"/>
      <c r="K248" s="22">
        <f>YEAR(Tabla1[[#This Row],[Fecha]])</f>
        <v>2025</v>
      </c>
      <c r="L248" s="22">
        <f>MONTH(Tabla1[[#This Row],[Fecha]])</f>
        <v>4</v>
      </c>
    </row>
    <row r="249" spans="2:12" hidden="1" x14ac:dyDescent="0.25">
      <c r="B249" s="5" t="s">
        <v>49</v>
      </c>
      <c r="C249" s="5" t="s">
        <v>176</v>
      </c>
      <c r="D249" s="5" t="s">
        <v>131</v>
      </c>
      <c r="E249" s="6">
        <v>45776</v>
      </c>
      <c r="F249" s="4" t="s">
        <v>15</v>
      </c>
      <c r="G249" s="4" t="s">
        <v>16</v>
      </c>
      <c r="H249" s="4" t="s">
        <v>34</v>
      </c>
      <c r="I249" s="5" t="s">
        <v>428</v>
      </c>
      <c r="J249" s="5"/>
      <c r="K249" s="22">
        <f>YEAR(Tabla1[[#This Row],[Fecha]])</f>
        <v>2025</v>
      </c>
      <c r="L249" s="22">
        <f>MONTH(Tabla1[[#This Row],[Fecha]])</f>
        <v>4</v>
      </c>
    </row>
    <row r="250" spans="2:12" hidden="1" x14ac:dyDescent="0.25">
      <c r="B250" s="5" t="s">
        <v>32</v>
      </c>
      <c r="C250" s="5" t="s">
        <v>33</v>
      </c>
      <c r="D250" s="5" t="s">
        <v>131</v>
      </c>
      <c r="E250" s="6">
        <v>45775</v>
      </c>
      <c r="F250" s="4" t="s">
        <v>91</v>
      </c>
      <c r="G250" s="4" t="s">
        <v>303</v>
      </c>
      <c r="H250" s="4" t="s">
        <v>434</v>
      </c>
      <c r="I250" s="5" t="s">
        <v>435</v>
      </c>
      <c r="J250" s="5"/>
      <c r="K250" s="22">
        <f>YEAR(Tabla1[[#This Row],[Fecha]])</f>
        <v>2025</v>
      </c>
      <c r="L250" s="22">
        <f>MONTH(Tabla1[[#This Row],[Fecha]])</f>
        <v>4</v>
      </c>
    </row>
    <row r="251" spans="2:12" hidden="1" x14ac:dyDescent="0.25">
      <c r="B251" s="5" t="s">
        <v>309</v>
      </c>
      <c r="C251" s="5" t="s">
        <v>318</v>
      </c>
      <c r="D251" s="5" t="s">
        <v>131</v>
      </c>
      <c r="E251" s="6">
        <v>45772</v>
      </c>
      <c r="F251" s="4" t="s">
        <v>15</v>
      </c>
      <c r="G251" s="4" t="s">
        <v>103</v>
      </c>
      <c r="H251" s="4" t="s">
        <v>104</v>
      </c>
      <c r="I251" s="5" t="s">
        <v>430</v>
      </c>
      <c r="J251" s="5"/>
      <c r="K251" s="22">
        <f>YEAR(Tabla1[[#This Row],[Fecha]])</f>
        <v>2025</v>
      </c>
      <c r="L251" s="22">
        <f>MONTH(Tabla1[[#This Row],[Fecha]])</f>
        <v>4</v>
      </c>
    </row>
    <row r="252" spans="2:12" hidden="1" x14ac:dyDescent="0.25">
      <c r="B252" s="5" t="s">
        <v>39</v>
      </c>
      <c r="C252" s="5" t="s">
        <v>40</v>
      </c>
      <c r="D252" s="5" t="s">
        <v>131</v>
      </c>
      <c r="E252" s="6">
        <v>45771</v>
      </c>
      <c r="F252" s="4" t="s">
        <v>91</v>
      </c>
      <c r="G252" s="4" t="s">
        <v>16</v>
      </c>
      <c r="H252" s="4" t="s">
        <v>34</v>
      </c>
      <c r="I252" s="5" t="s">
        <v>429</v>
      </c>
      <c r="J252" s="5"/>
      <c r="K252" s="22">
        <f>YEAR(Tabla1[[#This Row],[Fecha]])</f>
        <v>2025</v>
      </c>
      <c r="L252" s="22">
        <f>MONTH(Tabla1[[#This Row],[Fecha]])</f>
        <v>4</v>
      </c>
    </row>
    <row r="253" spans="2:12" hidden="1" x14ac:dyDescent="0.25">
      <c r="B253" s="5" t="s">
        <v>32</v>
      </c>
      <c r="C253" s="5" t="s">
        <v>33</v>
      </c>
      <c r="D253" s="5" t="s">
        <v>131</v>
      </c>
      <c r="E253" s="6">
        <v>45768</v>
      </c>
      <c r="F253" s="4" t="s">
        <v>15</v>
      </c>
      <c r="G253" s="4" t="s">
        <v>16</v>
      </c>
      <c r="H253" s="4" t="s">
        <v>63</v>
      </c>
      <c r="I253" s="5" t="s">
        <v>436</v>
      </c>
      <c r="J253" s="5"/>
      <c r="K253" s="22">
        <f>YEAR(Tabla1[[#This Row],[Fecha]])</f>
        <v>2025</v>
      </c>
      <c r="L253" s="22">
        <f>MONTH(Tabla1[[#This Row],[Fecha]])</f>
        <v>4</v>
      </c>
    </row>
    <row r="254" spans="2:12" hidden="1" x14ac:dyDescent="0.25">
      <c r="B254" s="5" t="s">
        <v>32</v>
      </c>
      <c r="C254" s="5" t="s">
        <v>33</v>
      </c>
      <c r="D254" s="5" t="s">
        <v>11</v>
      </c>
      <c r="E254" s="6">
        <v>45763</v>
      </c>
      <c r="F254" s="4" t="s">
        <v>15</v>
      </c>
      <c r="G254" s="4" t="s">
        <v>16</v>
      </c>
      <c r="H254" s="4" t="s">
        <v>34</v>
      </c>
      <c r="I254" s="5" t="s">
        <v>403</v>
      </c>
      <c r="J254" s="5"/>
      <c r="K254" s="22">
        <f>YEAR(Tabla1[[#This Row],[Fecha]])</f>
        <v>2025</v>
      </c>
      <c r="L254" s="22">
        <f>MONTH(Tabla1[[#This Row],[Fecha]])</f>
        <v>4</v>
      </c>
    </row>
    <row r="255" spans="2:12" hidden="1" x14ac:dyDescent="0.25">
      <c r="B255" s="5" t="s">
        <v>381</v>
      </c>
      <c r="C255" s="5" t="s">
        <v>404</v>
      </c>
      <c r="D255" s="5" t="s">
        <v>11</v>
      </c>
      <c r="E255" s="6">
        <v>45762</v>
      </c>
      <c r="F255" s="4" t="s">
        <v>15</v>
      </c>
      <c r="G255" s="4" t="s">
        <v>24</v>
      </c>
      <c r="H255" s="4" t="s">
        <v>25</v>
      </c>
      <c r="I255" s="5" t="s">
        <v>405</v>
      </c>
      <c r="J255" s="5"/>
      <c r="K255" s="22">
        <f>YEAR(Tabla1[[#This Row],[Fecha]])</f>
        <v>2025</v>
      </c>
      <c r="L255" s="22">
        <f>MONTH(Tabla1[[#This Row],[Fecha]])</f>
        <v>4</v>
      </c>
    </row>
    <row r="256" spans="2:12" hidden="1" x14ac:dyDescent="0.25">
      <c r="B256" s="5" t="s">
        <v>9</v>
      </c>
      <c r="C256" s="5" t="s">
        <v>93</v>
      </c>
      <c r="D256" s="5" t="s">
        <v>11</v>
      </c>
      <c r="E256" s="6">
        <v>45762</v>
      </c>
      <c r="F256" s="4" t="s">
        <v>91</v>
      </c>
      <c r="G256" s="4" t="s">
        <v>16</v>
      </c>
      <c r="H256" s="4" t="s">
        <v>417</v>
      </c>
      <c r="I256" s="5" t="s">
        <v>418</v>
      </c>
      <c r="J256" s="5"/>
      <c r="K256" s="22">
        <f>YEAR(Tabla1[[#This Row],[Fecha]])</f>
        <v>2025</v>
      </c>
      <c r="L256" s="22">
        <f>MONTH(Tabla1[[#This Row],[Fecha]])</f>
        <v>4</v>
      </c>
    </row>
    <row r="257" spans="2:12" hidden="1" x14ac:dyDescent="0.25">
      <c r="B257" s="5" t="s">
        <v>19</v>
      </c>
      <c r="C257" s="5" t="s">
        <v>160</v>
      </c>
      <c r="D257" s="5" t="s">
        <v>131</v>
      </c>
      <c r="E257" s="6">
        <v>45761</v>
      </c>
      <c r="F257" s="4" t="s">
        <v>91</v>
      </c>
      <c r="G257" s="4" t="s">
        <v>47</v>
      </c>
      <c r="H257" s="4" t="s">
        <v>195</v>
      </c>
      <c r="I257" s="5" t="s">
        <v>364</v>
      </c>
      <c r="J257" s="5"/>
      <c r="K257" s="22">
        <f>YEAR(Tabla1[[#This Row],[Fecha]])</f>
        <v>2025</v>
      </c>
      <c r="L257" s="22">
        <f>MONTH(Tabla1[[#This Row],[Fecha]])</f>
        <v>4</v>
      </c>
    </row>
    <row r="258" spans="2:12" hidden="1" x14ac:dyDescent="0.25">
      <c r="B258" s="5" t="s">
        <v>206</v>
      </c>
      <c r="C258" s="5" t="s">
        <v>207</v>
      </c>
      <c r="D258" s="5" t="s">
        <v>131</v>
      </c>
      <c r="E258" s="6">
        <v>45761</v>
      </c>
      <c r="F258" s="4" t="s">
        <v>15</v>
      </c>
      <c r="G258" s="4" t="s">
        <v>36</v>
      </c>
      <c r="H258" s="4" t="s">
        <v>72</v>
      </c>
      <c r="I258" s="5" t="s">
        <v>398</v>
      </c>
      <c r="J258" s="5"/>
      <c r="K258" s="22">
        <f>YEAR(Tabla1[[#This Row],[Fecha]])</f>
        <v>2025</v>
      </c>
      <c r="L258" s="22">
        <f>MONTH(Tabla1[[#This Row],[Fecha]])</f>
        <v>4</v>
      </c>
    </row>
    <row r="259" spans="2:12" hidden="1" x14ac:dyDescent="0.25">
      <c r="B259" s="5" t="s">
        <v>106</v>
      </c>
      <c r="C259" s="5" t="s">
        <v>110</v>
      </c>
      <c r="D259" s="5" t="s">
        <v>11</v>
      </c>
      <c r="E259" s="6">
        <v>45761</v>
      </c>
      <c r="F259" s="4" t="s">
        <v>15</v>
      </c>
      <c r="G259" s="4" t="s">
        <v>16</v>
      </c>
      <c r="H259" s="4" t="s">
        <v>63</v>
      </c>
      <c r="I259" s="5" t="s">
        <v>410</v>
      </c>
      <c r="J259" s="5"/>
      <c r="K259" s="22">
        <f>YEAR(Tabla1[[#This Row],[Fecha]])</f>
        <v>2025</v>
      </c>
      <c r="L259" s="22">
        <f>MONTH(Tabla1[[#This Row],[Fecha]])</f>
        <v>4</v>
      </c>
    </row>
    <row r="260" spans="2:12" hidden="1" x14ac:dyDescent="0.25">
      <c r="B260" s="5" t="s">
        <v>32</v>
      </c>
      <c r="C260" s="5" t="s">
        <v>33</v>
      </c>
      <c r="D260" s="5" t="s">
        <v>131</v>
      </c>
      <c r="E260" s="6">
        <v>45761</v>
      </c>
      <c r="F260" s="4" t="s">
        <v>91</v>
      </c>
      <c r="G260" s="4" t="s">
        <v>303</v>
      </c>
      <c r="H260" s="4" t="s">
        <v>431</v>
      </c>
      <c r="I260" s="5" t="s">
        <v>432</v>
      </c>
      <c r="J260" s="5"/>
      <c r="K260" s="22">
        <f>YEAR(Tabla1[[#This Row],[Fecha]])</f>
        <v>2025</v>
      </c>
      <c r="L260" s="22">
        <f>MONTH(Tabla1[[#This Row],[Fecha]])</f>
        <v>4</v>
      </c>
    </row>
    <row r="261" spans="2:12" hidden="1" x14ac:dyDescent="0.25">
      <c r="B261" s="5" t="s">
        <v>9</v>
      </c>
      <c r="C261" s="5" t="s">
        <v>93</v>
      </c>
      <c r="D261" s="5" t="s">
        <v>11</v>
      </c>
      <c r="E261" s="6">
        <v>45756</v>
      </c>
      <c r="F261" s="4" t="s">
        <v>15</v>
      </c>
      <c r="G261" s="4" t="s">
        <v>47</v>
      </c>
      <c r="H261" s="4" t="s">
        <v>420</v>
      </c>
      <c r="I261" s="5" t="s">
        <v>421</v>
      </c>
      <c r="J261" s="5"/>
      <c r="K261" s="22">
        <f>YEAR(Tabla1[[#This Row],[Fecha]])</f>
        <v>2025</v>
      </c>
      <c r="L261" s="22">
        <f>MONTH(Tabla1[[#This Row],[Fecha]])</f>
        <v>4</v>
      </c>
    </row>
    <row r="262" spans="2:12" hidden="1" x14ac:dyDescent="0.25">
      <c r="B262" s="5" t="s">
        <v>9</v>
      </c>
      <c r="C262" s="5" t="s">
        <v>80</v>
      </c>
      <c r="D262" s="5" t="s">
        <v>131</v>
      </c>
      <c r="E262" s="6">
        <v>45755</v>
      </c>
      <c r="F262" s="4" t="s">
        <v>91</v>
      </c>
      <c r="G262" s="4" t="s">
        <v>16</v>
      </c>
      <c r="H262" s="4" t="s">
        <v>417</v>
      </c>
      <c r="I262" s="5" t="s">
        <v>422</v>
      </c>
      <c r="J262" s="5"/>
      <c r="K262" s="22">
        <f>YEAR(Tabla1[[#This Row],[Fecha]])</f>
        <v>2025</v>
      </c>
      <c r="L262" s="22">
        <f>MONTH(Tabla1[[#This Row],[Fecha]])</f>
        <v>4</v>
      </c>
    </row>
    <row r="263" spans="2:12" hidden="1" x14ac:dyDescent="0.25">
      <c r="B263" s="5" t="s">
        <v>9</v>
      </c>
      <c r="C263" s="5" t="s">
        <v>93</v>
      </c>
      <c r="D263" s="5" t="s">
        <v>131</v>
      </c>
      <c r="E263" s="6">
        <v>45755</v>
      </c>
      <c r="F263" s="4" t="s">
        <v>91</v>
      </c>
      <c r="G263" s="4" t="s">
        <v>16</v>
      </c>
      <c r="H263" s="4" t="s">
        <v>417</v>
      </c>
      <c r="I263" s="5" t="s">
        <v>423</v>
      </c>
      <c r="J263" s="5"/>
      <c r="K263" s="22">
        <f>YEAR(Tabla1[[#This Row],[Fecha]])</f>
        <v>2025</v>
      </c>
      <c r="L263" s="22">
        <f>MONTH(Tabla1[[#This Row],[Fecha]])</f>
        <v>4</v>
      </c>
    </row>
    <row r="264" spans="2:12" hidden="1" x14ac:dyDescent="0.25">
      <c r="B264" s="5" t="s">
        <v>32</v>
      </c>
      <c r="C264" s="5" t="s">
        <v>33</v>
      </c>
      <c r="D264" s="5" t="s">
        <v>131</v>
      </c>
      <c r="E264" s="6">
        <v>45754</v>
      </c>
      <c r="F264" s="4" t="s">
        <v>91</v>
      </c>
      <c r="G264" s="4" t="s">
        <v>303</v>
      </c>
      <c r="H264" s="4" t="s">
        <v>431</v>
      </c>
      <c r="I264" s="5" t="s">
        <v>433</v>
      </c>
      <c r="J264" s="5"/>
      <c r="K264" s="22">
        <f>YEAR(Tabla1[[#This Row],[Fecha]])</f>
        <v>2025</v>
      </c>
      <c r="L264" s="22">
        <f>MONTH(Tabla1[[#This Row],[Fecha]])</f>
        <v>4</v>
      </c>
    </row>
    <row r="265" spans="2:12" hidden="1" x14ac:dyDescent="0.25">
      <c r="B265" s="5" t="s">
        <v>106</v>
      </c>
      <c r="C265" s="5" t="s">
        <v>335</v>
      </c>
      <c r="D265" s="5" t="s">
        <v>11</v>
      </c>
      <c r="E265" s="6">
        <v>45747</v>
      </c>
      <c r="F265" s="4" t="s">
        <v>91</v>
      </c>
      <c r="G265" s="4" t="s">
        <v>303</v>
      </c>
      <c r="H265" s="4" t="s">
        <v>359</v>
      </c>
      <c r="I265" s="5" t="s">
        <v>361</v>
      </c>
      <c r="J265" s="5"/>
      <c r="K265" s="22">
        <f>YEAR(Tabla1[[#This Row],[Fecha]])</f>
        <v>2025</v>
      </c>
      <c r="L265" s="22">
        <f>MONTH(Tabla1[[#This Row],[Fecha]])</f>
        <v>3</v>
      </c>
    </row>
    <row r="266" spans="2:12" hidden="1" x14ac:dyDescent="0.25">
      <c r="B266" s="5" t="s">
        <v>106</v>
      </c>
      <c r="C266" s="5" t="s">
        <v>107</v>
      </c>
      <c r="D266" s="5" t="s">
        <v>11</v>
      </c>
      <c r="E266" s="6">
        <v>45747</v>
      </c>
      <c r="F266" s="4" t="s">
        <v>91</v>
      </c>
      <c r="G266" s="4" t="s">
        <v>303</v>
      </c>
      <c r="H266" s="4" t="s">
        <v>359</v>
      </c>
      <c r="I266" s="5" t="s">
        <v>363</v>
      </c>
      <c r="J266" s="5"/>
      <c r="K266" s="22">
        <f>YEAR(Tabla1[[#This Row],[Fecha]])</f>
        <v>2025</v>
      </c>
      <c r="L266" s="22">
        <f>MONTH(Tabla1[[#This Row],[Fecha]])</f>
        <v>3</v>
      </c>
    </row>
    <row r="267" spans="2:12" hidden="1" x14ac:dyDescent="0.25">
      <c r="B267" s="5" t="s">
        <v>32</v>
      </c>
      <c r="C267" s="5" t="s">
        <v>142</v>
      </c>
      <c r="D267" s="5" t="s">
        <v>11</v>
      </c>
      <c r="E267" s="6">
        <v>45742</v>
      </c>
      <c r="F267" s="4" t="s">
        <v>15</v>
      </c>
      <c r="G267" s="4" t="s">
        <v>135</v>
      </c>
      <c r="H267" s="4" t="s">
        <v>37</v>
      </c>
      <c r="I267" s="5" t="s">
        <v>400</v>
      </c>
      <c r="J267" s="5"/>
      <c r="K267" s="22">
        <f>YEAR(Tabla1[[#This Row],[Fecha]])</f>
        <v>2025</v>
      </c>
      <c r="L267" s="22">
        <f>MONTH(Tabla1[[#This Row],[Fecha]])</f>
        <v>3</v>
      </c>
    </row>
    <row r="268" spans="2:12" hidden="1" x14ac:dyDescent="0.25">
      <c r="B268" s="5" t="s">
        <v>9</v>
      </c>
      <c r="C268" s="5" t="s">
        <v>10</v>
      </c>
      <c r="D268" s="5" t="s">
        <v>11</v>
      </c>
      <c r="E268" s="6">
        <v>45739</v>
      </c>
      <c r="F268" s="4" t="s">
        <v>15</v>
      </c>
      <c r="G268" s="4" t="s">
        <v>16</v>
      </c>
      <c r="H268" s="4" t="s">
        <v>77</v>
      </c>
      <c r="I268" s="5" t="s">
        <v>414</v>
      </c>
      <c r="J268" s="5"/>
      <c r="K268" s="22">
        <f>YEAR(Tabla1[[#This Row],[Fecha]])</f>
        <v>2025</v>
      </c>
      <c r="L268" s="22">
        <f>MONTH(Tabla1[[#This Row],[Fecha]])</f>
        <v>3</v>
      </c>
    </row>
    <row r="269" spans="2:12" hidden="1" x14ac:dyDescent="0.25">
      <c r="B269" s="5" t="s">
        <v>49</v>
      </c>
      <c r="C269" s="5" t="s">
        <v>57</v>
      </c>
      <c r="D269" s="5" t="s">
        <v>11</v>
      </c>
      <c r="E269" s="6">
        <v>45737</v>
      </c>
      <c r="F269" s="4" t="s">
        <v>91</v>
      </c>
      <c r="G269" s="4" t="s">
        <v>303</v>
      </c>
      <c r="H269" s="4" t="s">
        <v>434</v>
      </c>
      <c r="I269" s="5" t="s">
        <v>451</v>
      </c>
      <c r="J269" s="5"/>
      <c r="K269" s="22">
        <f>YEAR(Tabla1[[#This Row],[Fecha]])</f>
        <v>2025</v>
      </c>
      <c r="L269" s="22">
        <f>MONTH(Tabla1[[#This Row],[Fecha]])</f>
        <v>3</v>
      </c>
    </row>
    <row r="270" spans="2:12" hidden="1" x14ac:dyDescent="0.25">
      <c r="B270" s="5" t="s">
        <v>49</v>
      </c>
      <c r="C270" s="5" t="s">
        <v>111</v>
      </c>
      <c r="D270" s="5" t="s">
        <v>11</v>
      </c>
      <c r="E270" s="6">
        <v>45737</v>
      </c>
      <c r="F270" s="4" t="s">
        <v>91</v>
      </c>
      <c r="G270" s="4" t="s">
        <v>303</v>
      </c>
      <c r="H270" s="4" t="s">
        <v>434</v>
      </c>
      <c r="I270" s="5" t="s">
        <v>452</v>
      </c>
      <c r="J270" s="5"/>
      <c r="K270" s="22">
        <f>YEAR(Tabla1[[#This Row],[Fecha]])</f>
        <v>2025</v>
      </c>
      <c r="L270" s="22">
        <f>MONTH(Tabla1[[#This Row],[Fecha]])</f>
        <v>3</v>
      </c>
    </row>
    <row r="271" spans="2:12" hidden="1" x14ac:dyDescent="0.25">
      <c r="B271" s="5" t="s">
        <v>49</v>
      </c>
      <c r="C271" s="5" t="s">
        <v>117</v>
      </c>
      <c r="D271" s="5" t="s">
        <v>11</v>
      </c>
      <c r="E271" s="6">
        <v>45737</v>
      </c>
      <c r="F271" s="4" t="s">
        <v>91</v>
      </c>
      <c r="G271" s="4" t="s">
        <v>303</v>
      </c>
      <c r="H271" s="4" t="s">
        <v>434</v>
      </c>
      <c r="I271" s="5" t="s">
        <v>453</v>
      </c>
      <c r="J271" s="5"/>
      <c r="K271" s="22">
        <f>YEAR(Tabla1[[#This Row],[Fecha]])</f>
        <v>2025</v>
      </c>
      <c r="L271" s="22">
        <f>MONTH(Tabla1[[#This Row],[Fecha]])</f>
        <v>3</v>
      </c>
    </row>
    <row r="272" spans="2:12" hidden="1" x14ac:dyDescent="0.25">
      <c r="B272" s="5" t="s">
        <v>49</v>
      </c>
      <c r="C272" s="5" t="s">
        <v>56</v>
      </c>
      <c r="D272" s="5" t="s">
        <v>11</v>
      </c>
      <c r="E272" s="6">
        <v>45737</v>
      </c>
      <c r="F272" s="4" t="s">
        <v>91</v>
      </c>
      <c r="G272" s="4" t="s">
        <v>303</v>
      </c>
      <c r="H272" s="4" t="s">
        <v>434</v>
      </c>
      <c r="I272" s="5" t="s">
        <v>454</v>
      </c>
      <c r="J272" s="5"/>
      <c r="K272" s="22">
        <f>YEAR(Tabla1[[#This Row],[Fecha]])</f>
        <v>2025</v>
      </c>
      <c r="L272" s="22">
        <f>MONTH(Tabla1[[#This Row],[Fecha]])</f>
        <v>3</v>
      </c>
    </row>
    <row r="273" spans="2:12" hidden="1" x14ac:dyDescent="0.25">
      <c r="B273" s="5" t="s">
        <v>49</v>
      </c>
      <c r="C273" s="5" t="s">
        <v>123</v>
      </c>
      <c r="D273" s="5" t="s">
        <v>11</v>
      </c>
      <c r="E273" s="6">
        <v>45737</v>
      </c>
      <c r="F273" s="4" t="s">
        <v>91</v>
      </c>
      <c r="G273" s="4" t="s">
        <v>303</v>
      </c>
      <c r="H273" s="4" t="s">
        <v>434</v>
      </c>
      <c r="I273" s="5" t="s">
        <v>455</v>
      </c>
      <c r="J273" s="5"/>
      <c r="K273" s="22">
        <f>YEAR(Tabla1[[#This Row],[Fecha]])</f>
        <v>2025</v>
      </c>
      <c r="L273" s="22">
        <f>MONTH(Tabla1[[#This Row],[Fecha]])</f>
        <v>3</v>
      </c>
    </row>
    <row r="274" spans="2:12" hidden="1" x14ac:dyDescent="0.25">
      <c r="B274" s="5" t="s">
        <v>49</v>
      </c>
      <c r="C274" s="5" t="s">
        <v>50</v>
      </c>
      <c r="D274" s="5" t="s">
        <v>11</v>
      </c>
      <c r="E274" s="6">
        <v>45737</v>
      </c>
      <c r="F274" s="4" t="s">
        <v>91</v>
      </c>
      <c r="G274" s="4" t="s">
        <v>303</v>
      </c>
      <c r="H274" s="4" t="s">
        <v>434</v>
      </c>
      <c r="I274" s="5" t="s">
        <v>456</v>
      </c>
      <c r="J274" s="5"/>
      <c r="K274" s="22">
        <f>YEAR(Tabla1[[#This Row],[Fecha]])</f>
        <v>2025</v>
      </c>
      <c r="L274" s="22">
        <f>MONTH(Tabla1[[#This Row],[Fecha]])</f>
        <v>3</v>
      </c>
    </row>
    <row r="275" spans="2:12" hidden="1" x14ac:dyDescent="0.25">
      <c r="B275" s="5" t="s">
        <v>49</v>
      </c>
      <c r="C275" s="5" t="s">
        <v>115</v>
      </c>
      <c r="D275" s="5" t="s">
        <v>11</v>
      </c>
      <c r="E275" s="6">
        <v>45737</v>
      </c>
      <c r="F275" s="4" t="s">
        <v>91</v>
      </c>
      <c r="G275" s="4" t="s">
        <v>303</v>
      </c>
      <c r="H275" s="4" t="s">
        <v>434</v>
      </c>
      <c r="I275" s="5"/>
      <c r="J275" s="5"/>
      <c r="K275" s="22">
        <f>YEAR(Tabla1[[#This Row],[Fecha]])</f>
        <v>2025</v>
      </c>
      <c r="L275" s="22">
        <f>MONTH(Tabla1[[#This Row],[Fecha]])</f>
        <v>3</v>
      </c>
    </row>
    <row r="276" spans="2:12" hidden="1" x14ac:dyDescent="0.25">
      <c r="B276" s="5" t="s">
        <v>49</v>
      </c>
      <c r="C276" s="5" t="s">
        <v>60</v>
      </c>
      <c r="D276" s="5" t="s">
        <v>11</v>
      </c>
      <c r="E276" s="6">
        <v>45737</v>
      </c>
      <c r="F276" s="4" t="s">
        <v>91</v>
      </c>
      <c r="G276" s="4" t="s">
        <v>303</v>
      </c>
      <c r="H276" s="4" t="s">
        <v>434</v>
      </c>
      <c r="I276" s="5" t="s">
        <v>457</v>
      </c>
      <c r="J276" s="5"/>
      <c r="K276" s="22">
        <f>YEAR(Tabla1[[#This Row],[Fecha]])</f>
        <v>2025</v>
      </c>
      <c r="L276" s="22">
        <f>MONTH(Tabla1[[#This Row],[Fecha]])</f>
        <v>3</v>
      </c>
    </row>
    <row r="277" spans="2:12" hidden="1" x14ac:dyDescent="0.25">
      <c r="B277" s="5" t="s">
        <v>49</v>
      </c>
      <c r="C277" s="5" t="s">
        <v>66</v>
      </c>
      <c r="D277" s="5" t="s">
        <v>11</v>
      </c>
      <c r="E277" s="6">
        <v>45736</v>
      </c>
      <c r="F277" s="4" t="s">
        <v>91</v>
      </c>
      <c r="G277" s="4" t="s">
        <v>16</v>
      </c>
      <c r="H277" s="4" t="s">
        <v>34</v>
      </c>
      <c r="I277" s="5" t="s">
        <v>438</v>
      </c>
      <c r="J277" s="5"/>
      <c r="K277" s="22">
        <f>YEAR(Tabla1[[#This Row],[Fecha]])</f>
        <v>2025</v>
      </c>
      <c r="L277" s="22">
        <f>MONTH(Tabla1[[#This Row],[Fecha]])</f>
        <v>3</v>
      </c>
    </row>
    <row r="278" spans="2:12" hidden="1" x14ac:dyDescent="0.25">
      <c r="B278" s="5" t="s">
        <v>309</v>
      </c>
      <c r="C278" s="5" t="s">
        <v>313</v>
      </c>
      <c r="D278" s="5" t="s">
        <v>131</v>
      </c>
      <c r="E278" s="6">
        <v>45735</v>
      </c>
      <c r="F278" s="4" t="s">
        <v>15</v>
      </c>
      <c r="G278" s="4" t="s">
        <v>16</v>
      </c>
      <c r="H278" s="4" t="s">
        <v>97</v>
      </c>
      <c r="I278" s="5" t="s">
        <v>401</v>
      </c>
      <c r="J278" s="5"/>
      <c r="K278" s="22">
        <f>YEAR(Tabla1[[#This Row],[Fecha]])</f>
        <v>2025</v>
      </c>
      <c r="L278" s="22">
        <f>MONTH(Tabla1[[#This Row],[Fecha]])</f>
        <v>3</v>
      </c>
    </row>
    <row r="279" spans="2:12" hidden="1" x14ac:dyDescent="0.25">
      <c r="B279" s="5" t="s">
        <v>49</v>
      </c>
      <c r="C279" s="5" t="s">
        <v>60</v>
      </c>
      <c r="D279" s="5" t="s">
        <v>11</v>
      </c>
      <c r="E279" s="6">
        <v>45735</v>
      </c>
      <c r="F279" s="4" t="s">
        <v>91</v>
      </c>
      <c r="G279" s="4" t="s">
        <v>303</v>
      </c>
      <c r="H279" s="4" t="s">
        <v>434</v>
      </c>
      <c r="I279" s="5" t="s">
        <v>457</v>
      </c>
      <c r="J279" s="5"/>
      <c r="K279" s="22">
        <f>YEAR(Tabla1[[#This Row],[Fecha]])</f>
        <v>2025</v>
      </c>
      <c r="L279" s="22">
        <f>MONTH(Tabla1[[#This Row],[Fecha]])</f>
        <v>3</v>
      </c>
    </row>
    <row r="280" spans="2:12" hidden="1" x14ac:dyDescent="0.25">
      <c r="B280" s="5" t="s">
        <v>49</v>
      </c>
      <c r="C280" s="5" t="s">
        <v>176</v>
      </c>
      <c r="D280" s="5" t="s">
        <v>11</v>
      </c>
      <c r="E280" s="6">
        <v>45735</v>
      </c>
      <c r="F280" s="4" t="s">
        <v>91</v>
      </c>
      <c r="G280" s="4" t="s">
        <v>303</v>
      </c>
      <c r="H280" s="4" t="s">
        <v>434</v>
      </c>
      <c r="I280" s="5" t="s">
        <v>458</v>
      </c>
      <c r="J280" s="5"/>
      <c r="K280" s="22">
        <f>YEAR(Tabla1[[#This Row],[Fecha]])</f>
        <v>2025</v>
      </c>
      <c r="L280" s="22">
        <f>MONTH(Tabla1[[#This Row],[Fecha]])</f>
        <v>3</v>
      </c>
    </row>
    <row r="281" spans="2:12" hidden="1" x14ac:dyDescent="0.25">
      <c r="B281" s="5" t="s">
        <v>49</v>
      </c>
      <c r="C281" s="5" t="s">
        <v>176</v>
      </c>
      <c r="D281" s="5" t="s">
        <v>11</v>
      </c>
      <c r="E281" s="6">
        <v>45735</v>
      </c>
      <c r="F281" s="4" t="s">
        <v>91</v>
      </c>
      <c r="G281" s="4" t="s">
        <v>303</v>
      </c>
      <c r="H281" s="4" t="s">
        <v>434</v>
      </c>
      <c r="I281" s="5" t="s">
        <v>459</v>
      </c>
      <c r="J281" s="5"/>
      <c r="K281" s="22">
        <f>YEAR(Tabla1[[#This Row],[Fecha]])</f>
        <v>2025</v>
      </c>
      <c r="L281" s="22">
        <f>MONTH(Tabla1[[#This Row],[Fecha]])</f>
        <v>3</v>
      </c>
    </row>
    <row r="282" spans="2:12" hidden="1" x14ac:dyDescent="0.25">
      <c r="B282" s="5" t="s">
        <v>49</v>
      </c>
      <c r="C282" s="5" t="s">
        <v>66</v>
      </c>
      <c r="D282" s="5" t="s">
        <v>11</v>
      </c>
      <c r="E282" s="6">
        <v>45735</v>
      </c>
      <c r="F282" s="4" t="s">
        <v>91</v>
      </c>
      <c r="G282" s="4" t="s">
        <v>303</v>
      </c>
      <c r="H282" s="4" t="s">
        <v>434</v>
      </c>
      <c r="I282" s="5" t="s">
        <v>460</v>
      </c>
      <c r="J282" s="5"/>
      <c r="K282" s="22">
        <f>YEAR(Tabla1[[#This Row],[Fecha]])</f>
        <v>2025</v>
      </c>
      <c r="L282" s="22">
        <f>MONTH(Tabla1[[#This Row],[Fecha]])</f>
        <v>3</v>
      </c>
    </row>
    <row r="283" spans="2:12" hidden="1" x14ac:dyDescent="0.25">
      <c r="B283" s="5" t="s">
        <v>49</v>
      </c>
      <c r="C283" s="5" t="s">
        <v>56</v>
      </c>
      <c r="D283" s="5" t="s">
        <v>11</v>
      </c>
      <c r="E283" s="6">
        <v>45735</v>
      </c>
      <c r="F283" s="4" t="s">
        <v>91</v>
      </c>
      <c r="G283" s="4" t="s">
        <v>303</v>
      </c>
      <c r="H283" s="4" t="s">
        <v>434</v>
      </c>
      <c r="I283" s="5" t="s">
        <v>461</v>
      </c>
      <c r="J283" s="5"/>
      <c r="K283" s="22">
        <f>YEAR(Tabla1[[#This Row],[Fecha]])</f>
        <v>2025</v>
      </c>
      <c r="L283" s="22">
        <f>MONTH(Tabla1[[#This Row],[Fecha]])</f>
        <v>3</v>
      </c>
    </row>
    <row r="284" spans="2:12" hidden="1" x14ac:dyDescent="0.25">
      <c r="B284" s="5" t="s">
        <v>49</v>
      </c>
      <c r="C284" s="5" t="s">
        <v>123</v>
      </c>
      <c r="D284" s="5" t="s">
        <v>11</v>
      </c>
      <c r="E284" s="6">
        <v>45735</v>
      </c>
      <c r="F284" s="4" t="s">
        <v>91</v>
      </c>
      <c r="G284" s="4" t="s">
        <v>303</v>
      </c>
      <c r="H284" s="4" t="s">
        <v>434</v>
      </c>
      <c r="I284" s="5" t="s">
        <v>462</v>
      </c>
      <c r="J284" s="5"/>
      <c r="K284" s="22">
        <f>YEAR(Tabla1[[#This Row],[Fecha]])</f>
        <v>2025</v>
      </c>
      <c r="L284" s="22">
        <f>MONTH(Tabla1[[#This Row],[Fecha]])</f>
        <v>3</v>
      </c>
    </row>
    <row r="285" spans="2:12" hidden="1" x14ac:dyDescent="0.25">
      <c r="B285" s="5" t="s">
        <v>49</v>
      </c>
      <c r="C285" s="5" t="s">
        <v>123</v>
      </c>
      <c r="D285" s="5" t="s">
        <v>11</v>
      </c>
      <c r="E285" s="6">
        <v>45735</v>
      </c>
      <c r="F285" s="4" t="s">
        <v>91</v>
      </c>
      <c r="G285" s="4" t="s">
        <v>303</v>
      </c>
      <c r="H285" s="4" t="s">
        <v>434</v>
      </c>
      <c r="I285" s="5" t="s">
        <v>463</v>
      </c>
      <c r="J285" s="5"/>
      <c r="K285" s="22">
        <f>YEAR(Tabla1[[#This Row],[Fecha]])</f>
        <v>2025</v>
      </c>
      <c r="L285" s="22">
        <f>MONTH(Tabla1[[#This Row],[Fecha]])</f>
        <v>3</v>
      </c>
    </row>
    <row r="286" spans="2:12" hidden="1" x14ac:dyDescent="0.25">
      <c r="B286" s="5" t="s">
        <v>49</v>
      </c>
      <c r="C286" s="5" t="s">
        <v>115</v>
      </c>
      <c r="D286" s="5" t="s">
        <v>11</v>
      </c>
      <c r="E286" s="6">
        <v>45735</v>
      </c>
      <c r="F286" s="4" t="s">
        <v>91</v>
      </c>
      <c r="G286" s="4" t="s">
        <v>303</v>
      </c>
      <c r="H286" s="4" t="s">
        <v>434</v>
      </c>
      <c r="I286" s="5" t="s">
        <v>464</v>
      </c>
      <c r="J286" s="5"/>
      <c r="K286" s="22">
        <f>YEAR(Tabla1[[#This Row],[Fecha]])</f>
        <v>2025</v>
      </c>
      <c r="L286" s="22">
        <f>MONTH(Tabla1[[#This Row],[Fecha]])</f>
        <v>3</v>
      </c>
    </row>
    <row r="287" spans="2:12" hidden="1" x14ac:dyDescent="0.25">
      <c r="B287" s="5" t="s">
        <v>49</v>
      </c>
      <c r="C287" s="5" t="s">
        <v>117</v>
      </c>
      <c r="D287" s="5" t="s">
        <v>11</v>
      </c>
      <c r="E287" s="6">
        <v>45735</v>
      </c>
      <c r="F287" s="4" t="s">
        <v>91</v>
      </c>
      <c r="G287" s="4" t="s">
        <v>303</v>
      </c>
      <c r="H287" s="4" t="s">
        <v>434</v>
      </c>
      <c r="I287" s="5" t="s">
        <v>465</v>
      </c>
      <c r="J287" s="5"/>
      <c r="K287" s="22">
        <f>YEAR(Tabla1[[#This Row],[Fecha]])</f>
        <v>2025</v>
      </c>
      <c r="L287" s="22">
        <f>MONTH(Tabla1[[#This Row],[Fecha]])</f>
        <v>3</v>
      </c>
    </row>
    <row r="288" spans="2:12" hidden="1" x14ac:dyDescent="0.25">
      <c r="B288" s="5" t="s">
        <v>49</v>
      </c>
      <c r="C288" s="5" t="s">
        <v>50</v>
      </c>
      <c r="D288" s="5" t="s">
        <v>11</v>
      </c>
      <c r="E288" s="6">
        <v>45735</v>
      </c>
      <c r="F288" s="4" t="s">
        <v>91</v>
      </c>
      <c r="G288" s="4" t="s">
        <v>303</v>
      </c>
      <c r="H288" s="4" t="s">
        <v>434</v>
      </c>
      <c r="I288" s="5" t="s">
        <v>466</v>
      </c>
      <c r="J288" s="5"/>
      <c r="K288" s="22">
        <f>YEAR(Tabla1[[#This Row],[Fecha]])</f>
        <v>2025</v>
      </c>
      <c r="L288" s="22">
        <f>MONTH(Tabla1[[#This Row],[Fecha]])</f>
        <v>3</v>
      </c>
    </row>
    <row r="289" spans="2:12" hidden="1" x14ac:dyDescent="0.25">
      <c r="B289" s="5" t="s">
        <v>49</v>
      </c>
      <c r="C289" s="5" t="s">
        <v>111</v>
      </c>
      <c r="D289" s="5" t="s">
        <v>11</v>
      </c>
      <c r="E289" s="6">
        <v>45735</v>
      </c>
      <c r="F289" s="4" t="s">
        <v>91</v>
      </c>
      <c r="G289" s="4" t="s">
        <v>303</v>
      </c>
      <c r="H289" s="4" t="s">
        <v>434</v>
      </c>
      <c r="I289" s="5" t="s">
        <v>467</v>
      </c>
      <c r="J289" s="5"/>
      <c r="K289" s="22">
        <f>YEAR(Tabla1[[#This Row],[Fecha]])</f>
        <v>2025</v>
      </c>
      <c r="L289" s="22">
        <f>MONTH(Tabla1[[#This Row],[Fecha]])</f>
        <v>3</v>
      </c>
    </row>
    <row r="290" spans="2:12" hidden="1" x14ac:dyDescent="0.25">
      <c r="B290" s="5" t="s">
        <v>9</v>
      </c>
      <c r="C290" s="5" t="s">
        <v>238</v>
      </c>
      <c r="D290" s="5" t="s">
        <v>11</v>
      </c>
      <c r="E290" s="6">
        <v>45734</v>
      </c>
      <c r="F290" s="4" t="s">
        <v>15</v>
      </c>
      <c r="G290" s="4" t="s">
        <v>36</v>
      </c>
      <c r="H290" s="4" t="s">
        <v>72</v>
      </c>
      <c r="I290" s="5" t="s">
        <v>402</v>
      </c>
      <c r="J290" s="5"/>
      <c r="K290" s="22">
        <f>YEAR(Tabla1[[#This Row],[Fecha]])</f>
        <v>2025</v>
      </c>
      <c r="L290" s="22">
        <f>MONTH(Tabla1[[#This Row],[Fecha]])</f>
        <v>3</v>
      </c>
    </row>
    <row r="291" spans="2:12" hidden="1" x14ac:dyDescent="0.25">
      <c r="B291" s="5" t="s">
        <v>49</v>
      </c>
      <c r="C291" s="5" t="s">
        <v>123</v>
      </c>
      <c r="D291" s="5" t="s">
        <v>11</v>
      </c>
      <c r="E291" s="6">
        <v>45733</v>
      </c>
      <c r="F291" s="4" t="s">
        <v>91</v>
      </c>
      <c r="G291" s="4" t="s">
        <v>303</v>
      </c>
      <c r="H291" s="4" t="s">
        <v>431</v>
      </c>
      <c r="I291" s="5" t="s">
        <v>441</v>
      </c>
      <c r="J291" s="5"/>
      <c r="K291" s="22">
        <f>YEAR(Tabla1[[#This Row],[Fecha]])</f>
        <v>2025</v>
      </c>
      <c r="L291" s="22">
        <f>MONTH(Tabla1[[#This Row],[Fecha]])</f>
        <v>3</v>
      </c>
    </row>
    <row r="292" spans="2:12" hidden="1" x14ac:dyDescent="0.25">
      <c r="B292" s="5" t="s">
        <v>49</v>
      </c>
      <c r="C292" s="5" t="s">
        <v>123</v>
      </c>
      <c r="D292" s="5" t="s">
        <v>11</v>
      </c>
      <c r="E292" s="6">
        <v>45733</v>
      </c>
      <c r="F292" s="4" t="s">
        <v>91</v>
      </c>
      <c r="G292" s="4" t="s">
        <v>303</v>
      </c>
      <c r="H292" s="4" t="s">
        <v>431</v>
      </c>
      <c r="I292" s="5" t="s">
        <v>441</v>
      </c>
      <c r="J292" s="5"/>
      <c r="K292" s="22">
        <f>YEAR(Tabla1[[#This Row],[Fecha]])</f>
        <v>2025</v>
      </c>
      <c r="L292" s="22">
        <f>MONTH(Tabla1[[#This Row],[Fecha]])</f>
        <v>3</v>
      </c>
    </row>
    <row r="293" spans="2:12" hidden="1" x14ac:dyDescent="0.25">
      <c r="B293" s="5" t="s">
        <v>49</v>
      </c>
      <c r="C293" s="5" t="s">
        <v>50</v>
      </c>
      <c r="D293" s="5" t="s">
        <v>11</v>
      </c>
      <c r="E293" s="6">
        <v>45733</v>
      </c>
      <c r="F293" s="4" t="s">
        <v>91</v>
      </c>
      <c r="G293" s="4" t="s">
        <v>303</v>
      </c>
      <c r="H293" s="4" t="s">
        <v>431</v>
      </c>
      <c r="I293" s="5" t="s">
        <v>442</v>
      </c>
      <c r="J293" s="5"/>
      <c r="K293" s="22">
        <f>YEAR(Tabla1[[#This Row],[Fecha]])</f>
        <v>2025</v>
      </c>
      <c r="L293" s="22">
        <f>MONTH(Tabla1[[#This Row],[Fecha]])</f>
        <v>3</v>
      </c>
    </row>
    <row r="294" spans="2:12" hidden="1" x14ac:dyDescent="0.25">
      <c r="B294" s="5" t="s">
        <v>49</v>
      </c>
      <c r="C294" s="5" t="s">
        <v>115</v>
      </c>
      <c r="D294" s="5" t="s">
        <v>11</v>
      </c>
      <c r="E294" s="6">
        <v>45733</v>
      </c>
      <c r="F294" s="4" t="s">
        <v>91</v>
      </c>
      <c r="G294" s="4" t="s">
        <v>303</v>
      </c>
      <c r="H294" s="4" t="s">
        <v>431</v>
      </c>
      <c r="I294" s="5" t="s">
        <v>443</v>
      </c>
      <c r="J294" s="5"/>
      <c r="K294" s="22">
        <f>YEAR(Tabla1[[#This Row],[Fecha]])</f>
        <v>2025</v>
      </c>
      <c r="L294" s="22">
        <f>MONTH(Tabla1[[#This Row],[Fecha]])</f>
        <v>3</v>
      </c>
    </row>
    <row r="295" spans="2:12" hidden="1" x14ac:dyDescent="0.25">
      <c r="B295" s="5" t="s">
        <v>49</v>
      </c>
      <c r="C295" s="5" t="s">
        <v>115</v>
      </c>
      <c r="D295" s="5" t="s">
        <v>11</v>
      </c>
      <c r="E295" s="6">
        <v>45733</v>
      </c>
      <c r="F295" s="4" t="s">
        <v>91</v>
      </c>
      <c r="G295" s="4" t="s">
        <v>303</v>
      </c>
      <c r="H295" s="4" t="s">
        <v>431</v>
      </c>
      <c r="I295" s="5" t="s">
        <v>444</v>
      </c>
      <c r="J295" s="5"/>
      <c r="K295" s="22">
        <f>YEAR(Tabla1[[#This Row],[Fecha]])</f>
        <v>2025</v>
      </c>
      <c r="L295" s="22">
        <f>MONTH(Tabla1[[#This Row],[Fecha]])</f>
        <v>3</v>
      </c>
    </row>
    <row r="296" spans="2:12" hidden="1" x14ac:dyDescent="0.25">
      <c r="B296" s="5" t="s">
        <v>49</v>
      </c>
      <c r="C296" s="5" t="s">
        <v>56</v>
      </c>
      <c r="D296" s="5" t="s">
        <v>11</v>
      </c>
      <c r="E296" s="6">
        <v>45733</v>
      </c>
      <c r="F296" s="4" t="s">
        <v>91</v>
      </c>
      <c r="G296" s="4" t="s">
        <v>303</v>
      </c>
      <c r="H296" s="4" t="s">
        <v>431</v>
      </c>
      <c r="I296" s="5" t="s">
        <v>445</v>
      </c>
      <c r="J296" s="5"/>
      <c r="K296" s="22">
        <f>YEAR(Tabla1[[#This Row],[Fecha]])</f>
        <v>2025</v>
      </c>
      <c r="L296" s="22">
        <f>MONTH(Tabla1[[#This Row],[Fecha]])</f>
        <v>3</v>
      </c>
    </row>
    <row r="297" spans="2:12" hidden="1" x14ac:dyDescent="0.25">
      <c r="B297" s="5" t="s">
        <v>49</v>
      </c>
      <c r="C297" s="5" t="s">
        <v>56</v>
      </c>
      <c r="D297" s="5" t="s">
        <v>11</v>
      </c>
      <c r="E297" s="6">
        <v>45733</v>
      </c>
      <c r="F297" s="4" t="s">
        <v>91</v>
      </c>
      <c r="G297" s="4" t="s">
        <v>303</v>
      </c>
      <c r="H297" s="4" t="s">
        <v>431</v>
      </c>
      <c r="I297" s="5" t="s">
        <v>446</v>
      </c>
      <c r="J297" s="5"/>
      <c r="K297" s="22">
        <f>YEAR(Tabla1[[#This Row],[Fecha]])</f>
        <v>2025</v>
      </c>
      <c r="L297" s="22">
        <f>MONTH(Tabla1[[#This Row],[Fecha]])</f>
        <v>3</v>
      </c>
    </row>
    <row r="298" spans="2:12" hidden="1" x14ac:dyDescent="0.25">
      <c r="B298" s="5" t="s">
        <v>49</v>
      </c>
      <c r="C298" s="5" t="s">
        <v>66</v>
      </c>
      <c r="D298" s="5" t="s">
        <v>11</v>
      </c>
      <c r="E298" s="6">
        <v>45733</v>
      </c>
      <c r="F298" s="4" t="s">
        <v>91</v>
      </c>
      <c r="G298" s="4" t="s">
        <v>303</v>
      </c>
      <c r="H298" s="4" t="s">
        <v>431</v>
      </c>
      <c r="I298" s="5" t="s">
        <v>447</v>
      </c>
      <c r="J298" s="5"/>
      <c r="K298" s="22">
        <f>YEAR(Tabla1[[#This Row],[Fecha]])</f>
        <v>2025</v>
      </c>
      <c r="L298" s="22">
        <f>MONTH(Tabla1[[#This Row],[Fecha]])</f>
        <v>3</v>
      </c>
    </row>
    <row r="299" spans="2:12" hidden="1" x14ac:dyDescent="0.25">
      <c r="B299" s="5" t="s">
        <v>49</v>
      </c>
      <c r="C299" s="5" t="s">
        <v>176</v>
      </c>
      <c r="D299" s="5" t="s">
        <v>11</v>
      </c>
      <c r="E299" s="6">
        <v>45733</v>
      </c>
      <c r="F299" s="4" t="s">
        <v>91</v>
      </c>
      <c r="G299" s="4" t="s">
        <v>303</v>
      </c>
      <c r="H299" s="4" t="s">
        <v>431</v>
      </c>
      <c r="I299" s="5" t="s">
        <v>448</v>
      </c>
      <c r="J299" s="5"/>
      <c r="K299" s="22">
        <f>YEAR(Tabla1[[#This Row],[Fecha]])</f>
        <v>2025</v>
      </c>
      <c r="L299" s="22">
        <f>MONTH(Tabla1[[#This Row],[Fecha]])</f>
        <v>3</v>
      </c>
    </row>
    <row r="300" spans="2:12" hidden="1" x14ac:dyDescent="0.25">
      <c r="B300" s="5" t="s">
        <v>49</v>
      </c>
      <c r="C300" s="5" t="s">
        <v>111</v>
      </c>
      <c r="D300" s="5" t="s">
        <v>11</v>
      </c>
      <c r="E300" s="6">
        <v>45733</v>
      </c>
      <c r="F300" s="4" t="s">
        <v>91</v>
      </c>
      <c r="G300" s="4" t="s">
        <v>303</v>
      </c>
      <c r="H300" s="4" t="s">
        <v>431</v>
      </c>
      <c r="I300" s="5" t="s">
        <v>449</v>
      </c>
      <c r="J300" s="5"/>
      <c r="K300" s="22">
        <f>YEAR(Tabla1[[#This Row],[Fecha]])</f>
        <v>2025</v>
      </c>
      <c r="L300" s="22">
        <f>MONTH(Tabla1[[#This Row],[Fecha]])</f>
        <v>3</v>
      </c>
    </row>
    <row r="301" spans="2:12" hidden="1" x14ac:dyDescent="0.25">
      <c r="B301" s="5" t="s">
        <v>49</v>
      </c>
      <c r="C301" s="5" t="s">
        <v>60</v>
      </c>
      <c r="D301" s="5" t="s">
        <v>11</v>
      </c>
      <c r="E301" s="6">
        <v>45733</v>
      </c>
      <c r="F301" s="4" t="s">
        <v>91</v>
      </c>
      <c r="G301" s="4" t="s">
        <v>303</v>
      </c>
      <c r="H301" s="4" t="s">
        <v>431</v>
      </c>
      <c r="I301" s="5" t="s">
        <v>450</v>
      </c>
      <c r="J301" s="5"/>
      <c r="K301" s="22">
        <f>YEAR(Tabla1[[#This Row],[Fecha]])</f>
        <v>2025</v>
      </c>
      <c r="L301" s="22">
        <f>MONTH(Tabla1[[#This Row],[Fecha]])</f>
        <v>3</v>
      </c>
    </row>
    <row r="302" spans="2:12" hidden="1" x14ac:dyDescent="0.25">
      <c r="B302" s="5" t="s">
        <v>49</v>
      </c>
      <c r="C302" s="5" t="s">
        <v>53</v>
      </c>
      <c r="D302" s="5" t="s">
        <v>11</v>
      </c>
      <c r="E302" s="6">
        <v>45733</v>
      </c>
      <c r="F302" s="4" t="s">
        <v>91</v>
      </c>
      <c r="G302" s="4" t="s">
        <v>303</v>
      </c>
      <c r="H302" s="4" t="s">
        <v>431</v>
      </c>
      <c r="I302" s="5" t="s">
        <v>468</v>
      </c>
      <c r="J302" s="5"/>
      <c r="K302" s="22">
        <f>YEAR(Tabla1[[#This Row],[Fecha]])</f>
        <v>2025</v>
      </c>
      <c r="L302" s="22">
        <f>MONTH(Tabla1[[#This Row],[Fecha]])</f>
        <v>3</v>
      </c>
    </row>
    <row r="303" spans="2:12" hidden="1" x14ac:dyDescent="0.25">
      <c r="B303" s="5" t="s">
        <v>9</v>
      </c>
      <c r="C303" s="5" t="s">
        <v>93</v>
      </c>
      <c r="D303" s="5" t="s">
        <v>11</v>
      </c>
      <c r="E303" s="6">
        <v>45729</v>
      </c>
      <c r="F303" s="4" t="s">
        <v>15</v>
      </c>
      <c r="G303" s="4" t="s">
        <v>47</v>
      </c>
      <c r="H303" s="4" t="s">
        <v>41</v>
      </c>
      <c r="I303" s="5" t="s">
        <v>412</v>
      </c>
      <c r="J303" s="5"/>
      <c r="K303" s="22">
        <f>YEAR(Tabla1[[#This Row],[Fecha]])</f>
        <v>2025</v>
      </c>
      <c r="L303" s="22">
        <f>MONTH(Tabla1[[#This Row],[Fecha]])</f>
        <v>3</v>
      </c>
    </row>
    <row r="304" spans="2:12" hidden="1" x14ac:dyDescent="0.25">
      <c r="B304" s="5" t="s">
        <v>9</v>
      </c>
      <c r="C304" s="5" t="s">
        <v>87</v>
      </c>
      <c r="D304" s="5" t="s">
        <v>11</v>
      </c>
      <c r="E304" s="6">
        <v>45729</v>
      </c>
      <c r="F304" s="4" t="s">
        <v>15</v>
      </c>
      <c r="G304" s="4" t="s">
        <v>47</v>
      </c>
      <c r="H304" s="4" t="s">
        <v>41</v>
      </c>
      <c r="I304" s="5" t="s">
        <v>413</v>
      </c>
      <c r="J304" s="5"/>
      <c r="K304" s="22">
        <f>YEAR(Tabla1[[#This Row],[Fecha]])</f>
        <v>2025</v>
      </c>
      <c r="L304" s="22">
        <f>MONTH(Tabla1[[#This Row],[Fecha]])</f>
        <v>3</v>
      </c>
    </row>
    <row r="305" spans="2:12" hidden="1" x14ac:dyDescent="0.25">
      <c r="B305" s="5" t="s">
        <v>9</v>
      </c>
      <c r="C305" s="5" t="s">
        <v>82</v>
      </c>
      <c r="D305" s="5" t="s">
        <v>11</v>
      </c>
      <c r="E305" s="6">
        <v>45729</v>
      </c>
      <c r="F305" s="4" t="s">
        <v>91</v>
      </c>
      <c r="G305" s="4" t="s">
        <v>24</v>
      </c>
      <c r="H305" s="4" t="s">
        <v>118</v>
      </c>
      <c r="I305" s="5" t="s">
        <v>415</v>
      </c>
      <c r="J305" s="5"/>
      <c r="K305" s="22">
        <f>YEAR(Tabla1[[#This Row],[Fecha]])</f>
        <v>2025</v>
      </c>
      <c r="L305" s="22">
        <f>MONTH(Tabla1[[#This Row],[Fecha]])</f>
        <v>3</v>
      </c>
    </row>
    <row r="306" spans="2:12" hidden="1" x14ac:dyDescent="0.25">
      <c r="B306" s="5" t="s">
        <v>9</v>
      </c>
      <c r="C306" s="5" t="s">
        <v>80</v>
      </c>
      <c r="D306" s="5" t="s">
        <v>11</v>
      </c>
      <c r="E306" s="6">
        <v>45729</v>
      </c>
      <c r="F306" s="4" t="s">
        <v>91</v>
      </c>
      <c r="G306" s="4" t="s">
        <v>24</v>
      </c>
      <c r="H306" s="20" t="s">
        <v>118</v>
      </c>
      <c r="I306" s="5" t="s">
        <v>416</v>
      </c>
      <c r="J306" s="5"/>
      <c r="K306" s="22">
        <f>YEAR(Tabla1[[#This Row],[Fecha]])</f>
        <v>2025</v>
      </c>
      <c r="L306" s="22">
        <f>MONTH(Tabla1[[#This Row],[Fecha]])</f>
        <v>3</v>
      </c>
    </row>
    <row r="307" spans="2:12" hidden="1" x14ac:dyDescent="0.25">
      <c r="B307" s="5" t="s">
        <v>9</v>
      </c>
      <c r="C307" s="5" t="s">
        <v>70</v>
      </c>
      <c r="D307" s="5" t="s">
        <v>11</v>
      </c>
      <c r="E307" s="6">
        <v>45729</v>
      </c>
      <c r="F307" s="4" t="s">
        <v>91</v>
      </c>
      <c r="G307" s="4" t="s">
        <v>24</v>
      </c>
      <c r="H307" s="20" t="s">
        <v>118</v>
      </c>
      <c r="I307" s="5" t="s">
        <v>419</v>
      </c>
      <c r="J307" s="5"/>
      <c r="K307" s="22">
        <f>YEAR(Tabla1[[#This Row],[Fecha]])</f>
        <v>2025</v>
      </c>
      <c r="L307" s="22">
        <f>MONTH(Tabla1[[#This Row],[Fecha]])</f>
        <v>3</v>
      </c>
    </row>
    <row r="308" spans="2:12" hidden="1" x14ac:dyDescent="0.25">
      <c r="B308" s="5" t="s">
        <v>49</v>
      </c>
      <c r="C308" s="5" t="s">
        <v>57</v>
      </c>
      <c r="D308" s="5" t="s">
        <v>11</v>
      </c>
      <c r="E308" s="6">
        <v>45727</v>
      </c>
      <c r="F308" s="8" t="s">
        <v>15</v>
      </c>
      <c r="G308" s="8" t="s">
        <v>135</v>
      </c>
      <c r="H308" s="8" t="s">
        <v>245</v>
      </c>
      <c r="I308" s="5" t="s">
        <v>437</v>
      </c>
      <c r="J308" s="7"/>
      <c r="K308" s="15">
        <f>YEAR(Tabla1[[#This Row],[Fecha]])</f>
        <v>2025</v>
      </c>
      <c r="L308" s="15">
        <f>MONTH(Tabla1[[#This Row],[Fecha]])</f>
        <v>3</v>
      </c>
    </row>
    <row r="309" spans="2:12" hidden="1" x14ac:dyDescent="0.25">
      <c r="B309" s="5" t="s">
        <v>49</v>
      </c>
      <c r="C309" s="5" t="s">
        <v>57</v>
      </c>
      <c r="D309" s="5" t="s">
        <v>11</v>
      </c>
      <c r="E309" s="6">
        <v>45727</v>
      </c>
      <c r="F309" s="8" t="s">
        <v>15</v>
      </c>
      <c r="G309" s="8" t="s">
        <v>135</v>
      </c>
      <c r="H309" s="8" t="s">
        <v>245</v>
      </c>
      <c r="I309" s="5" t="s">
        <v>437</v>
      </c>
      <c r="J309" s="7"/>
      <c r="K309" s="15">
        <f>YEAR(Tabla1[[#This Row],[Fecha]])</f>
        <v>2025</v>
      </c>
      <c r="L309" s="15">
        <f>MONTH(Tabla1[[#This Row],[Fecha]])</f>
        <v>3</v>
      </c>
    </row>
    <row r="310" spans="2:12" hidden="1" x14ac:dyDescent="0.25">
      <c r="B310" s="5" t="s">
        <v>49</v>
      </c>
      <c r="C310" s="5" t="s">
        <v>115</v>
      </c>
      <c r="D310" s="5" t="s">
        <v>11</v>
      </c>
      <c r="E310" s="6">
        <v>45727</v>
      </c>
      <c r="F310" s="4" t="s">
        <v>15</v>
      </c>
      <c r="G310" s="4" t="s">
        <v>16</v>
      </c>
      <c r="H310" s="4" t="s">
        <v>63</v>
      </c>
      <c r="I310" s="5" t="s">
        <v>439</v>
      </c>
      <c r="J310" s="5"/>
      <c r="K310" s="22">
        <f>YEAR(Tabla1[[#This Row],[Fecha]])</f>
        <v>2025</v>
      </c>
      <c r="L310" s="22">
        <f>MONTH(Tabla1[[#This Row],[Fecha]])</f>
        <v>3</v>
      </c>
    </row>
    <row r="311" spans="2:12" hidden="1" x14ac:dyDescent="0.25">
      <c r="B311" s="5" t="s">
        <v>49</v>
      </c>
      <c r="C311" s="5" t="s">
        <v>117</v>
      </c>
      <c r="D311" s="5" t="s">
        <v>11</v>
      </c>
      <c r="E311" s="6">
        <v>45727</v>
      </c>
      <c r="F311" s="4" t="s">
        <v>15</v>
      </c>
      <c r="G311" s="4" t="s">
        <v>16</v>
      </c>
      <c r="H311" s="4" t="s">
        <v>63</v>
      </c>
      <c r="I311" s="5" t="s">
        <v>440</v>
      </c>
      <c r="J311" s="5"/>
      <c r="K311" s="22">
        <f>YEAR(Tabla1[[#This Row],[Fecha]])</f>
        <v>2025</v>
      </c>
      <c r="L311" s="22">
        <f>MONTH(Tabla1[[#This Row],[Fecha]])</f>
        <v>3</v>
      </c>
    </row>
    <row r="312" spans="2:12" hidden="1" x14ac:dyDescent="0.25">
      <c r="B312" s="5" t="s">
        <v>309</v>
      </c>
      <c r="C312" s="5" t="s">
        <v>321</v>
      </c>
      <c r="D312" s="5" t="s">
        <v>11</v>
      </c>
      <c r="E312" s="6">
        <v>45724</v>
      </c>
      <c r="F312" s="4" t="s">
        <v>91</v>
      </c>
      <c r="G312" s="4" t="s">
        <v>16</v>
      </c>
      <c r="H312" s="4" t="s">
        <v>34</v>
      </c>
      <c r="I312" s="5" t="s">
        <v>374</v>
      </c>
      <c r="J312" s="5"/>
      <c r="K312" s="22">
        <f>YEAR(Tabla1[[#This Row],[Fecha]])</f>
        <v>2025</v>
      </c>
      <c r="L312" s="22">
        <f>MONTH(Tabla1[[#This Row],[Fecha]])</f>
        <v>3</v>
      </c>
    </row>
    <row r="313" spans="2:12" hidden="1" x14ac:dyDescent="0.25">
      <c r="B313" s="5" t="s">
        <v>309</v>
      </c>
      <c r="C313" s="5" t="s">
        <v>315</v>
      </c>
      <c r="D313" s="5" t="s">
        <v>11</v>
      </c>
      <c r="E313" s="6">
        <v>45724</v>
      </c>
      <c r="F313" s="4" t="s">
        <v>91</v>
      </c>
      <c r="G313" s="4" t="s">
        <v>103</v>
      </c>
      <c r="H313" s="4" t="s">
        <v>298</v>
      </c>
      <c r="I313" s="5" t="s">
        <v>375</v>
      </c>
      <c r="J313" s="5"/>
      <c r="K313" s="22">
        <f>YEAR(Tabla1[[#This Row],[Fecha]])</f>
        <v>2025</v>
      </c>
      <c r="L313" s="22">
        <f>MONTH(Tabla1[[#This Row],[Fecha]])</f>
        <v>3</v>
      </c>
    </row>
    <row r="314" spans="2:12" hidden="1" x14ac:dyDescent="0.25">
      <c r="B314" s="5" t="s">
        <v>309</v>
      </c>
      <c r="C314" s="5" t="s">
        <v>310</v>
      </c>
      <c r="D314" s="5" t="s">
        <v>11</v>
      </c>
      <c r="E314" s="6">
        <v>45721</v>
      </c>
      <c r="F314" s="4" t="s">
        <v>15</v>
      </c>
      <c r="G314" s="4" t="s">
        <v>36</v>
      </c>
      <c r="H314" s="4" t="s">
        <v>145</v>
      </c>
      <c r="I314" s="5" t="s">
        <v>391</v>
      </c>
      <c r="J314" s="5"/>
      <c r="K314" s="22">
        <f>YEAR(Tabla1[[#This Row],[Fecha]])</f>
        <v>2025</v>
      </c>
      <c r="L314" s="22">
        <f>MONTH(Tabla1[[#This Row],[Fecha]])</f>
        <v>3</v>
      </c>
    </row>
    <row r="315" spans="2:12" hidden="1" x14ac:dyDescent="0.25">
      <c r="B315" s="5" t="s">
        <v>9</v>
      </c>
      <c r="C315" s="5" t="s">
        <v>62</v>
      </c>
      <c r="D315" s="5" t="s">
        <v>131</v>
      </c>
      <c r="E315" s="6">
        <v>45720</v>
      </c>
      <c r="F315" s="4" t="s">
        <v>15</v>
      </c>
      <c r="G315" s="4" t="s">
        <v>47</v>
      </c>
      <c r="H315" s="4" t="s">
        <v>333</v>
      </c>
      <c r="I315" s="5" t="s">
        <v>411</v>
      </c>
      <c r="J315" s="5"/>
      <c r="K315" s="22">
        <f>YEAR(Tabla1[[#This Row],[Fecha]])</f>
        <v>2025</v>
      </c>
      <c r="L315" s="22">
        <f>MONTH(Tabla1[[#This Row],[Fecha]])</f>
        <v>3</v>
      </c>
    </row>
    <row r="316" spans="2:12" hidden="1" x14ac:dyDescent="0.25">
      <c r="B316" s="5" t="s">
        <v>309</v>
      </c>
      <c r="C316" s="5" t="s">
        <v>310</v>
      </c>
      <c r="D316" s="5" t="s">
        <v>131</v>
      </c>
      <c r="E316" s="6">
        <v>45714</v>
      </c>
      <c r="F316" s="4" t="s">
        <v>15</v>
      </c>
      <c r="G316" s="4" t="s">
        <v>16</v>
      </c>
      <c r="H316" s="4" t="s">
        <v>63</v>
      </c>
      <c r="I316" s="5" t="s">
        <v>396</v>
      </c>
      <c r="J316" s="5"/>
      <c r="K316" s="22">
        <f>YEAR(Tabla1[[#This Row],[Fecha]])</f>
        <v>2025</v>
      </c>
      <c r="L316" s="22">
        <f>MONTH(Tabla1[[#This Row],[Fecha]])</f>
        <v>2</v>
      </c>
    </row>
    <row r="317" spans="2:12" hidden="1" x14ac:dyDescent="0.25">
      <c r="B317" s="5" t="s">
        <v>49</v>
      </c>
      <c r="C317" s="5" t="s">
        <v>53</v>
      </c>
      <c r="D317" s="5" t="s">
        <v>11</v>
      </c>
      <c r="E317" s="6">
        <v>45709</v>
      </c>
      <c r="F317" s="4" t="s">
        <v>91</v>
      </c>
      <c r="G317" s="4" t="s">
        <v>303</v>
      </c>
      <c r="H317" s="4" t="s">
        <v>359</v>
      </c>
      <c r="I317" s="5" t="s">
        <v>376</v>
      </c>
      <c r="J317" s="5"/>
      <c r="K317" s="22">
        <f>YEAR(Tabla1[[#This Row],[Fecha]])</f>
        <v>2025</v>
      </c>
      <c r="L317" s="22">
        <f>MONTH(Tabla1[[#This Row],[Fecha]])</f>
        <v>2</v>
      </c>
    </row>
    <row r="318" spans="2:12" hidden="1" x14ac:dyDescent="0.25">
      <c r="B318" s="5" t="s">
        <v>49</v>
      </c>
      <c r="C318" s="5" t="s">
        <v>66</v>
      </c>
      <c r="D318" s="5" t="s">
        <v>131</v>
      </c>
      <c r="E318" s="6">
        <v>45709</v>
      </c>
      <c r="F318" s="4" t="s">
        <v>91</v>
      </c>
      <c r="G318" s="4" t="s">
        <v>303</v>
      </c>
      <c r="H318" s="4" t="s">
        <v>359</v>
      </c>
      <c r="I318" s="5" t="s">
        <v>377</v>
      </c>
      <c r="J318" s="5"/>
      <c r="K318" s="22">
        <f>YEAR(Tabla1[[#This Row],[Fecha]])</f>
        <v>2025</v>
      </c>
      <c r="L318" s="22">
        <f>MONTH(Tabla1[[#This Row],[Fecha]])</f>
        <v>2</v>
      </c>
    </row>
    <row r="319" spans="2:12" hidden="1" x14ac:dyDescent="0.25">
      <c r="B319" s="5" t="s">
        <v>309</v>
      </c>
      <c r="C319" s="5" t="s">
        <v>378</v>
      </c>
      <c r="D319" s="5" t="s">
        <v>131</v>
      </c>
      <c r="E319" s="6">
        <v>45709</v>
      </c>
      <c r="F319" s="4" t="s">
        <v>15</v>
      </c>
      <c r="G319" s="4" t="s">
        <v>16</v>
      </c>
      <c r="H319" s="4" t="s">
        <v>97</v>
      </c>
      <c r="I319" s="5" t="s">
        <v>395</v>
      </c>
      <c r="J319" s="5"/>
      <c r="K319" s="22">
        <f>YEAR(Tabla1[[#This Row],[Fecha]])</f>
        <v>2025</v>
      </c>
      <c r="L319" s="22">
        <f>MONTH(Tabla1[[#This Row],[Fecha]])</f>
        <v>2</v>
      </c>
    </row>
    <row r="320" spans="2:12" hidden="1" x14ac:dyDescent="0.25">
      <c r="B320" s="5" t="s">
        <v>381</v>
      </c>
      <c r="C320" s="5" t="s">
        <v>382</v>
      </c>
      <c r="D320" s="5" t="s">
        <v>131</v>
      </c>
      <c r="E320" s="6">
        <v>45709</v>
      </c>
      <c r="F320" s="4" t="s">
        <v>15</v>
      </c>
      <c r="G320" s="4" t="s">
        <v>36</v>
      </c>
      <c r="H320" s="4" t="s">
        <v>72</v>
      </c>
      <c r="I320" s="5" t="s">
        <v>397</v>
      </c>
      <c r="J320" s="5"/>
      <c r="K320" s="22">
        <f>YEAR(Tabla1[[#This Row],[Fecha]])</f>
        <v>2025</v>
      </c>
      <c r="L320" s="22">
        <f>MONTH(Tabla1[[#This Row],[Fecha]])</f>
        <v>2</v>
      </c>
    </row>
    <row r="321" spans="2:12" hidden="1" x14ac:dyDescent="0.25">
      <c r="B321" s="5" t="s">
        <v>309</v>
      </c>
      <c r="C321" s="5" t="s">
        <v>378</v>
      </c>
      <c r="D321" s="5" t="s">
        <v>131</v>
      </c>
      <c r="E321" s="6">
        <v>45707</v>
      </c>
      <c r="F321" s="4" t="s">
        <v>15</v>
      </c>
      <c r="G321" s="4" t="s">
        <v>47</v>
      </c>
      <c r="H321" s="4" t="s">
        <v>121</v>
      </c>
      <c r="I321" s="5" t="s">
        <v>379</v>
      </c>
      <c r="J321" s="5"/>
      <c r="K321" s="22">
        <f>YEAR(Tabla1[[#This Row],[Fecha]])</f>
        <v>2025</v>
      </c>
      <c r="L321" s="22">
        <f>MONTH(Tabla1[[#This Row],[Fecha]])</f>
        <v>2</v>
      </c>
    </row>
    <row r="322" spans="2:12" hidden="1" x14ac:dyDescent="0.25">
      <c r="B322" s="5" t="s">
        <v>309</v>
      </c>
      <c r="C322" s="5" t="s">
        <v>321</v>
      </c>
      <c r="D322" s="5" t="s">
        <v>131</v>
      </c>
      <c r="E322" s="6">
        <v>45706</v>
      </c>
      <c r="F322" s="4" t="s">
        <v>15</v>
      </c>
      <c r="G322" s="4" t="s">
        <v>16</v>
      </c>
      <c r="H322" s="4" t="s">
        <v>77</v>
      </c>
      <c r="I322" s="5" t="s">
        <v>390</v>
      </c>
      <c r="J322" s="5"/>
      <c r="K322" s="22">
        <f>YEAR(Tabla1[[#This Row],[Fecha]])</f>
        <v>2025</v>
      </c>
      <c r="L322" s="22">
        <f>MONTH(Tabla1[[#This Row],[Fecha]])</f>
        <v>2</v>
      </c>
    </row>
    <row r="323" spans="2:12" hidden="1" x14ac:dyDescent="0.25">
      <c r="B323" s="5" t="s">
        <v>27</v>
      </c>
      <c r="C323" s="5" t="s">
        <v>28</v>
      </c>
      <c r="D323" s="5" t="s">
        <v>131</v>
      </c>
      <c r="E323" s="6">
        <v>45702</v>
      </c>
      <c r="F323" s="4" t="s">
        <v>15</v>
      </c>
      <c r="G323" s="4" t="s">
        <v>36</v>
      </c>
      <c r="H323" s="4" t="s">
        <v>72</v>
      </c>
      <c r="I323" s="5" t="s">
        <v>380</v>
      </c>
      <c r="J323" s="5"/>
      <c r="K323" s="22">
        <f>YEAR(Tabla1[[#This Row],[Fecha]])</f>
        <v>2025</v>
      </c>
      <c r="L323" s="22">
        <f>MONTH(Tabla1[[#This Row],[Fecha]])</f>
        <v>2</v>
      </c>
    </row>
    <row r="324" spans="2:12" hidden="1" x14ac:dyDescent="0.25">
      <c r="B324" s="5" t="s">
        <v>381</v>
      </c>
      <c r="C324" s="5" t="s">
        <v>382</v>
      </c>
      <c r="D324" s="5" t="s">
        <v>131</v>
      </c>
      <c r="E324" s="6">
        <v>45700</v>
      </c>
      <c r="F324" s="4" t="s">
        <v>15</v>
      </c>
      <c r="G324" s="4" t="s">
        <v>36</v>
      </c>
      <c r="H324" s="4" t="s">
        <v>72</v>
      </c>
      <c r="I324" s="5" t="s">
        <v>383</v>
      </c>
      <c r="J324" s="5"/>
      <c r="K324" s="22">
        <f>YEAR(Tabla1[[#This Row],[Fecha]])</f>
        <v>2025</v>
      </c>
      <c r="L324" s="22">
        <f>MONTH(Tabla1[[#This Row],[Fecha]])</f>
        <v>2</v>
      </c>
    </row>
    <row r="325" spans="2:12" hidden="1" x14ac:dyDescent="0.25">
      <c r="B325" s="5" t="s">
        <v>19</v>
      </c>
      <c r="C325" s="5" t="s">
        <v>180</v>
      </c>
      <c r="D325" s="5" t="s">
        <v>131</v>
      </c>
      <c r="E325" s="6">
        <v>45700</v>
      </c>
      <c r="F325" s="4" t="s">
        <v>15</v>
      </c>
      <c r="G325" s="4" t="s">
        <v>47</v>
      </c>
      <c r="H325" s="4" t="s">
        <v>41</v>
      </c>
      <c r="I325" s="5" t="s">
        <v>384</v>
      </c>
      <c r="J325" s="5"/>
      <c r="K325" s="22">
        <f>YEAR(Tabla1[[#This Row],[Fecha]])</f>
        <v>2025</v>
      </c>
      <c r="L325" s="22">
        <f>MONTH(Tabla1[[#This Row],[Fecha]])</f>
        <v>2</v>
      </c>
    </row>
    <row r="326" spans="2:12" hidden="1" x14ac:dyDescent="0.25">
      <c r="B326" s="5" t="s">
        <v>206</v>
      </c>
      <c r="C326" s="5" t="s">
        <v>290</v>
      </c>
      <c r="D326" s="5" t="s">
        <v>131</v>
      </c>
      <c r="E326" s="6">
        <v>45694</v>
      </c>
      <c r="F326" s="4" t="s">
        <v>15</v>
      </c>
      <c r="G326" s="4" t="s">
        <v>16</v>
      </c>
      <c r="H326" s="4" t="s">
        <v>63</v>
      </c>
      <c r="I326" s="5" t="s">
        <v>385</v>
      </c>
      <c r="J326" s="5"/>
      <c r="K326" s="22">
        <f>YEAR(Tabla1[[#This Row],[Fecha]])</f>
        <v>2025</v>
      </c>
      <c r="L326" s="22">
        <f>MONTH(Tabla1[[#This Row],[Fecha]])</f>
        <v>2</v>
      </c>
    </row>
    <row r="327" spans="2:12" hidden="1" x14ac:dyDescent="0.25">
      <c r="B327" s="5" t="s">
        <v>381</v>
      </c>
      <c r="C327" s="5" t="s">
        <v>386</v>
      </c>
      <c r="D327" s="5" t="s">
        <v>131</v>
      </c>
      <c r="E327" s="6">
        <v>45694</v>
      </c>
      <c r="F327" s="4" t="s">
        <v>91</v>
      </c>
      <c r="G327" s="4" t="s">
        <v>16</v>
      </c>
      <c r="H327" s="4" t="s">
        <v>74</v>
      </c>
      <c r="I327" s="5" t="s">
        <v>1693</v>
      </c>
      <c r="J327" s="5"/>
      <c r="K327" s="22">
        <f>YEAR(Tabla1[[#This Row],[Fecha]])</f>
        <v>2025</v>
      </c>
      <c r="L327" s="22">
        <f>MONTH(Tabla1[[#This Row],[Fecha]])</f>
        <v>2</v>
      </c>
    </row>
    <row r="328" spans="2:12" hidden="1" x14ac:dyDescent="0.25">
      <c r="B328" s="5" t="s">
        <v>309</v>
      </c>
      <c r="C328" s="5" t="s">
        <v>369</v>
      </c>
      <c r="D328" s="5" t="s">
        <v>11</v>
      </c>
      <c r="E328" s="6">
        <v>45693</v>
      </c>
      <c r="F328" s="4" t="s">
        <v>15</v>
      </c>
      <c r="G328" s="4" t="s">
        <v>311</v>
      </c>
      <c r="H328" s="4"/>
      <c r="I328" s="5" t="s">
        <v>370</v>
      </c>
      <c r="J328" s="5"/>
      <c r="K328" s="22">
        <f>YEAR(Tabla1[[#This Row],[Fecha]])</f>
        <v>2025</v>
      </c>
      <c r="L328" s="22">
        <f>MONTH(Tabla1[[#This Row],[Fecha]])</f>
        <v>2</v>
      </c>
    </row>
    <row r="329" spans="2:12" hidden="1" x14ac:dyDescent="0.25">
      <c r="B329" s="5" t="s">
        <v>19</v>
      </c>
      <c r="C329" s="5" t="s">
        <v>180</v>
      </c>
      <c r="D329" s="5" t="s">
        <v>11</v>
      </c>
      <c r="E329" s="6">
        <v>45693</v>
      </c>
      <c r="F329" s="4" t="s">
        <v>91</v>
      </c>
      <c r="G329" s="4" t="s">
        <v>303</v>
      </c>
      <c r="H329" s="4" t="s">
        <v>359</v>
      </c>
      <c r="I329" s="5" t="s">
        <v>399</v>
      </c>
      <c r="J329" s="5"/>
      <c r="K329" s="22">
        <f>YEAR(Tabla1[[#This Row],[Fecha]])</f>
        <v>2025</v>
      </c>
      <c r="L329" s="22">
        <f>MONTH(Tabla1[[#This Row],[Fecha]])</f>
        <v>2</v>
      </c>
    </row>
    <row r="330" spans="2:12" hidden="1" x14ac:dyDescent="0.25">
      <c r="B330" s="5" t="s">
        <v>309</v>
      </c>
      <c r="C330" s="5" t="s">
        <v>369</v>
      </c>
      <c r="D330" s="5" t="s">
        <v>11</v>
      </c>
      <c r="E330" s="6">
        <v>45693</v>
      </c>
      <c r="F330" s="4" t="s">
        <v>15</v>
      </c>
      <c r="G330" s="4" t="s">
        <v>108</v>
      </c>
      <c r="H330" s="4"/>
      <c r="I330" s="5" t="s">
        <v>474</v>
      </c>
      <c r="J330" s="5"/>
      <c r="K330" s="22">
        <f>YEAR(Tabla1[[#This Row],[Fecha]])</f>
        <v>2025</v>
      </c>
      <c r="L330" s="22">
        <f>MONTH(Tabla1[[#This Row],[Fecha]])</f>
        <v>2</v>
      </c>
    </row>
    <row r="331" spans="2:12" hidden="1" x14ac:dyDescent="0.25">
      <c r="B331" s="5" t="s">
        <v>309</v>
      </c>
      <c r="C331" s="5" t="s">
        <v>367</v>
      </c>
      <c r="D331" s="5" t="s">
        <v>11</v>
      </c>
      <c r="E331" s="6">
        <v>45692</v>
      </c>
      <c r="F331" s="4" t="s">
        <v>15</v>
      </c>
      <c r="G331" s="4" t="s">
        <v>311</v>
      </c>
      <c r="H331" s="4"/>
      <c r="I331" s="5" t="s">
        <v>368</v>
      </c>
      <c r="J331" s="5"/>
      <c r="K331" s="22">
        <f>YEAR(Tabla1[[#This Row],[Fecha]])</f>
        <v>2025</v>
      </c>
      <c r="L331" s="22">
        <f>MONTH(Tabla1[[#This Row],[Fecha]])</f>
        <v>2</v>
      </c>
    </row>
    <row r="332" spans="2:12" hidden="1" x14ac:dyDescent="0.25">
      <c r="B332" s="5" t="s">
        <v>309</v>
      </c>
      <c r="C332" s="5" t="s">
        <v>367</v>
      </c>
      <c r="D332" s="5" t="s">
        <v>11</v>
      </c>
      <c r="E332" s="6">
        <v>45692</v>
      </c>
      <c r="F332" s="4" t="s">
        <v>15</v>
      </c>
      <c r="G332" s="4" t="s">
        <v>311</v>
      </c>
      <c r="H332" s="4"/>
      <c r="I332" s="5" t="s">
        <v>473</v>
      </c>
      <c r="J332" s="5"/>
      <c r="K332" s="22">
        <f>YEAR(Tabla1[[#This Row],[Fecha]])</f>
        <v>2025</v>
      </c>
      <c r="L332" s="22">
        <f>MONTH(Tabla1[[#This Row],[Fecha]])</f>
        <v>2</v>
      </c>
    </row>
    <row r="333" spans="2:12" hidden="1" x14ac:dyDescent="0.25">
      <c r="B333" s="5" t="s">
        <v>206</v>
      </c>
      <c r="C333" s="5" t="s">
        <v>290</v>
      </c>
      <c r="D333" s="5" t="s">
        <v>11</v>
      </c>
      <c r="E333" s="6">
        <v>45691</v>
      </c>
      <c r="F333" s="4" t="s">
        <v>365</v>
      </c>
      <c r="G333" s="25"/>
      <c r="H333" s="4"/>
      <c r="I333" s="5" t="s">
        <v>366</v>
      </c>
      <c r="J333" s="5"/>
      <c r="K333" s="22">
        <f>YEAR(Tabla1[[#This Row],[Fecha]])</f>
        <v>2025</v>
      </c>
      <c r="L333" s="22">
        <f>MONTH(Tabla1[[#This Row],[Fecha]])</f>
        <v>2</v>
      </c>
    </row>
    <row r="334" spans="2:12" hidden="1" x14ac:dyDescent="0.25">
      <c r="B334" s="5" t="s">
        <v>45</v>
      </c>
      <c r="C334" s="5" t="s">
        <v>46</v>
      </c>
      <c r="D334" s="5" t="s">
        <v>11</v>
      </c>
      <c r="E334" s="6">
        <v>45691</v>
      </c>
      <c r="F334" s="4" t="s">
        <v>15</v>
      </c>
      <c r="G334" s="4" t="s">
        <v>47</v>
      </c>
      <c r="H334" s="4" t="s">
        <v>333</v>
      </c>
      <c r="I334" s="5" t="s">
        <v>392</v>
      </c>
      <c r="J334" s="5"/>
      <c r="K334" s="22">
        <f>YEAR(Tabla1[[#This Row],[Fecha]])</f>
        <v>2025</v>
      </c>
      <c r="L334" s="22">
        <f>MONTH(Tabla1[[#This Row],[Fecha]])</f>
        <v>2</v>
      </c>
    </row>
    <row r="335" spans="2:12" hidden="1" x14ac:dyDescent="0.25">
      <c r="B335" s="5" t="s">
        <v>9</v>
      </c>
      <c r="C335" s="5" t="s">
        <v>99</v>
      </c>
      <c r="D335" s="5" t="s">
        <v>11</v>
      </c>
      <c r="E335" s="6">
        <v>45691</v>
      </c>
      <c r="F335" s="4" t="s">
        <v>15</v>
      </c>
      <c r="G335" s="4" t="s">
        <v>24</v>
      </c>
      <c r="H335" s="4" t="s">
        <v>184</v>
      </c>
      <c r="I335" s="5" t="s">
        <v>469</v>
      </c>
      <c r="J335" s="5"/>
      <c r="K335" s="22">
        <f>YEAR(Tabla1[[#This Row],[Fecha]])</f>
        <v>2025</v>
      </c>
      <c r="L335" s="22">
        <f>MONTH(Tabla1[[#This Row],[Fecha]])</f>
        <v>2</v>
      </c>
    </row>
    <row r="336" spans="2:12" hidden="1" x14ac:dyDescent="0.25">
      <c r="B336" s="5" t="s">
        <v>206</v>
      </c>
      <c r="C336" s="5" t="s">
        <v>290</v>
      </c>
      <c r="D336" s="5" t="s">
        <v>11</v>
      </c>
      <c r="E336" s="6">
        <v>45691</v>
      </c>
      <c r="F336" s="4" t="s">
        <v>365</v>
      </c>
      <c r="G336" s="4"/>
      <c r="H336" s="4"/>
      <c r="I336" s="5" t="s">
        <v>472</v>
      </c>
      <c r="J336" s="5"/>
      <c r="K336" s="22">
        <f>YEAR(Tabla1[[#This Row],[Fecha]])</f>
        <v>2025</v>
      </c>
      <c r="L336" s="22">
        <f>MONTH(Tabla1[[#This Row],[Fecha]])</f>
        <v>2</v>
      </c>
    </row>
    <row r="337" spans="2:12" hidden="1" x14ac:dyDescent="0.25">
      <c r="B337" s="5" t="s">
        <v>32</v>
      </c>
      <c r="C337" s="5" t="s">
        <v>33</v>
      </c>
      <c r="D337" s="5" t="s">
        <v>11</v>
      </c>
      <c r="E337" s="6">
        <v>45687</v>
      </c>
      <c r="F337" s="4" t="s">
        <v>15</v>
      </c>
      <c r="G337" s="4" t="s">
        <v>16</v>
      </c>
      <c r="H337" s="4" t="s">
        <v>34</v>
      </c>
      <c r="I337" s="5" t="s">
        <v>393</v>
      </c>
      <c r="J337" s="5"/>
      <c r="K337" s="22">
        <f>YEAR(Tabla1[[#This Row],[Fecha]])</f>
        <v>2025</v>
      </c>
      <c r="L337" s="22">
        <f>MONTH(Tabla1[[#This Row],[Fecha]])</f>
        <v>1</v>
      </c>
    </row>
    <row r="338" spans="2:12" hidden="1" x14ac:dyDescent="0.25">
      <c r="B338" s="5" t="s">
        <v>32</v>
      </c>
      <c r="C338" s="5" t="s">
        <v>33</v>
      </c>
      <c r="D338" s="5" t="s">
        <v>11</v>
      </c>
      <c r="E338" s="6">
        <v>45687</v>
      </c>
      <c r="F338" s="4" t="s">
        <v>91</v>
      </c>
      <c r="G338" s="4" t="s">
        <v>16</v>
      </c>
      <c r="H338" s="4" t="s">
        <v>34</v>
      </c>
      <c r="I338" s="5" t="s">
        <v>471</v>
      </c>
      <c r="J338" s="5"/>
      <c r="K338" s="22">
        <f>YEAR(Tabla1[[#This Row],[Fecha]])</f>
        <v>2025</v>
      </c>
      <c r="L338" s="22">
        <f>MONTH(Tabla1[[#This Row],[Fecha]])</f>
        <v>1</v>
      </c>
    </row>
    <row r="339" spans="2:12" hidden="1" x14ac:dyDescent="0.25">
      <c r="B339" s="5" t="s">
        <v>309</v>
      </c>
      <c r="C339" s="5" t="s">
        <v>371</v>
      </c>
      <c r="D339" s="5" t="s">
        <v>11</v>
      </c>
      <c r="E339" s="6">
        <v>45684</v>
      </c>
      <c r="F339" s="4" t="s">
        <v>15</v>
      </c>
      <c r="G339" s="4" t="s">
        <v>311</v>
      </c>
      <c r="H339" s="4"/>
      <c r="I339" s="5" t="s">
        <v>394</v>
      </c>
      <c r="J339" s="5"/>
      <c r="K339" s="22">
        <f>YEAR(Tabla1[[#This Row],[Fecha]])</f>
        <v>2025</v>
      </c>
      <c r="L339" s="22">
        <f>MONTH(Tabla1[[#This Row],[Fecha]])</f>
        <v>1</v>
      </c>
    </row>
    <row r="340" spans="2:12" hidden="1" x14ac:dyDescent="0.25">
      <c r="B340" s="5" t="s">
        <v>309</v>
      </c>
      <c r="C340" s="5" t="s">
        <v>371</v>
      </c>
      <c r="D340" s="5" t="s">
        <v>11</v>
      </c>
      <c r="E340" s="6">
        <v>45684</v>
      </c>
      <c r="F340" s="4" t="s">
        <v>15</v>
      </c>
      <c r="G340" s="4" t="s">
        <v>311</v>
      </c>
      <c r="H340" s="4"/>
      <c r="I340" s="5" t="s">
        <v>470</v>
      </c>
      <c r="J340" s="5"/>
      <c r="K340" s="22">
        <f>YEAR(Tabla1[[#This Row],[Fecha]])</f>
        <v>2025</v>
      </c>
      <c r="L340" s="22">
        <f>MONTH(Tabla1[[#This Row],[Fecha]])</f>
        <v>1</v>
      </c>
    </row>
    <row r="341" spans="2:12" hidden="1" x14ac:dyDescent="0.25">
      <c r="B341" s="5" t="s">
        <v>9</v>
      </c>
      <c r="C341" s="5" t="s">
        <v>87</v>
      </c>
      <c r="D341" s="5" t="s">
        <v>11</v>
      </c>
      <c r="E341" s="6">
        <v>45682</v>
      </c>
      <c r="F341" s="4" t="s">
        <v>15</v>
      </c>
      <c r="G341" s="4" t="s">
        <v>24</v>
      </c>
      <c r="H341" s="4" t="s">
        <v>51</v>
      </c>
      <c r="I341" s="5" t="s">
        <v>478</v>
      </c>
      <c r="J341" s="5"/>
      <c r="K341" s="22">
        <f>YEAR(Tabla1[[#This Row],[Fecha]])</f>
        <v>2025</v>
      </c>
      <c r="L341" s="22">
        <f>MONTH(Tabla1[[#This Row],[Fecha]])</f>
        <v>1</v>
      </c>
    </row>
    <row r="342" spans="2:12" hidden="1" x14ac:dyDescent="0.25">
      <c r="B342" s="5" t="s">
        <v>9</v>
      </c>
      <c r="C342" s="5" t="s">
        <v>62</v>
      </c>
      <c r="D342" s="5" t="s">
        <v>11</v>
      </c>
      <c r="E342" s="6">
        <v>45681</v>
      </c>
      <c r="F342" s="4" t="s">
        <v>15</v>
      </c>
      <c r="G342" s="4" t="s">
        <v>16</v>
      </c>
      <c r="H342" s="4" t="s">
        <v>74</v>
      </c>
      <c r="I342" s="5" t="s">
        <v>424</v>
      </c>
      <c r="J342" s="5"/>
      <c r="K342" s="22">
        <f>YEAR(Tabla1[[#This Row],[Fecha]])</f>
        <v>2025</v>
      </c>
      <c r="L342" s="22">
        <f>MONTH(Tabla1[[#This Row],[Fecha]])</f>
        <v>1</v>
      </c>
    </row>
    <row r="343" spans="2:12" hidden="1" x14ac:dyDescent="0.25">
      <c r="B343" s="5" t="s">
        <v>9</v>
      </c>
      <c r="C343" s="5" t="s">
        <v>62</v>
      </c>
      <c r="D343" s="5" t="s">
        <v>11</v>
      </c>
      <c r="E343" s="6">
        <v>45681</v>
      </c>
      <c r="F343" s="4" t="s">
        <v>15</v>
      </c>
      <c r="G343" s="4" t="s">
        <v>24</v>
      </c>
      <c r="H343" s="4" t="s">
        <v>51</v>
      </c>
      <c r="I343" s="5" t="s">
        <v>479</v>
      </c>
      <c r="J343" s="5"/>
      <c r="K343" s="22">
        <f>YEAR(Tabla1[[#This Row],[Fecha]])</f>
        <v>2025</v>
      </c>
      <c r="L343" s="22">
        <f>MONTH(Tabla1[[#This Row],[Fecha]])</f>
        <v>1</v>
      </c>
    </row>
    <row r="344" spans="2:12" hidden="1" x14ac:dyDescent="0.25">
      <c r="B344" s="5" t="s">
        <v>309</v>
      </c>
      <c r="C344" s="5" t="s">
        <v>369</v>
      </c>
      <c r="D344" s="5" t="s">
        <v>11</v>
      </c>
      <c r="E344" s="6">
        <v>45680</v>
      </c>
      <c r="F344" s="4" t="s">
        <v>15</v>
      </c>
      <c r="G344" s="4" t="s">
        <v>108</v>
      </c>
      <c r="H344" s="4"/>
      <c r="I344" s="5" t="s">
        <v>373</v>
      </c>
      <c r="J344" s="5"/>
      <c r="K344" s="22">
        <f>YEAR(Tabla1[[#This Row],[Fecha]])</f>
        <v>2025</v>
      </c>
      <c r="L344" s="22">
        <f>MONTH(Tabla1[[#This Row],[Fecha]])</f>
        <v>1</v>
      </c>
    </row>
    <row r="345" spans="2:12" hidden="1" x14ac:dyDescent="0.25">
      <c r="B345" s="5" t="s">
        <v>9</v>
      </c>
      <c r="C345" s="5" t="s">
        <v>71</v>
      </c>
      <c r="D345" s="5" t="s">
        <v>11</v>
      </c>
      <c r="E345" s="6">
        <v>45680</v>
      </c>
      <c r="F345" s="4" t="s">
        <v>15</v>
      </c>
      <c r="G345" s="4" t="s">
        <v>24</v>
      </c>
      <c r="H345" s="4" t="s">
        <v>51</v>
      </c>
      <c r="I345" s="5" t="s">
        <v>425</v>
      </c>
      <c r="J345" s="5"/>
      <c r="K345" s="22">
        <f>YEAR(Tabla1[[#This Row],[Fecha]])</f>
        <v>2025</v>
      </c>
      <c r="L345" s="22">
        <f>MONTH(Tabla1[[#This Row],[Fecha]])</f>
        <v>1</v>
      </c>
    </row>
    <row r="346" spans="2:12" hidden="1" x14ac:dyDescent="0.25">
      <c r="B346" s="5" t="s">
        <v>9</v>
      </c>
      <c r="C346" s="5" t="s">
        <v>87</v>
      </c>
      <c r="D346" s="5" t="s">
        <v>11</v>
      </c>
      <c r="E346" s="6">
        <v>45680</v>
      </c>
      <c r="F346" s="4" t="s">
        <v>15</v>
      </c>
      <c r="G346" s="4" t="s">
        <v>24</v>
      </c>
      <c r="H346" s="4" t="s">
        <v>51</v>
      </c>
      <c r="I346" s="5" t="s">
        <v>426</v>
      </c>
      <c r="J346" s="5"/>
      <c r="K346" s="22">
        <f>YEAR(Tabla1[[#This Row],[Fecha]])</f>
        <v>2025</v>
      </c>
      <c r="L346" s="22">
        <f>MONTH(Tabla1[[#This Row],[Fecha]])</f>
        <v>1</v>
      </c>
    </row>
    <row r="347" spans="2:12" hidden="1" x14ac:dyDescent="0.25">
      <c r="B347" s="5" t="s">
        <v>9</v>
      </c>
      <c r="C347" s="5" t="s">
        <v>93</v>
      </c>
      <c r="D347" s="5" t="s">
        <v>11</v>
      </c>
      <c r="E347" s="6">
        <v>45680</v>
      </c>
      <c r="F347" s="4" t="s">
        <v>15</v>
      </c>
      <c r="G347" s="4" t="s">
        <v>24</v>
      </c>
      <c r="H347" s="4" t="s">
        <v>51</v>
      </c>
      <c r="I347" s="5" t="s">
        <v>427</v>
      </c>
      <c r="J347" s="5"/>
      <c r="K347" s="22">
        <f>YEAR(Tabla1[[#This Row],[Fecha]])</f>
        <v>2025</v>
      </c>
      <c r="L347" s="22">
        <f>MONTH(Tabla1[[#This Row],[Fecha]])</f>
        <v>1</v>
      </c>
    </row>
    <row r="348" spans="2:12" hidden="1" x14ac:dyDescent="0.25">
      <c r="B348" s="5" t="s">
        <v>9</v>
      </c>
      <c r="C348" s="5" t="s">
        <v>93</v>
      </c>
      <c r="D348" s="5" t="s">
        <v>11</v>
      </c>
      <c r="E348" s="6">
        <v>45680</v>
      </c>
      <c r="F348" s="4" t="s">
        <v>15</v>
      </c>
      <c r="G348" s="4" t="s">
        <v>24</v>
      </c>
      <c r="H348" s="4" t="s">
        <v>51</v>
      </c>
      <c r="I348" s="5" t="s">
        <v>476</v>
      </c>
      <c r="J348" s="5"/>
      <c r="K348" s="22">
        <f>YEAR(Tabla1[[#This Row],[Fecha]])</f>
        <v>2025</v>
      </c>
      <c r="L348" s="22">
        <f>MONTH(Tabla1[[#This Row],[Fecha]])</f>
        <v>1</v>
      </c>
    </row>
    <row r="349" spans="2:12" hidden="1" x14ac:dyDescent="0.25">
      <c r="B349" s="5" t="s">
        <v>9</v>
      </c>
      <c r="C349" s="5" t="s">
        <v>71</v>
      </c>
      <c r="D349" s="5" t="s">
        <v>11</v>
      </c>
      <c r="E349" s="6">
        <v>45680</v>
      </c>
      <c r="F349" s="4" t="s">
        <v>15</v>
      </c>
      <c r="G349" s="4" t="s">
        <v>24</v>
      </c>
      <c r="H349" s="4" t="s">
        <v>51</v>
      </c>
      <c r="I349" s="5" t="s">
        <v>477</v>
      </c>
      <c r="J349" s="5"/>
      <c r="K349" s="22">
        <f>YEAR(Tabla1[[#This Row],[Fecha]])</f>
        <v>2025</v>
      </c>
      <c r="L349" s="22">
        <f>MONTH(Tabla1[[#This Row],[Fecha]])</f>
        <v>1</v>
      </c>
    </row>
    <row r="350" spans="2:12" hidden="1" x14ac:dyDescent="0.25">
      <c r="B350" s="5" t="s">
        <v>309</v>
      </c>
      <c r="C350" s="5" t="s">
        <v>369</v>
      </c>
      <c r="D350" s="5" t="s">
        <v>11</v>
      </c>
      <c r="E350" s="6">
        <v>45680</v>
      </c>
      <c r="F350" s="4" t="s">
        <v>15</v>
      </c>
      <c r="G350" s="4" t="s">
        <v>108</v>
      </c>
      <c r="H350" s="4"/>
      <c r="I350" s="5" t="s">
        <v>480</v>
      </c>
      <c r="J350" s="5"/>
      <c r="K350" s="22">
        <f>YEAR(Tabla1[[#This Row],[Fecha]])</f>
        <v>2025</v>
      </c>
      <c r="L350" s="22">
        <f>MONTH(Tabla1[[#This Row],[Fecha]])</f>
        <v>1</v>
      </c>
    </row>
    <row r="351" spans="2:12" hidden="1" x14ac:dyDescent="0.25">
      <c r="B351" s="5" t="s">
        <v>309</v>
      </c>
      <c r="C351" s="5" t="s">
        <v>371</v>
      </c>
      <c r="D351" s="5" t="s">
        <v>11</v>
      </c>
      <c r="E351" s="6">
        <v>45679</v>
      </c>
      <c r="F351" s="4" t="s">
        <v>15</v>
      </c>
      <c r="G351" s="4" t="s">
        <v>108</v>
      </c>
      <c r="H351" s="4"/>
      <c r="I351" s="5" t="s">
        <v>372</v>
      </c>
      <c r="J351" s="5"/>
      <c r="K351" s="22">
        <f>YEAR(Tabla1[[#This Row],[Fecha]])</f>
        <v>2025</v>
      </c>
      <c r="L351" s="22">
        <f>MONTH(Tabla1[[#This Row],[Fecha]])</f>
        <v>1</v>
      </c>
    </row>
    <row r="352" spans="2:12" hidden="1" x14ac:dyDescent="0.25">
      <c r="B352" s="5" t="s">
        <v>309</v>
      </c>
      <c r="C352" s="5" t="s">
        <v>371</v>
      </c>
      <c r="D352" s="5" t="s">
        <v>11</v>
      </c>
      <c r="E352" s="6">
        <v>45679</v>
      </c>
      <c r="F352" s="4" t="s">
        <v>15</v>
      </c>
      <c r="G352" s="4" t="s">
        <v>311</v>
      </c>
      <c r="H352" s="4"/>
      <c r="I352" s="5" t="s">
        <v>475</v>
      </c>
      <c r="J352" s="5"/>
      <c r="K352" s="22">
        <f>YEAR(Tabla1[[#This Row],[Fecha]])</f>
        <v>2025</v>
      </c>
      <c r="L352" s="22">
        <f>MONTH(Tabla1[[#This Row],[Fecha]])</f>
        <v>1</v>
      </c>
    </row>
    <row r="353" spans="2:12" hidden="1" x14ac:dyDescent="0.25">
      <c r="B353" s="5" t="s">
        <v>309</v>
      </c>
      <c r="C353" s="5" t="s">
        <v>315</v>
      </c>
      <c r="D353" s="5" t="s">
        <v>11</v>
      </c>
      <c r="E353" s="6">
        <v>45677</v>
      </c>
      <c r="F353" s="4" t="s">
        <v>15</v>
      </c>
      <c r="G353" s="4" t="s">
        <v>47</v>
      </c>
      <c r="H353" s="4" t="s">
        <v>41</v>
      </c>
      <c r="I353" s="5" t="s">
        <v>482</v>
      </c>
      <c r="J353" s="5"/>
      <c r="K353" s="22">
        <f>YEAR(Tabla1[[#This Row],[Fecha]])</f>
        <v>2025</v>
      </c>
      <c r="L353" s="22">
        <f>MONTH(Tabla1[[#This Row],[Fecha]])</f>
        <v>1</v>
      </c>
    </row>
    <row r="354" spans="2:12" hidden="1" x14ac:dyDescent="0.25">
      <c r="B354" s="5" t="s">
        <v>49</v>
      </c>
      <c r="C354" s="5" t="s">
        <v>60</v>
      </c>
      <c r="D354" s="5" t="s">
        <v>11</v>
      </c>
      <c r="E354" s="6">
        <v>45674</v>
      </c>
      <c r="F354" s="4" t="s">
        <v>91</v>
      </c>
      <c r="G354" s="4" t="s">
        <v>135</v>
      </c>
      <c r="H354" s="4" t="s">
        <v>223</v>
      </c>
      <c r="I354" s="5" t="s">
        <v>484</v>
      </c>
      <c r="J354" s="5"/>
      <c r="K354" s="22">
        <f>YEAR(Tabla1[[#This Row],[Fecha]])</f>
        <v>2025</v>
      </c>
      <c r="L354" s="22">
        <f>MONTH(Tabla1[[#This Row],[Fecha]])</f>
        <v>1</v>
      </c>
    </row>
    <row r="355" spans="2:12" hidden="1" x14ac:dyDescent="0.25">
      <c r="B355" s="5" t="s">
        <v>106</v>
      </c>
      <c r="C355" s="5" t="s">
        <v>110</v>
      </c>
      <c r="D355" s="5" t="s">
        <v>11</v>
      </c>
      <c r="E355" s="6">
        <v>45671</v>
      </c>
      <c r="F355" s="4" t="s">
        <v>15</v>
      </c>
      <c r="G355" s="4" t="s">
        <v>108</v>
      </c>
      <c r="H355" s="4"/>
      <c r="I355" s="5" t="s">
        <v>109</v>
      </c>
      <c r="J355" s="5"/>
      <c r="K355" s="22">
        <f>YEAR(Tabla1[[#This Row],[Fecha]])</f>
        <v>2025</v>
      </c>
      <c r="L355" s="22">
        <f>MONTH(Tabla1[[#This Row],[Fecha]])</f>
        <v>1</v>
      </c>
    </row>
    <row r="356" spans="2:12" hidden="1" x14ac:dyDescent="0.25">
      <c r="B356" s="5" t="s">
        <v>309</v>
      </c>
      <c r="C356" s="5" t="s">
        <v>320</v>
      </c>
      <c r="D356" s="5" t="s">
        <v>131</v>
      </c>
      <c r="E356" s="6">
        <v>45671</v>
      </c>
      <c r="F356" s="4" t="s">
        <v>15</v>
      </c>
      <c r="G356" s="4" t="s">
        <v>16</v>
      </c>
      <c r="H356" s="4" t="s">
        <v>63</v>
      </c>
      <c r="I356" s="5" t="s">
        <v>389</v>
      </c>
      <c r="J356" s="5"/>
      <c r="K356" s="22">
        <f>YEAR(Tabla1[[#This Row],[Fecha]])</f>
        <v>2025</v>
      </c>
      <c r="L356" s="22">
        <f>MONTH(Tabla1[[#This Row],[Fecha]])</f>
        <v>1</v>
      </c>
    </row>
    <row r="357" spans="2:12" hidden="1" x14ac:dyDescent="0.25">
      <c r="B357" s="10" t="s">
        <v>49</v>
      </c>
      <c r="C357" s="9" t="s">
        <v>111</v>
      </c>
      <c r="D357" s="5" t="s">
        <v>11</v>
      </c>
      <c r="E357" s="6">
        <v>45670</v>
      </c>
      <c r="F357" s="8" t="s">
        <v>15</v>
      </c>
      <c r="G357" s="4" t="s">
        <v>103</v>
      </c>
      <c r="H357" s="4" t="s">
        <v>104</v>
      </c>
      <c r="I357" s="5" t="s">
        <v>112</v>
      </c>
      <c r="J357" s="7"/>
      <c r="K357" s="15">
        <f>YEAR(Tabla1[[#This Row],[Fecha]])</f>
        <v>2025</v>
      </c>
      <c r="L357" s="15">
        <f>MONTH(Tabla1[[#This Row],[Fecha]])</f>
        <v>1</v>
      </c>
    </row>
    <row r="358" spans="2:12" hidden="1" x14ac:dyDescent="0.25">
      <c r="B358" s="5" t="s">
        <v>9</v>
      </c>
      <c r="C358" s="5" t="s">
        <v>71</v>
      </c>
      <c r="D358" s="5" t="s">
        <v>131</v>
      </c>
      <c r="E358" s="6">
        <v>45670</v>
      </c>
      <c r="F358" s="4" t="s">
        <v>15</v>
      </c>
      <c r="G358" s="4" t="s">
        <v>16</v>
      </c>
      <c r="H358" s="4" t="s">
        <v>97</v>
      </c>
      <c r="I358" s="5" t="s">
        <v>387</v>
      </c>
      <c r="J358" s="5"/>
      <c r="K358" s="22">
        <f>YEAR(Tabla1[[#This Row],[Fecha]])</f>
        <v>2025</v>
      </c>
      <c r="L358" s="22">
        <f>MONTH(Tabla1[[#This Row],[Fecha]])</f>
        <v>1</v>
      </c>
    </row>
    <row r="359" spans="2:12" hidden="1" x14ac:dyDescent="0.25">
      <c r="B359" s="5" t="s">
        <v>309</v>
      </c>
      <c r="C359" s="5" t="s">
        <v>313</v>
      </c>
      <c r="D359" s="5" t="s">
        <v>131</v>
      </c>
      <c r="E359" s="6">
        <v>45670</v>
      </c>
      <c r="F359" s="4" t="s">
        <v>15</v>
      </c>
      <c r="G359" s="4" t="s">
        <v>16</v>
      </c>
      <c r="H359" s="4" t="s">
        <v>63</v>
      </c>
      <c r="I359" s="5" t="s">
        <v>388</v>
      </c>
      <c r="J359" s="5"/>
      <c r="K359" s="22">
        <f>YEAR(Tabla1[[#This Row],[Fecha]])</f>
        <v>2025</v>
      </c>
      <c r="L359" s="22">
        <f>MONTH(Tabla1[[#This Row],[Fecha]])</f>
        <v>1</v>
      </c>
    </row>
    <row r="360" spans="2:12" hidden="1" x14ac:dyDescent="0.25">
      <c r="B360" s="5" t="s">
        <v>309</v>
      </c>
      <c r="C360" s="5" t="s">
        <v>371</v>
      </c>
      <c r="D360" s="5" t="s">
        <v>11</v>
      </c>
      <c r="E360" s="6">
        <v>45670</v>
      </c>
      <c r="F360" s="4" t="s">
        <v>15</v>
      </c>
      <c r="G360" s="4" t="s">
        <v>16</v>
      </c>
      <c r="H360" s="4" t="s">
        <v>74</v>
      </c>
      <c r="I360" s="5" t="s">
        <v>483</v>
      </c>
      <c r="J360" s="5"/>
      <c r="K360" s="22">
        <f>YEAR(Tabla1[[#This Row],[Fecha]])</f>
        <v>2025</v>
      </c>
      <c r="L360" s="22">
        <f>MONTH(Tabla1[[#This Row],[Fecha]])</f>
        <v>1</v>
      </c>
    </row>
    <row r="361" spans="2:12" hidden="1" x14ac:dyDescent="0.25">
      <c r="B361" s="5" t="s">
        <v>106</v>
      </c>
      <c r="C361" s="5" t="s">
        <v>107</v>
      </c>
      <c r="D361" s="5" t="s">
        <v>11</v>
      </c>
      <c r="E361" s="6">
        <v>45669</v>
      </c>
      <c r="F361" s="4" t="s">
        <v>15</v>
      </c>
      <c r="G361" s="4" t="s">
        <v>108</v>
      </c>
      <c r="H361" s="4"/>
      <c r="I361" s="5" t="s">
        <v>109</v>
      </c>
      <c r="J361" s="5"/>
      <c r="K361" s="22">
        <f>YEAR(Tabla1[[#This Row],[Fecha]])</f>
        <v>2025</v>
      </c>
      <c r="L361" s="22">
        <f>MONTH(Tabla1[[#This Row],[Fecha]])</f>
        <v>1</v>
      </c>
    </row>
    <row r="362" spans="2:12" hidden="1" x14ac:dyDescent="0.25">
      <c r="B362" s="5" t="s">
        <v>49</v>
      </c>
      <c r="C362" s="5" t="s">
        <v>176</v>
      </c>
      <c r="D362" s="5" t="s">
        <v>11</v>
      </c>
      <c r="E362" s="6">
        <v>45667</v>
      </c>
      <c r="F362" s="4" t="s">
        <v>91</v>
      </c>
      <c r="G362" s="4" t="s">
        <v>135</v>
      </c>
      <c r="H362" s="4" t="s">
        <v>223</v>
      </c>
      <c r="I362" s="5" t="s">
        <v>486</v>
      </c>
      <c r="J362" s="5"/>
      <c r="K362" s="22">
        <f>YEAR(Tabla1[[#This Row],[Fecha]])</f>
        <v>2025</v>
      </c>
      <c r="L362" s="22">
        <f>MONTH(Tabla1[[#This Row],[Fecha]])</f>
        <v>1</v>
      </c>
    </row>
    <row r="363" spans="2:12" hidden="1" x14ac:dyDescent="0.25">
      <c r="B363" s="5" t="s">
        <v>49</v>
      </c>
      <c r="C363" s="5" t="s">
        <v>57</v>
      </c>
      <c r="D363" s="5" t="s">
        <v>11</v>
      </c>
      <c r="E363" s="6">
        <v>45666</v>
      </c>
      <c r="F363" s="4" t="s">
        <v>91</v>
      </c>
      <c r="G363" s="4" t="s">
        <v>135</v>
      </c>
      <c r="H363" s="4" t="s">
        <v>223</v>
      </c>
      <c r="I363" s="5" t="s">
        <v>485</v>
      </c>
      <c r="J363" s="5"/>
      <c r="K363" s="22">
        <f>YEAR(Tabla1[[#This Row],[Fecha]])</f>
        <v>2025</v>
      </c>
      <c r="L363" s="22">
        <f>MONTH(Tabla1[[#This Row],[Fecha]])</f>
        <v>1</v>
      </c>
    </row>
    <row r="364" spans="2:12" hidden="1" x14ac:dyDescent="0.25">
      <c r="B364" s="5" t="s">
        <v>49</v>
      </c>
      <c r="C364" s="5" t="s">
        <v>123</v>
      </c>
      <c r="D364" s="5" t="s">
        <v>11</v>
      </c>
      <c r="E364" s="24">
        <v>45666</v>
      </c>
      <c r="F364" s="4" t="s">
        <v>91</v>
      </c>
      <c r="G364" s="4" t="s">
        <v>135</v>
      </c>
      <c r="H364" s="4" t="s">
        <v>223</v>
      </c>
      <c r="I364" s="5" t="s">
        <v>487</v>
      </c>
      <c r="J364" s="5"/>
      <c r="K364" s="22">
        <f>YEAR(Tabla1[[#This Row],[Fecha]])</f>
        <v>2025</v>
      </c>
      <c r="L364" s="22">
        <f>MONTH(Tabla1[[#This Row],[Fecha]])</f>
        <v>1</v>
      </c>
    </row>
    <row r="365" spans="2:12" hidden="1" x14ac:dyDescent="0.25">
      <c r="B365" s="5" t="s">
        <v>106</v>
      </c>
      <c r="C365" s="5" t="s">
        <v>110</v>
      </c>
      <c r="D365" s="5" t="s">
        <v>11</v>
      </c>
      <c r="E365" s="6">
        <v>45665</v>
      </c>
      <c r="F365" s="4" t="s">
        <v>15</v>
      </c>
      <c r="G365" s="4" t="s">
        <v>16</v>
      </c>
      <c r="H365" s="8" t="s">
        <v>41</v>
      </c>
      <c r="I365" s="5" t="s">
        <v>543</v>
      </c>
      <c r="J365" s="7"/>
      <c r="K365" s="15">
        <f>YEAR(Tabla1[[#This Row],[Fecha]])</f>
        <v>2025</v>
      </c>
      <c r="L365" s="15">
        <f>MONTH(Tabla1[[#This Row],[Fecha]])</f>
        <v>1</v>
      </c>
    </row>
    <row r="366" spans="2:12" hidden="1" x14ac:dyDescent="0.25">
      <c r="B366" s="5" t="s">
        <v>309</v>
      </c>
      <c r="C366" s="5" t="s">
        <v>320</v>
      </c>
      <c r="D366" s="5" t="s">
        <v>11</v>
      </c>
      <c r="E366" s="6">
        <v>45665</v>
      </c>
      <c r="F366" s="4" t="s">
        <v>15</v>
      </c>
      <c r="G366" s="4" t="s">
        <v>16</v>
      </c>
      <c r="H366" s="4" t="s">
        <v>34</v>
      </c>
      <c r="I366" s="5" t="s">
        <v>544</v>
      </c>
      <c r="J366" s="5"/>
      <c r="K366" s="22">
        <f>YEAR(Tabla1[[#This Row],[Fecha]])</f>
        <v>2025</v>
      </c>
      <c r="L366" s="22">
        <f>MONTH(Tabla1[[#This Row],[Fecha]])</f>
        <v>1</v>
      </c>
    </row>
    <row r="367" spans="2:12" hidden="1" x14ac:dyDescent="0.25">
      <c r="B367" s="5" t="s">
        <v>309</v>
      </c>
      <c r="C367" s="5" t="s">
        <v>313</v>
      </c>
      <c r="D367" s="5" t="s">
        <v>11</v>
      </c>
      <c r="E367" s="6">
        <v>45663</v>
      </c>
      <c r="F367" s="4" t="s">
        <v>91</v>
      </c>
      <c r="G367" s="4" t="s">
        <v>303</v>
      </c>
      <c r="H367" s="4" t="s">
        <v>304</v>
      </c>
      <c r="I367" s="5" t="s">
        <v>545</v>
      </c>
      <c r="J367" s="5"/>
      <c r="K367" s="22">
        <f>YEAR(Tabla1[[#This Row],[Fecha]])</f>
        <v>2025</v>
      </c>
      <c r="L367" s="22">
        <f>MONTH(Tabla1[[#This Row],[Fecha]])</f>
        <v>1</v>
      </c>
    </row>
    <row r="368" spans="2:12" hidden="1" x14ac:dyDescent="0.25">
      <c r="B368" s="5" t="s">
        <v>309</v>
      </c>
      <c r="C368" s="5" t="s">
        <v>320</v>
      </c>
      <c r="D368" s="5" t="s">
        <v>11</v>
      </c>
      <c r="E368" s="6">
        <v>45663</v>
      </c>
      <c r="F368" s="4" t="s">
        <v>91</v>
      </c>
      <c r="G368" s="4" t="s">
        <v>16</v>
      </c>
      <c r="H368" s="8" t="s">
        <v>34</v>
      </c>
      <c r="I368" s="5" t="s">
        <v>547</v>
      </c>
      <c r="J368" s="7"/>
      <c r="K368" s="15">
        <f>YEAR(Tabla1[[#This Row],[Fecha]])</f>
        <v>2025</v>
      </c>
      <c r="L368" s="15">
        <f>MONTH(Tabla1[[#This Row],[Fecha]])</f>
        <v>1</v>
      </c>
    </row>
    <row r="369" spans="2:12" hidden="1" x14ac:dyDescent="0.25">
      <c r="B369" s="5" t="s">
        <v>181</v>
      </c>
      <c r="C369" s="5" t="s">
        <v>209</v>
      </c>
      <c r="D369" s="5" t="s">
        <v>11</v>
      </c>
      <c r="E369" s="6">
        <v>45663</v>
      </c>
      <c r="F369" s="4" t="s">
        <v>15</v>
      </c>
      <c r="G369" s="4" t="s">
        <v>24</v>
      </c>
      <c r="H369" s="4" t="s">
        <v>1773</v>
      </c>
      <c r="I369" s="5" t="s">
        <v>550</v>
      </c>
      <c r="J369" s="5"/>
      <c r="K369" s="22">
        <f>YEAR(Tabla1[[#This Row],[Fecha]])</f>
        <v>2025</v>
      </c>
      <c r="L369" s="22">
        <f>MONTH(Tabla1[[#This Row],[Fecha]])</f>
        <v>1</v>
      </c>
    </row>
    <row r="370" spans="2:12" hidden="1" x14ac:dyDescent="0.25">
      <c r="B370" s="5" t="s">
        <v>181</v>
      </c>
      <c r="C370" s="5" t="s">
        <v>551</v>
      </c>
      <c r="D370" s="5" t="s">
        <v>11</v>
      </c>
      <c r="E370" s="6">
        <v>45663</v>
      </c>
      <c r="F370" s="4" t="s">
        <v>15</v>
      </c>
      <c r="G370" s="4" t="s">
        <v>36</v>
      </c>
      <c r="H370" s="4" t="s">
        <v>145</v>
      </c>
      <c r="I370" s="36" t="s">
        <v>552</v>
      </c>
      <c r="J370" s="5"/>
      <c r="K370" s="22">
        <f>YEAR(Tabla1[[#This Row],[Fecha]])</f>
        <v>2025</v>
      </c>
      <c r="L370" s="22">
        <f>MONTH(Tabla1[[#This Row],[Fecha]])</f>
        <v>1</v>
      </c>
    </row>
    <row r="371" spans="2:12" hidden="1" x14ac:dyDescent="0.25">
      <c r="B371" s="5" t="s">
        <v>309</v>
      </c>
      <c r="C371" s="5" t="s">
        <v>321</v>
      </c>
      <c r="D371" s="5" t="s">
        <v>11</v>
      </c>
      <c r="E371" s="6">
        <v>45660</v>
      </c>
      <c r="F371" s="4" t="s">
        <v>91</v>
      </c>
      <c r="G371" s="4" t="s">
        <v>16</v>
      </c>
      <c r="H371" s="8" t="s">
        <v>34</v>
      </c>
      <c r="I371" s="5" t="s">
        <v>548</v>
      </c>
      <c r="J371" s="7"/>
      <c r="K371" s="15">
        <f>YEAR(Tabla1[[#This Row],[Fecha]])</f>
        <v>2025</v>
      </c>
      <c r="L371" s="15">
        <f>MONTH(Tabla1[[#This Row],[Fecha]])</f>
        <v>1</v>
      </c>
    </row>
    <row r="372" spans="2:12" hidden="1" x14ac:dyDescent="0.25">
      <c r="B372" s="5" t="s">
        <v>309</v>
      </c>
      <c r="C372" s="5" t="s">
        <v>320</v>
      </c>
      <c r="D372" s="5" t="s">
        <v>11</v>
      </c>
      <c r="E372" s="6">
        <v>45660</v>
      </c>
      <c r="F372" s="4" t="s">
        <v>91</v>
      </c>
      <c r="G372" s="4" t="s">
        <v>16</v>
      </c>
      <c r="H372" s="8" t="s">
        <v>34</v>
      </c>
      <c r="I372" s="5" t="s">
        <v>549</v>
      </c>
      <c r="J372" s="7"/>
      <c r="K372" s="15">
        <f>YEAR(Tabla1[[#This Row],[Fecha]])</f>
        <v>2025</v>
      </c>
      <c r="L372" s="15">
        <f>MONTH(Tabla1[[#This Row],[Fecha]])</f>
        <v>1</v>
      </c>
    </row>
    <row r="373" spans="2:12" hidden="1" x14ac:dyDescent="0.25">
      <c r="B373" s="5" t="s">
        <v>32</v>
      </c>
      <c r="C373" s="5" t="s">
        <v>539</v>
      </c>
      <c r="D373" s="5" t="s">
        <v>11</v>
      </c>
      <c r="E373" s="6">
        <v>45659</v>
      </c>
      <c r="F373" s="4" t="s">
        <v>15</v>
      </c>
      <c r="G373" s="4" t="s">
        <v>24</v>
      </c>
      <c r="H373" s="8" t="s">
        <v>1773</v>
      </c>
      <c r="I373" s="5" t="s">
        <v>540</v>
      </c>
      <c r="J373" s="7"/>
      <c r="K373" s="15">
        <f>YEAR(Tabla1[[#This Row],[Fecha]])</f>
        <v>2025</v>
      </c>
      <c r="L373" s="15">
        <f>MONTH(Tabla1[[#This Row],[Fecha]])</f>
        <v>1</v>
      </c>
    </row>
    <row r="374" spans="2:12" hidden="1" x14ac:dyDescent="0.25">
      <c r="B374" s="5" t="s">
        <v>32</v>
      </c>
      <c r="C374" s="5" t="s">
        <v>541</v>
      </c>
      <c r="D374" s="5" t="s">
        <v>11</v>
      </c>
      <c r="E374" s="6">
        <v>45659</v>
      </c>
      <c r="F374" s="4" t="s">
        <v>15</v>
      </c>
      <c r="G374" s="4" t="s">
        <v>108</v>
      </c>
      <c r="H374" s="8"/>
      <c r="I374" s="5" t="s">
        <v>542</v>
      </c>
      <c r="J374" s="7"/>
      <c r="K374" s="15">
        <f>YEAR(Tabla1[[#This Row],[Fecha]])</f>
        <v>2025</v>
      </c>
      <c r="L374" s="15">
        <f>MONTH(Tabla1[[#This Row],[Fecha]])</f>
        <v>1</v>
      </c>
    </row>
    <row r="375" spans="2:12" hidden="1" x14ac:dyDescent="0.25">
      <c r="B375" s="5" t="s">
        <v>9</v>
      </c>
      <c r="C375" s="5" t="s">
        <v>153</v>
      </c>
      <c r="D375" s="5" t="s">
        <v>131</v>
      </c>
      <c r="E375" s="6">
        <v>45656</v>
      </c>
      <c r="F375" s="4" t="s">
        <v>15</v>
      </c>
      <c r="G375" s="4" t="s">
        <v>103</v>
      </c>
      <c r="H375" s="4" t="s">
        <v>37</v>
      </c>
      <c r="I375" s="5" t="s">
        <v>503</v>
      </c>
      <c r="J375" s="5"/>
      <c r="K375" s="22">
        <f>YEAR(Tabla1[[#This Row],[Fecha]])</f>
        <v>2024</v>
      </c>
      <c r="L375" s="22">
        <f>MONTH(Tabla1[[#This Row],[Fecha]])</f>
        <v>12</v>
      </c>
    </row>
    <row r="376" spans="2:12" hidden="1" x14ac:dyDescent="0.25">
      <c r="B376" s="5" t="s">
        <v>9</v>
      </c>
      <c r="C376" s="5" t="s">
        <v>99</v>
      </c>
      <c r="D376" s="5" t="s">
        <v>11</v>
      </c>
      <c r="E376" s="6">
        <v>45656</v>
      </c>
      <c r="F376" s="4" t="s">
        <v>15</v>
      </c>
      <c r="G376" s="4" t="s">
        <v>103</v>
      </c>
      <c r="H376" s="29" t="s">
        <v>1782</v>
      </c>
      <c r="I376" s="5" t="s">
        <v>504</v>
      </c>
      <c r="J376" s="5"/>
      <c r="K376" s="22">
        <f>YEAR(Tabla1[[#This Row],[Fecha]])</f>
        <v>2024</v>
      </c>
      <c r="L376" s="22">
        <f>MONTH(Tabla1[[#This Row],[Fecha]])</f>
        <v>12</v>
      </c>
    </row>
    <row r="377" spans="2:12" hidden="1" x14ac:dyDescent="0.25">
      <c r="B377" s="5" t="s">
        <v>49</v>
      </c>
      <c r="C377" s="5" t="s">
        <v>115</v>
      </c>
      <c r="D377" s="5" t="s">
        <v>11</v>
      </c>
      <c r="E377" s="6">
        <v>45656</v>
      </c>
      <c r="F377" s="4" t="s">
        <v>15</v>
      </c>
      <c r="G377" s="4" t="s">
        <v>47</v>
      </c>
      <c r="H377" s="4" t="s">
        <v>41</v>
      </c>
      <c r="I377" s="5" t="s">
        <v>505</v>
      </c>
      <c r="J377" s="5"/>
      <c r="K377" s="22">
        <f>YEAR(Tabla1[[#This Row],[Fecha]])</f>
        <v>2024</v>
      </c>
      <c r="L377" s="22">
        <f>MONTH(Tabla1[[#This Row],[Fecha]])</f>
        <v>12</v>
      </c>
    </row>
    <row r="378" spans="2:12" hidden="1" x14ac:dyDescent="0.25">
      <c r="B378" s="5" t="s">
        <v>9</v>
      </c>
      <c r="C378" s="5" t="s">
        <v>87</v>
      </c>
      <c r="D378" s="5" t="s">
        <v>11</v>
      </c>
      <c r="E378" s="6">
        <v>45653</v>
      </c>
      <c r="F378" s="4" t="s">
        <v>15</v>
      </c>
      <c r="G378" s="4" t="s">
        <v>16</v>
      </c>
      <c r="H378" s="4" t="s">
        <v>43</v>
      </c>
      <c r="I378" s="5" t="s">
        <v>520</v>
      </c>
      <c r="J378" s="5"/>
      <c r="K378" s="22">
        <f>YEAR(Tabla1[[#This Row],[Fecha]])</f>
        <v>2024</v>
      </c>
      <c r="L378" s="22">
        <f>MONTH(Tabla1[[#This Row],[Fecha]])</f>
        <v>12</v>
      </c>
    </row>
    <row r="379" spans="2:12" hidden="1" x14ac:dyDescent="0.25">
      <c r="B379" s="5" t="s">
        <v>9</v>
      </c>
      <c r="C379" s="5" t="s">
        <v>153</v>
      </c>
      <c r="D379" s="5" t="s">
        <v>11</v>
      </c>
      <c r="E379" s="6">
        <v>45650</v>
      </c>
      <c r="F379" s="4" t="s">
        <v>15</v>
      </c>
      <c r="G379" s="4" t="s">
        <v>16</v>
      </c>
      <c r="H379" s="4" t="s">
        <v>1690</v>
      </c>
      <c r="I379" s="5" t="s">
        <v>523</v>
      </c>
      <c r="J379" s="5"/>
      <c r="K379" s="22">
        <f>YEAR(Tabla1[[#This Row],[Fecha]])</f>
        <v>2024</v>
      </c>
      <c r="L379" s="22">
        <f>MONTH(Tabla1[[#This Row],[Fecha]])</f>
        <v>12</v>
      </c>
    </row>
    <row r="380" spans="2:12" hidden="1" x14ac:dyDescent="0.25">
      <c r="B380" s="5" t="s">
        <v>381</v>
      </c>
      <c r="C380" s="5" t="s">
        <v>382</v>
      </c>
      <c r="D380" s="5" t="s">
        <v>131</v>
      </c>
      <c r="E380" s="6">
        <v>45644</v>
      </c>
      <c r="F380" s="4" t="s">
        <v>15</v>
      </c>
      <c r="G380" s="4" t="s">
        <v>36</v>
      </c>
      <c r="H380" s="4" t="s">
        <v>72</v>
      </c>
      <c r="I380" s="5" t="s">
        <v>515</v>
      </c>
      <c r="J380" s="5"/>
      <c r="K380" s="22">
        <f>YEAR(Tabla1[[#This Row],[Fecha]])</f>
        <v>2024</v>
      </c>
      <c r="L380" s="22">
        <f>MONTH(Tabla1[[#This Row],[Fecha]])</f>
        <v>12</v>
      </c>
    </row>
    <row r="381" spans="2:12" hidden="1" x14ac:dyDescent="0.25">
      <c r="B381" s="5" t="s">
        <v>32</v>
      </c>
      <c r="C381" s="5" t="s">
        <v>33</v>
      </c>
      <c r="D381" s="5" t="s">
        <v>131</v>
      </c>
      <c r="E381" s="6">
        <v>45644</v>
      </c>
      <c r="F381" s="4" t="s">
        <v>15</v>
      </c>
      <c r="G381" s="4" t="s">
        <v>16</v>
      </c>
      <c r="H381" s="4" t="s">
        <v>34</v>
      </c>
      <c r="I381" s="5" t="s">
        <v>516</v>
      </c>
      <c r="J381" s="5"/>
      <c r="K381" s="22">
        <f>YEAR(Tabla1[[#This Row],[Fecha]])</f>
        <v>2024</v>
      </c>
      <c r="L381" s="22">
        <f>MONTH(Tabla1[[#This Row],[Fecha]])</f>
        <v>12</v>
      </c>
    </row>
    <row r="382" spans="2:12" hidden="1" x14ac:dyDescent="0.25">
      <c r="B382" s="5" t="s">
        <v>309</v>
      </c>
      <c r="C382" s="5" t="s">
        <v>371</v>
      </c>
      <c r="D382" s="5" t="s">
        <v>11</v>
      </c>
      <c r="E382" s="6">
        <v>45644</v>
      </c>
      <c r="F382" s="4" t="s">
        <v>91</v>
      </c>
      <c r="G382" s="4" t="s">
        <v>103</v>
      </c>
      <c r="H382" s="4" t="s">
        <v>1779</v>
      </c>
      <c r="I382" s="5" t="s">
        <v>521</v>
      </c>
      <c r="J382" s="5"/>
      <c r="K382" s="22">
        <f>YEAR(Tabla1[[#This Row],[Fecha]])</f>
        <v>2024</v>
      </c>
      <c r="L382" s="22">
        <f>MONTH(Tabla1[[#This Row],[Fecha]])</f>
        <v>12</v>
      </c>
    </row>
    <row r="383" spans="2:12" hidden="1" x14ac:dyDescent="0.25">
      <c r="B383" s="5" t="s">
        <v>309</v>
      </c>
      <c r="C383" s="5" t="s">
        <v>371</v>
      </c>
      <c r="D383" s="5" t="s">
        <v>11</v>
      </c>
      <c r="E383" s="6">
        <v>45644</v>
      </c>
      <c r="F383" s="4" t="s">
        <v>15</v>
      </c>
      <c r="G383" s="31" t="s">
        <v>47</v>
      </c>
      <c r="H383" s="31" t="s">
        <v>121</v>
      </c>
      <c r="I383" s="5" t="s">
        <v>522</v>
      </c>
      <c r="J383" s="5"/>
      <c r="K383" s="22">
        <f>YEAR(Tabla1[[#This Row],[Fecha]])</f>
        <v>2024</v>
      </c>
      <c r="L383" s="22">
        <f>MONTH(Tabla1[[#This Row],[Fecha]])</f>
        <v>12</v>
      </c>
    </row>
    <row r="384" spans="2:12" hidden="1" x14ac:dyDescent="0.25">
      <c r="B384" s="5" t="s">
        <v>32</v>
      </c>
      <c r="C384" s="5" t="s">
        <v>147</v>
      </c>
      <c r="D384" s="5" t="s">
        <v>11</v>
      </c>
      <c r="E384" s="6">
        <v>45644</v>
      </c>
      <c r="F384" s="4" t="s">
        <v>15</v>
      </c>
      <c r="G384" s="4" t="s">
        <v>47</v>
      </c>
      <c r="H384" s="8" t="s">
        <v>121</v>
      </c>
      <c r="I384" s="5" t="s">
        <v>631</v>
      </c>
      <c r="J384" s="7"/>
      <c r="K384" s="15">
        <f>YEAR(Tabla1[[#This Row],[Fecha]])</f>
        <v>2024</v>
      </c>
      <c r="L384" s="15">
        <f>MONTH(Tabla1[[#This Row],[Fecha]])</f>
        <v>12</v>
      </c>
    </row>
    <row r="385" spans="2:12" hidden="1" x14ac:dyDescent="0.25">
      <c r="B385" s="5" t="s">
        <v>9</v>
      </c>
      <c r="C385" s="5" t="s">
        <v>14</v>
      </c>
      <c r="D385" s="5" t="s">
        <v>11</v>
      </c>
      <c r="E385" s="6">
        <v>45639</v>
      </c>
      <c r="F385" s="4" t="s">
        <v>91</v>
      </c>
      <c r="G385" s="4" t="s">
        <v>303</v>
      </c>
      <c r="H385" s="4" t="s">
        <v>431</v>
      </c>
      <c r="I385" s="5" t="s">
        <v>591</v>
      </c>
      <c r="J385" s="5"/>
      <c r="K385" s="22">
        <f>YEAR(Tabla1[[#This Row],[Fecha]])</f>
        <v>2024</v>
      </c>
      <c r="L385" s="22">
        <f>MONTH(Tabla1[[#This Row],[Fecha]])</f>
        <v>12</v>
      </c>
    </row>
    <row r="386" spans="2:12" hidden="1" x14ac:dyDescent="0.25">
      <c r="B386" s="5" t="s">
        <v>9</v>
      </c>
      <c r="C386" s="5" t="s">
        <v>62</v>
      </c>
      <c r="D386" s="5" t="s">
        <v>131</v>
      </c>
      <c r="E386" s="6">
        <v>45639</v>
      </c>
      <c r="F386" s="4" t="s">
        <v>91</v>
      </c>
      <c r="G386" s="4" t="s">
        <v>303</v>
      </c>
      <c r="H386" s="4" t="s">
        <v>431</v>
      </c>
      <c r="I386" s="5" t="s">
        <v>592</v>
      </c>
      <c r="J386" s="5"/>
      <c r="K386" s="22">
        <f>YEAR(Tabla1[[#This Row],[Fecha]])</f>
        <v>2024</v>
      </c>
      <c r="L386" s="22">
        <f>MONTH(Tabla1[[#This Row],[Fecha]])</f>
        <v>12</v>
      </c>
    </row>
    <row r="387" spans="2:12" hidden="1" x14ac:dyDescent="0.25">
      <c r="B387" s="5" t="s">
        <v>9</v>
      </c>
      <c r="C387" s="5" t="s">
        <v>153</v>
      </c>
      <c r="D387" s="5" t="s">
        <v>131</v>
      </c>
      <c r="E387" s="6">
        <v>45639</v>
      </c>
      <c r="F387" s="4" t="s">
        <v>91</v>
      </c>
      <c r="G387" s="4" t="s">
        <v>303</v>
      </c>
      <c r="H387" s="4" t="s">
        <v>431</v>
      </c>
      <c r="I387" s="5" t="s">
        <v>593</v>
      </c>
      <c r="J387" s="5"/>
      <c r="K387" s="22">
        <f>YEAR(Tabla1[[#This Row],[Fecha]])</f>
        <v>2024</v>
      </c>
      <c r="L387" s="22">
        <f>MONTH(Tabla1[[#This Row],[Fecha]])</f>
        <v>12</v>
      </c>
    </row>
    <row r="388" spans="2:12" hidden="1" x14ac:dyDescent="0.25">
      <c r="B388" s="5" t="s">
        <v>9</v>
      </c>
      <c r="C388" s="5" t="s">
        <v>68</v>
      </c>
      <c r="D388" s="5" t="s">
        <v>131</v>
      </c>
      <c r="E388" s="6">
        <v>45639</v>
      </c>
      <c r="F388" s="4" t="s">
        <v>91</v>
      </c>
      <c r="G388" s="4" t="s">
        <v>303</v>
      </c>
      <c r="H388" s="4" t="s">
        <v>431</v>
      </c>
      <c r="I388" s="5" t="s">
        <v>594</v>
      </c>
      <c r="J388" s="5"/>
      <c r="K388" s="22">
        <f>YEAR(Tabla1[[#This Row],[Fecha]])</f>
        <v>2024</v>
      </c>
      <c r="L388" s="22">
        <f>MONTH(Tabla1[[#This Row],[Fecha]])</f>
        <v>12</v>
      </c>
    </row>
    <row r="389" spans="2:12" hidden="1" x14ac:dyDescent="0.25">
      <c r="B389" s="5" t="s">
        <v>9</v>
      </c>
      <c r="C389" s="5" t="s">
        <v>99</v>
      </c>
      <c r="D389" s="5" t="s">
        <v>11</v>
      </c>
      <c r="E389" s="6">
        <v>45639</v>
      </c>
      <c r="F389" s="4" t="s">
        <v>91</v>
      </c>
      <c r="G389" s="4" t="s">
        <v>16</v>
      </c>
      <c r="H389" s="8" t="s">
        <v>43</v>
      </c>
      <c r="I389" s="5" t="s">
        <v>595</v>
      </c>
      <c r="J389" s="7"/>
      <c r="K389" s="15">
        <f>YEAR(Tabla1[[#This Row],[Fecha]])</f>
        <v>2024</v>
      </c>
      <c r="L389" s="15">
        <f>MONTH(Tabla1[[#This Row],[Fecha]])</f>
        <v>12</v>
      </c>
    </row>
    <row r="390" spans="2:12" hidden="1" x14ac:dyDescent="0.25">
      <c r="B390" s="5" t="s">
        <v>9</v>
      </c>
      <c r="C390" s="5" t="s">
        <v>10</v>
      </c>
      <c r="D390" s="5" t="s">
        <v>11</v>
      </c>
      <c r="E390" s="6">
        <v>45639</v>
      </c>
      <c r="F390" s="4" t="s">
        <v>91</v>
      </c>
      <c r="G390" s="4" t="s">
        <v>303</v>
      </c>
      <c r="H390" s="4" t="s">
        <v>431</v>
      </c>
      <c r="I390" s="5" t="s">
        <v>518</v>
      </c>
      <c r="J390" s="5"/>
      <c r="K390" s="22">
        <f>YEAR(Tabla1[[#This Row],[Fecha]])</f>
        <v>2024</v>
      </c>
      <c r="L390" s="22">
        <f>MONTH(Tabla1[[#This Row],[Fecha]])</f>
        <v>12</v>
      </c>
    </row>
    <row r="391" spans="2:12" hidden="1" x14ac:dyDescent="0.25">
      <c r="B391" s="5" t="s">
        <v>9</v>
      </c>
      <c r="C391" s="5" t="s">
        <v>102</v>
      </c>
      <c r="D391" s="5" t="s">
        <v>11</v>
      </c>
      <c r="E391" s="6">
        <v>45639</v>
      </c>
      <c r="F391" s="4" t="s">
        <v>91</v>
      </c>
      <c r="G391" s="4" t="s">
        <v>303</v>
      </c>
      <c r="H391" s="4" t="s">
        <v>431</v>
      </c>
      <c r="I391" s="5" t="s">
        <v>518</v>
      </c>
      <c r="J391" s="5"/>
      <c r="K391" s="22">
        <f>YEAR(Tabla1[[#This Row],[Fecha]])</f>
        <v>2024</v>
      </c>
      <c r="L391" s="22">
        <f>MONTH(Tabla1[[#This Row],[Fecha]])</f>
        <v>12</v>
      </c>
    </row>
    <row r="392" spans="2:12" hidden="1" x14ac:dyDescent="0.25">
      <c r="B392" s="5" t="s">
        <v>9</v>
      </c>
      <c r="C392" s="5" t="s">
        <v>87</v>
      </c>
      <c r="D392" s="5" t="s">
        <v>11</v>
      </c>
      <c r="E392" s="6">
        <v>45639</v>
      </c>
      <c r="F392" s="4" t="s">
        <v>91</v>
      </c>
      <c r="G392" s="4" t="s">
        <v>303</v>
      </c>
      <c r="H392" s="4" t="s">
        <v>431</v>
      </c>
      <c r="I392" s="5" t="s">
        <v>518</v>
      </c>
      <c r="J392" s="5"/>
      <c r="K392" s="22">
        <f>YEAR(Tabla1[[#This Row],[Fecha]])</f>
        <v>2024</v>
      </c>
      <c r="L392" s="22">
        <f>MONTH(Tabla1[[#This Row],[Fecha]])</f>
        <v>12</v>
      </c>
    </row>
    <row r="393" spans="2:12" hidden="1" x14ac:dyDescent="0.25">
      <c r="B393" s="5" t="s">
        <v>9</v>
      </c>
      <c r="C393" s="5" t="s">
        <v>93</v>
      </c>
      <c r="D393" s="5" t="s">
        <v>131</v>
      </c>
      <c r="E393" s="6">
        <v>45639</v>
      </c>
      <c r="F393" s="4" t="s">
        <v>91</v>
      </c>
      <c r="G393" s="4" t="s">
        <v>303</v>
      </c>
      <c r="H393" s="4" t="s">
        <v>431</v>
      </c>
      <c r="I393" s="5" t="s">
        <v>518</v>
      </c>
      <c r="J393" s="5"/>
      <c r="K393" s="22">
        <f>YEAR(Tabla1[[#This Row],[Fecha]])</f>
        <v>2024</v>
      </c>
      <c r="L393" s="22">
        <f>MONTH(Tabla1[[#This Row],[Fecha]])</f>
        <v>12</v>
      </c>
    </row>
    <row r="394" spans="2:12" hidden="1" x14ac:dyDescent="0.25">
      <c r="B394" s="5" t="s">
        <v>9</v>
      </c>
      <c r="C394" s="5" t="s">
        <v>71</v>
      </c>
      <c r="D394" s="5" t="s">
        <v>131</v>
      </c>
      <c r="E394" s="6">
        <v>45639</v>
      </c>
      <c r="F394" s="4" t="s">
        <v>91</v>
      </c>
      <c r="G394" s="4" t="s">
        <v>303</v>
      </c>
      <c r="H394" s="4" t="s">
        <v>431</v>
      </c>
      <c r="I394" s="5" t="s">
        <v>596</v>
      </c>
      <c r="J394" s="5"/>
      <c r="K394" s="22">
        <f>YEAR(Tabla1[[#This Row],[Fecha]])</f>
        <v>2024</v>
      </c>
      <c r="L394" s="22">
        <f>MONTH(Tabla1[[#This Row],[Fecha]])</f>
        <v>12</v>
      </c>
    </row>
    <row r="395" spans="2:12" hidden="1" x14ac:dyDescent="0.25">
      <c r="B395" s="5" t="s">
        <v>9</v>
      </c>
      <c r="C395" s="5" t="s">
        <v>80</v>
      </c>
      <c r="D395" s="5" t="s">
        <v>131</v>
      </c>
      <c r="E395" s="6">
        <v>45639</v>
      </c>
      <c r="F395" s="4" t="s">
        <v>91</v>
      </c>
      <c r="G395" s="4" t="s">
        <v>303</v>
      </c>
      <c r="H395" s="4" t="s">
        <v>434</v>
      </c>
      <c r="I395" s="5" t="s">
        <v>597</v>
      </c>
      <c r="J395" s="5"/>
      <c r="K395" s="22">
        <f>YEAR(Tabla1[[#This Row],[Fecha]])</f>
        <v>2024</v>
      </c>
      <c r="L395" s="22">
        <f>MONTH(Tabla1[[#This Row],[Fecha]])</f>
        <v>12</v>
      </c>
    </row>
    <row r="396" spans="2:12" hidden="1" x14ac:dyDescent="0.25">
      <c r="B396" s="5" t="s">
        <v>9</v>
      </c>
      <c r="C396" s="5" t="s">
        <v>82</v>
      </c>
      <c r="D396" s="5" t="s">
        <v>131</v>
      </c>
      <c r="E396" s="6">
        <v>45639</v>
      </c>
      <c r="F396" s="4" t="s">
        <v>91</v>
      </c>
      <c r="G396" s="4" t="s">
        <v>303</v>
      </c>
      <c r="H396" s="4" t="s">
        <v>434</v>
      </c>
      <c r="I396" s="5" t="s">
        <v>598</v>
      </c>
      <c r="J396" s="5"/>
      <c r="K396" s="22">
        <f>YEAR(Tabla1[[#This Row],[Fecha]])</f>
        <v>2024</v>
      </c>
      <c r="L396" s="22">
        <f>MONTH(Tabla1[[#This Row],[Fecha]])</f>
        <v>12</v>
      </c>
    </row>
    <row r="397" spans="2:12" hidden="1" x14ac:dyDescent="0.25">
      <c r="B397" s="5" t="s">
        <v>49</v>
      </c>
      <c r="C397" s="5" t="s">
        <v>115</v>
      </c>
      <c r="D397" s="5" t="s">
        <v>11</v>
      </c>
      <c r="E397" s="6">
        <v>45639</v>
      </c>
      <c r="F397" s="4" t="s">
        <v>91</v>
      </c>
      <c r="G397" s="4" t="s">
        <v>303</v>
      </c>
      <c r="H397" s="4" t="s">
        <v>434</v>
      </c>
      <c r="I397" s="5" t="s">
        <v>599</v>
      </c>
      <c r="J397" s="5"/>
      <c r="K397" s="22">
        <f>YEAR(Tabla1[[#This Row],[Fecha]])</f>
        <v>2024</v>
      </c>
      <c r="L397" s="22">
        <f>MONTH(Tabla1[[#This Row],[Fecha]])</f>
        <v>12</v>
      </c>
    </row>
    <row r="398" spans="2:12" hidden="1" x14ac:dyDescent="0.25">
      <c r="B398" s="5" t="s">
        <v>49</v>
      </c>
      <c r="C398" s="5" t="s">
        <v>111</v>
      </c>
      <c r="D398" s="5" t="s">
        <v>11</v>
      </c>
      <c r="E398" s="6">
        <v>45639</v>
      </c>
      <c r="F398" s="4" t="s">
        <v>91</v>
      </c>
      <c r="G398" s="4" t="s">
        <v>303</v>
      </c>
      <c r="H398" s="4" t="s">
        <v>434</v>
      </c>
      <c r="I398" s="5" t="s">
        <v>600</v>
      </c>
      <c r="J398" s="5"/>
      <c r="K398" s="22">
        <f>YEAR(Tabla1[[#This Row],[Fecha]])</f>
        <v>2024</v>
      </c>
      <c r="L398" s="22">
        <f>MONTH(Tabla1[[#This Row],[Fecha]])</f>
        <v>12</v>
      </c>
    </row>
    <row r="399" spans="2:12" hidden="1" x14ac:dyDescent="0.25">
      <c r="B399" s="5" t="s">
        <v>49</v>
      </c>
      <c r="C399" s="5" t="s">
        <v>53</v>
      </c>
      <c r="D399" s="5" t="s">
        <v>11</v>
      </c>
      <c r="E399" s="6">
        <v>45639</v>
      </c>
      <c r="F399" s="4" t="s">
        <v>91</v>
      </c>
      <c r="G399" s="4" t="s">
        <v>303</v>
      </c>
      <c r="H399" s="4" t="s">
        <v>434</v>
      </c>
      <c r="I399" s="5" t="s">
        <v>601</v>
      </c>
      <c r="J399" s="5"/>
      <c r="K399" s="22">
        <f>YEAR(Tabla1[[#This Row],[Fecha]])</f>
        <v>2024</v>
      </c>
      <c r="L399" s="22">
        <f>MONTH(Tabla1[[#This Row],[Fecha]])</f>
        <v>12</v>
      </c>
    </row>
    <row r="400" spans="2:12" hidden="1" x14ac:dyDescent="0.25">
      <c r="B400" s="5" t="s">
        <v>49</v>
      </c>
      <c r="C400" s="5" t="s">
        <v>60</v>
      </c>
      <c r="D400" s="5" t="s">
        <v>11</v>
      </c>
      <c r="E400" s="6">
        <v>45639</v>
      </c>
      <c r="F400" s="4" t="s">
        <v>91</v>
      </c>
      <c r="G400" s="4" t="s">
        <v>303</v>
      </c>
      <c r="H400" s="4" t="s">
        <v>434</v>
      </c>
      <c r="I400" s="5" t="s">
        <v>602</v>
      </c>
      <c r="J400" s="5"/>
      <c r="K400" s="22">
        <f>YEAR(Tabla1[[#This Row],[Fecha]])</f>
        <v>2024</v>
      </c>
      <c r="L400" s="22">
        <f>MONTH(Tabla1[[#This Row],[Fecha]])</f>
        <v>12</v>
      </c>
    </row>
    <row r="401" spans="2:12" hidden="1" x14ac:dyDescent="0.25">
      <c r="B401" s="5" t="s">
        <v>49</v>
      </c>
      <c r="C401" s="5" t="s">
        <v>176</v>
      </c>
      <c r="D401" s="5" t="s">
        <v>11</v>
      </c>
      <c r="E401" s="6">
        <v>45639</v>
      </c>
      <c r="F401" s="4" t="s">
        <v>91</v>
      </c>
      <c r="G401" s="4" t="s">
        <v>36</v>
      </c>
      <c r="H401" s="4" t="s">
        <v>37</v>
      </c>
      <c r="I401" s="5" t="s">
        <v>633</v>
      </c>
      <c r="J401" s="5"/>
      <c r="K401" s="22">
        <f>YEAR(Tabla1[[#This Row],[Fecha]])</f>
        <v>2024</v>
      </c>
      <c r="L401" s="22">
        <f>MONTH(Tabla1[[#This Row],[Fecha]])</f>
        <v>12</v>
      </c>
    </row>
    <row r="402" spans="2:12" hidden="1" x14ac:dyDescent="0.25">
      <c r="B402" s="5" t="s">
        <v>49</v>
      </c>
      <c r="C402" s="5" t="s">
        <v>66</v>
      </c>
      <c r="D402" s="5" t="s">
        <v>11</v>
      </c>
      <c r="E402" s="6">
        <v>45639</v>
      </c>
      <c r="F402" s="4" t="s">
        <v>91</v>
      </c>
      <c r="G402" s="4" t="s">
        <v>303</v>
      </c>
      <c r="H402" s="4" t="s">
        <v>434</v>
      </c>
      <c r="I402" s="5" t="s">
        <v>634</v>
      </c>
      <c r="J402" s="5"/>
      <c r="K402" s="22">
        <f>YEAR(Tabla1[[#This Row],[Fecha]])</f>
        <v>2024</v>
      </c>
      <c r="L402" s="22">
        <f>MONTH(Tabla1[[#This Row],[Fecha]])</f>
        <v>12</v>
      </c>
    </row>
    <row r="403" spans="2:12" hidden="1" x14ac:dyDescent="0.25">
      <c r="B403" s="5" t="s">
        <v>49</v>
      </c>
      <c r="C403" s="5" t="s">
        <v>117</v>
      </c>
      <c r="D403" s="5" t="s">
        <v>131</v>
      </c>
      <c r="E403" s="6">
        <v>45639</v>
      </c>
      <c r="F403" s="4" t="s">
        <v>15</v>
      </c>
      <c r="G403" s="4" t="s">
        <v>47</v>
      </c>
      <c r="H403" s="4" t="s">
        <v>195</v>
      </c>
      <c r="I403" s="5" t="s">
        <v>635</v>
      </c>
      <c r="J403" s="5"/>
      <c r="K403" s="22">
        <f>YEAR(Tabla1[[#This Row],[Fecha]])</f>
        <v>2024</v>
      </c>
      <c r="L403" s="22">
        <f>MONTH(Tabla1[[#This Row],[Fecha]])</f>
        <v>12</v>
      </c>
    </row>
    <row r="404" spans="2:12" hidden="1" x14ac:dyDescent="0.25">
      <c r="B404" s="5" t="s">
        <v>106</v>
      </c>
      <c r="C404" s="5" t="s">
        <v>110</v>
      </c>
      <c r="D404" s="5" t="s">
        <v>11</v>
      </c>
      <c r="E404" s="6">
        <v>45638</v>
      </c>
      <c r="F404" s="4" t="s">
        <v>15</v>
      </c>
      <c r="G404" s="4" t="s">
        <v>16</v>
      </c>
      <c r="H404" s="4" t="s">
        <v>97</v>
      </c>
      <c r="I404" s="5" t="s">
        <v>1716</v>
      </c>
      <c r="J404" s="5"/>
      <c r="K404" s="22">
        <f>YEAR(Tabla1[[#This Row],[Fecha]])</f>
        <v>2024</v>
      </c>
      <c r="L404" s="22">
        <f>MONTH(Tabla1[[#This Row],[Fecha]])</f>
        <v>12</v>
      </c>
    </row>
    <row r="405" spans="2:12" hidden="1" x14ac:dyDescent="0.25">
      <c r="B405" s="5" t="s">
        <v>9</v>
      </c>
      <c r="C405" s="5" t="s">
        <v>62</v>
      </c>
      <c r="D405" s="5" t="s">
        <v>11</v>
      </c>
      <c r="E405" s="6">
        <v>45637</v>
      </c>
      <c r="F405" s="4" t="s">
        <v>91</v>
      </c>
      <c r="G405" s="4" t="s">
        <v>303</v>
      </c>
      <c r="H405" s="4" t="s">
        <v>359</v>
      </c>
      <c r="I405" s="5" t="s">
        <v>572</v>
      </c>
      <c r="J405" s="5"/>
      <c r="K405" s="22">
        <f>YEAR(Tabla1[[#This Row],[Fecha]])</f>
        <v>2024</v>
      </c>
      <c r="L405" s="22">
        <f>MONTH(Tabla1[[#This Row],[Fecha]])</f>
        <v>12</v>
      </c>
    </row>
    <row r="406" spans="2:12" hidden="1" x14ac:dyDescent="0.25">
      <c r="B406" s="5" t="s">
        <v>9</v>
      </c>
      <c r="C406" s="5" t="s">
        <v>62</v>
      </c>
      <c r="D406" s="5" t="s">
        <v>11</v>
      </c>
      <c r="E406" s="6">
        <v>45637</v>
      </c>
      <c r="F406" s="4" t="s">
        <v>91</v>
      </c>
      <c r="G406" s="4" t="s">
        <v>303</v>
      </c>
      <c r="H406" s="4" t="s">
        <v>431</v>
      </c>
      <c r="I406" s="5" t="s">
        <v>573</v>
      </c>
      <c r="J406" s="5"/>
      <c r="K406" s="22">
        <f>YEAR(Tabla1[[#This Row],[Fecha]])</f>
        <v>2024</v>
      </c>
      <c r="L406" s="22">
        <f>MONTH(Tabla1[[#This Row],[Fecha]])</f>
        <v>12</v>
      </c>
    </row>
    <row r="407" spans="2:12" hidden="1" x14ac:dyDescent="0.25">
      <c r="B407" s="5" t="s">
        <v>9</v>
      </c>
      <c r="C407" s="5" t="s">
        <v>153</v>
      </c>
      <c r="D407" s="5" t="s">
        <v>11</v>
      </c>
      <c r="E407" s="6">
        <v>45637</v>
      </c>
      <c r="F407" s="4" t="s">
        <v>91</v>
      </c>
      <c r="G407" s="4" t="s">
        <v>303</v>
      </c>
      <c r="H407" s="4" t="s">
        <v>431</v>
      </c>
      <c r="I407" s="5" t="s">
        <v>574</v>
      </c>
      <c r="J407" s="5"/>
      <c r="K407" s="22">
        <f>YEAR(Tabla1[[#This Row],[Fecha]])</f>
        <v>2024</v>
      </c>
      <c r="L407" s="22">
        <f>MONTH(Tabla1[[#This Row],[Fecha]])</f>
        <v>12</v>
      </c>
    </row>
    <row r="408" spans="2:12" hidden="1" x14ac:dyDescent="0.25">
      <c r="B408" s="5" t="s">
        <v>9</v>
      </c>
      <c r="C408" s="5" t="s">
        <v>68</v>
      </c>
      <c r="D408" s="5" t="s">
        <v>11</v>
      </c>
      <c r="E408" s="6">
        <v>45637</v>
      </c>
      <c r="F408" s="4" t="s">
        <v>91</v>
      </c>
      <c r="G408" s="4" t="s">
        <v>303</v>
      </c>
      <c r="H408" s="4" t="s">
        <v>431</v>
      </c>
      <c r="I408" s="5" t="s">
        <v>575</v>
      </c>
      <c r="J408" s="5"/>
      <c r="K408" s="22">
        <f>YEAR(Tabla1[[#This Row],[Fecha]])</f>
        <v>2024</v>
      </c>
      <c r="L408" s="22">
        <f>MONTH(Tabla1[[#This Row],[Fecha]])</f>
        <v>12</v>
      </c>
    </row>
    <row r="409" spans="2:12" hidden="1" x14ac:dyDescent="0.25">
      <c r="B409" s="5" t="s">
        <v>9</v>
      </c>
      <c r="C409" s="5" t="s">
        <v>99</v>
      </c>
      <c r="D409" s="5" t="s">
        <v>11</v>
      </c>
      <c r="E409" s="6">
        <v>45637</v>
      </c>
      <c r="F409" s="4" t="s">
        <v>91</v>
      </c>
      <c r="G409" s="4" t="s">
        <v>303</v>
      </c>
      <c r="H409" s="4" t="s">
        <v>431</v>
      </c>
      <c r="I409" s="5" t="s">
        <v>576</v>
      </c>
      <c r="J409" s="5"/>
      <c r="K409" s="22">
        <f>YEAR(Tabla1[[#This Row],[Fecha]])</f>
        <v>2024</v>
      </c>
      <c r="L409" s="22">
        <f>MONTH(Tabla1[[#This Row],[Fecha]])</f>
        <v>12</v>
      </c>
    </row>
    <row r="410" spans="2:12" hidden="1" x14ac:dyDescent="0.25">
      <c r="B410" s="5" t="s">
        <v>9</v>
      </c>
      <c r="C410" s="5" t="s">
        <v>10</v>
      </c>
      <c r="D410" s="5" t="s">
        <v>11</v>
      </c>
      <c r="E410" s="6">
        <v>45637</v>
      </c>
      <c r="F410" s="4" t="s">
        <v>91</v>
      </c>
      <c r="G410" s="4" t="s">
        <v>303</v>
      </c>
      <c r="H410" s="4" t="s">
        <v>431</v>
      </c>
      <c r="I410" s="5" t="s">
        <v>577</v>
      </c>
      <c r="J410" s="5"/>
      <c r="K410" s="22">
        <f>YEAR(Tabla1[[#This Row],[Fecha]])</f>
        <v>2024</v>
      </c>
      <c r="L410" s="22">
        <f>MONTH(Tabla1[[#This Row],[Fecha]])</f>
        <v>12</v>
      </c>
    </row>
    <row r="411" spans="2:12" hidden="1" x14ac:dyDescent="0.25">
      <c r="B411" s="5" t="s">
        <v>9</v>
      </c>
      <c r="C411" s="5" t="s">
        <v>102</v>
      </c>
      <c r="D411" s="5" t="s">
        <v>11</v>
      </c>
      <c r="E411" s="6">
        <v>45637</v>
      </c>
      <c r="F411" s="4" t="s">
        <v>91</v>
      </c>
      <c r="G411" s="4" t="s">
        <v>303</v>
      </c>
      <c r="H411" s="4" t="s">
        <v>431</v>
      </c>
      <c r="I411" s="5" t="s">
        <v>578</v>
      </c>
      <c r="J411" s="5"/>
      <c r="K411" s="22">
        <f>YEAR(Tabla1[[#This Row],[Fecha]])</f>
        <v>2024</v>
      </c>
      <c r="L411" s="22">
        <f>MONTH(Tabla1[[#This Row],[Fecha]])</f>
        <v>12</v>
      </c>
    </row>
    <row r="412" spans="2:12" hidden="1" x14ac:dyDescent="0.25">
      <c r="B412" s="5" t="s">
        <v>9</v>
      </c>
      <c r="C412" s="5" t="s">
        <v>87</v>
      </c>
      <c r="D412" s="5" t="s">
        <v>11</v>
      </c>
      <c r="E412" s="6">
        <v>45637</v>
      </c>
      <c r="F412" s="4" t="s">
        <v>91</v>
      </c>
      <c r="G412" s="4" t="s">
        <v>303</v>
      </c>
      <c r="H412" s="4" t="s">
        <v>431</v>
      </c>
      <c r="I412" s="5" t="s">
        <v>579</v>
      </c>
      <c r="J412" s="5"/>
      <c r="K412" s="22">
        <f>YEAR(Tabla1[[#This Row],[Fecha]])</f>
        <v>2024</v>
      </c>
      <c r="L412" s="22">
        <f>MONTH(Tabla1[[#This Row],[Fecha]])</f>
        <v>12</v>
      </c>
    </row>
    <row r="413" spans="2:12" hidden="1" x14ac:dyDescent="0.25">
      <c r="B413" s="5" t="s">
        <v>9</v>
      </c>
      <c r="C413" s="5" t="s">
        <v>93</v>
      </c>
      <c r="D413" s="5" t="s">
        <v>11</v>
      </c>
      <c r="E413" s="6">
        <v>45637</v>
      </c>
      <c r="F413" s="4" t="s">
        <v>91</v>
      </c>
      <c r="G413" s="4" t="s">
        <v>303</v>
      </c>
      <c r="H413" s="4" t="s">
        <v>431</v>
      </c>
      <c r="I413" s="5" t="s">
        <v>580</v>
      </c>
      <c r="J413" s="5"/>
      <c r="K413" s="22">
        <f>YEAR(Tabla1[[#This Row],[Fecha]])</f>
        <v>2024</v>
      </c>
      <c r="L413" s="22">
        <f>MONTH(Tabla1[[#This Row],[Fecha]])</f>
        <v>12</v>
      </c>
    </row>
    <row r="414" spans="2:12" hidden="1" x14ac:dyDescent="0.25">
      <c r="B414" s="5" t="s">
        <v>9</v>
      </c>
      <c r="C414" s="5" t="s">
        <v>71</v>
      </c>
      <c r="D414" s="5" t="s">
        <v>11</v>
      </c>
      <c r="E414" s="6">
        <v>45637</v>
      </c>
      <c r="F414" s="4" t="s">
        <v>91</v>
      </c>
      <c r="G414" s="4" t="s">
        <v>303</v>
      </c>
      <c r="H414" s="4" t="s">
        <v>431</v>
      </c>
      <c r="I414" s="5" t="s">
        <v>581</v>
      </c>
      <c r="J414" s="5"/>
      <c r="K414" s="22">
        <f>YEAR(Tabla1[[#This Row],[Fecha]])</f>
        <v>2024</v>
      </c>
      <c r="L414" s="22">
        <f>MONTH(Tabla1[[#This Row],[Fecha]])</f>
        <v>12</v>
      </c>
    </row>
    <row r="415" spans="2:12" hidden="1" x14ac:dyDescent="0.25">
      <c r="B415" s="5" t="s">
        <v>9</v>
      </c>
      <c r="C415" s="5" t="s">
        <v>80</v>
      </c>
      <c r="D415" s="5" t="s">
        <v>11</v>
      </c>
      <c r="E415" s="6">
        <v>45637</v>
      </c>
      <c r="F415" s="4" t="s">
        <v>91</v>
      </c>
      <c r="G415" s="4" t="s">
        <v>303</v>
      </c>
      <c r="H415" s="4" t="s">
        <v>431</v>
      </c>
      <c r="I415" s="5" t="s">
        <v>582</v>
      </c>
      <c r="J415" s="5"/>
      <c r="K415" s="22">
        <f>YEAR(Tabla1[[#This Row],[Fecha]])</f>
        <v>2024</v>
      </c>
      <c r="L415" s="22">
        <f>MONTH(Tabla1[[#This Row],[Fecha]])</f>
        <v>12</v>
      </c>
    </row>
    <row r="416" spans="2:12" hidden="1" x14ac:dyDescent="0.25">
      <c r="B416" s="5" t="s">
        <v>9</v>
      </c>
      <c r="C416" s="5" t="s">
        <v>82</v>
      </c>
      <c r="D416" s="5" t="s">
        <v>131</v>
      </c>
      <c r="E416" s="6">
        <v>45637</v>
      </c>
      <c r="F416" s="4" t="s">
        <v>91</v>
      </c>
      <c r="G416" s="4" t="s">
        <v>303</v>
      </c>
      <c r="H416" s="4" t="s">
        <v>431</v>
      </c>
      <c r="I416" s="5" t="s">
        <v>583</v>
      </c>
      <c r="J416" s="5"/>
      <c r="K416" s="22">
        <f>YEAR(Tabla1[[#This Row],[Fecha]])</f>
        <v>2024</v>
      </c>
      <c r="L416" s="22">
        <f>MONTH(Tabla1[[#This Row],[Fecha]])</f>
        <v>12</v>
      </c>
    </row>
    <row r="417" spans="2:12" hidden="1" x14ac:dyDescent="0.25">
      <c r="B417" s="5" t="s">
        <v>9</v>
      </c>
      <c r="C417" s="5" t="s">
        <v>238</v>
      </c>
      <c r="D417" s="5" t="s">
        <v>131</v>
      </c>
      <c r="E417" s="6">
        <v>45637</v>
      </c>
      <c r="F417" s="4" t="s">
        <v>91</v>
      </c>
      <c r="G417" s="4" t="s">
        <v>303</v>
      </c>
      <c r="H417" s="4" t="s">
        <v>431</v>
      </c>
      <c r="I417" s="5" t="s">
        <v>584</v>
      </c>
      <c r="J417" s="5"/>
      <c r="K417" s="22">
        <f>YEAR(Tabla1[[#This Row],[Fecha]])</f>
        <v>2024</v>
      </c>
      <c r="L417" s="22">
        <f>MONTH(Tabla1[[#This Row],[Fecha]])</f>
        <v>12</v>
      </c>
    </row>
    <row r="418" spans="2:12" hidden="1" x14ac:dyDescent="0.25">
      <c r="B418" s="5" t="s">
        <v>9</v>
      </c>
      <c r="C418" s="5" t="s">
        <v>238</v>
      </c>
      <c r="D418" s="5" t="s">
        <v>131</v>
      </c>
      <c r="E418" s="6">
        <v>45637</v>
      </c>
      <c r="F418" s="4" t="s">
        <v>91</v>
      </c>
      <c r="G418" s="4" t="s">
        <v>303</v>
      </c>
      <c r="H418" s="4" t="s">
        <v>431</v>
      </c>
      <c r="I418" s="5" t="s">
        <v>585</v>
      </c>
      <c r="J418" s="5"/>
      <c r="K418" s="22">
        <f>YEAR(Tabla1[[#This Row],[Fecha]])</f>
        <v>2024</v>
      </c>
      <c r="L418" s="22">
        <f>MONTH(Tabla1[[#This Row],[Fecha]])</f>
        <v>12</v>
      </c>
    </row>
    <row r="419" spans="2:12" hidden="1" x14ac:dyDescent="0.25">
      <c r="B419" s="5" t="s">
        <v>49</v>
      </c>
      <c r="C419" s="5" t="s">
        <v>115</v>
      </c>
      <c r="D419" s="5" t="s">
        <v>11</v>
      </c>
      <c r="E419" s="6">
        <v>45637</v>
      </c>
      <c r="F419" s="4" t="s">
        <v>91</v>
      </c>
      <c r="G419" s="4" t="s">
        <v>303</v>
      </c>
      <c r="H419" s="4" t="s">
        <v>431</v>
      </c>
      <c r="I419" s="5" t="s">
        <v>586</v>
      </c>
      <c r="J419" s="5"/>
      <c r="K419" s="22">
        <f>YEAR(Tabla1[[#This Row],[Fecha]])</f>
        <v>2024</v>
      </c>
      <c r="L419" s="22">
        <f>MONTH(Tabla1[[#This Row],[Fecha]])</f>
        <v>12</v>
      </c>
    </row>
    <row r="420" spans="2:12" hidden="1" x14ac:dyDescent="0.25">
      <c r="B420" s="5" t="s">
        <v>49</v>
      </c>
      <c r="C420" s="5" t="s">
        <v>66</v>
      </c>
      <c r="D420" s="5" t="s">
        <v>11</v>
      </c>
      <c r="E420" s="6">
        <v>45637</v>
      </c>
      <c r="F420" s="4" t="s">
        <v>91</v>
      </c>
      <c r="G420" s="4" t="s">
        <v>303</v>
      </c>
      <c r="H420" s="4" t="s">
        <v>431</v>
      </c>
      <c r="I420" s="5" t="s">
        <v>587</v>
      </c>
      <c r="J420" s="5"/>
      <c r="K420" s="22">
        <f>YEAR(Tabla1[[#This Row],[Fecha]])</f>
        <v>2024</v>
      </c>
      <c r="L420" s="22">
        <f>MONTH(Tabla1[[#This Row],[Fecha]])</f>
        <v>12</v>
      </c>
    </row>
    <row r="421" spans="2:12" hidden="1" x14ac:dyDescent="0.25">
      <c r="B421" s="5" t="s">
        <v>49</v>
      </c>
      <c r="C421" s="5" t="s">
        <v>111</v>
      </c>
      <c r="D421" s="5" t="s">
        <v>11</v>
      </c>
      <c r="E421" s="6">
        <v>45637</v>
      </c>
      <c r="F421" s="4" t="s">
        <v>91</v>
      </c>
      <c r="G421" s="4" t="s">
        <v>303</v>
      </c>
      <c r="H421" s="4" t="s">
        <v>431</v>
      </c>
      <c r="I421" s="5" t="s">
        <v>588</v>
      </c>
      <c r="J421" s="5"/>
      <c r="K421" s="22">
        <f>YEAR(Tabla1[[#This Row],[Fecha]])</f>
        <v>2024</v>
      </c>
      <c r="L421" s="22">
        <f>MONTH(Tabla1[[#This Row],[Fecha]])</f>
        <v>12</v>
      </c>
    </row>
    <row r="422" spans="2:12" hidden="1" x14ac:dyDescent="0.25">
      <c r="B422" s="5" t="s">
        <v>49</v>
      </c>
      <c r="C422" s="5" t="s">
        <v>60</v>
      </c>
      <c r="D422" s="5" t="s">
        <v>11</v>
      </c>
      <c r="E422" s="6">
        <v>45637</v>
      </c>
      <c r="F422" s="4" t="s">
        <v>91</v>
      </c>
      <c r="G422" s="4" t="s">
        <v>303</v>
      </c>
      <c r="H422" s="4" t="s">
        <v>431</v>
      </c>
      <c r="I422" s="5" t="s">
        <v>589</v>
      </c>
      <c r="J422" s="5"/>
      <c r="K422" s="22">
        <f>YEAR(Tabla1[[#This Row],[Fecha]])</f>
        <v>2024</v>
      </c>
      <c r="L422" s="22">
        <f>MONTH(Tabla1[[#This Row],[Fecha]])</f>
        <v>12</v>
      </c>
    </row>
    <row r="423" spans="2:12" hidden="1" x14ac:dyDescent="0.25">
      <c r="B423" s="5" t="s">
        <v>49</v>
      </c>
      <c r="C423" s="5" t="s">
        <v>53</v>
      </c>
      <c r="D423" s="5" t="s">
        <v>11</v>
      </c>
      <c r="E423" s="6">
        <v>45637</v>
      </c>
      <c r="F423" s="4" t="s">
        <v>91</v>
      </c>
      <c r="G423" s="4" t="s">
        <v>303</v>
      </c>
      <c r="H423" s="4" t="s">
        <v>431</v>
      </c>
      <c r="I423" s="5" t="s">
        <v>590</v>
      </c>
      <c r="J423" s="5"/>
      <c r="K423" s="22">
        <f>YEAR(Tabla1[[#This Row],[Fecha]])</f>
        <v>2024</v>
      </c>
      <c r="L423" s="22">
        <f>MONTH(Tabla1[[#This Row],[Fecha]])</f>
        <v>12</v>
      </c>
    </row>
    <row r="424" spans="2:12" hidden="1" x14ac:dyDescent="0.25">
      <c r="B424" s="5" t="s">
        <v>309</v>
      </c>
      <c r="C424" s="5" t="s">
        <v>532</v>
      </c>
      <c r="D424" s="5" t="s">
        <v>11</v>
      </c>
      <c r="E424" s="6">
        <v>45636</v>
      </c>
      <c r="F424" s="4" t="s">
        <v>15</v>
      </c>
      <c r="G424" s="4" t="s">
        <v>24</v>
      </c>
      <c r="H424" s="4" t="s">
        <v>1784</v>
      </c>
      <c r="I424" s="5" t="s">
        <v>533</v>
      </c>
      <c r="J424" s="5"/>
      <c r="K424" s="22">
        <f>YEAR(Tabla1[[#This Row],[Fecha]])</f>
        <v>2024</v>
      </c>
      <c r="L424" s="22">
        <f>MONTH(Tabla1[[#This Row],[Fecha]])</f>
        <v>12</v>
      </c>
    </row>
    <row r="425" spans="2:12" hidden="1" x14ac:dyDescent="0.25">
      <c r="B425" s="5" t="s">
        <v>309</v>
      </c>
      <c r="C425" s="5" t="s">
        <v>371</v>
      </c>
      <c r="D425" s="5" t="s">
        <v>11</v>
      </c>
      <c r="E425" s="6">
        <v>45636</v>
      </c>
      <c r="F425" s="4" t="s">
        <v>15</v>
      </c>
      <c r="G425" s="4" t="s">
        <v>24</v>
      </c>
      <c r="H425" s="8" t="s">
        <v>1784</v>
      </c>
      <c r="I425" s="5" t="s">
        <v>1803</v>
      </c>
      <c r="J425" s="5"/>
      <c r="K425" s="15">
        <f>YEAR(Tabla1[[#This Row],[Fecha]])</f>
        <v>2024</v>
      </c>
      <c r="L425" s="15">
        <f>MONTH(Tabla1[[#This Row],[Fecha]])</f>
        <v>12</v>
      </c>
    </row>
    <row r="426" spans="2:12" hidden="1" x14ac:dyDescent="0.25">
      <c r="B426" s="5" t="s">
        <v>32</v>
      </c>
      <c r="C426" s="5" t="s">
        <v>628</v>
      </c>
      <c r="D426" s="5" t="s">
        <v>131</v>
      </c>
      <c r="E426" s="6">
        <v>45636</v>
      </c>
      <c r="F426" s="4" t="s">
        <v>91</v>
      </c>
      <c r="G426" s="4" t="s">
        <v>103</v>
      </c>
      <c r="H426" s="8" t="s">
        <v>298</v>
      </c>
      <c r="I426" s="5" t="s">
        <v>632</v>
      </c>
      <c r="J426" s="7"/>
      <c r="K426" s="15">
        <f>YEAR(Tabla1[[#This Row],[Fecha]])</f>
        <v>2024</v>
      </c>
      <c r="L426" s="15">
        <f>MONTH(Tabla1[[#This Row],[Fecha]])</f>
        <v>12</v>
      </c>
    </row>
    <row r="427" spans="2:12" hidden="1" x14ac:dyDescent="0.25">
      <c r="B427" s="5" t="s">
        <v>9</v>
      </c>
      <c r="C427" s="5" t="s">
        <v>14</v>
      </c>
      <c r="D427" s="5" t="s">
        <v>280</v>
      </c>
      <c r="E427" s="6">
        <v>45635</v>
      </c>
      <c r="F427" s="4" t="s">
        <v>91</v>
      </c>
      <c r="G427" s="4" t="s">
        <v>303</v>
      </c>
      <c r="H427" s="4" t="s">
        <v>431</v>
      </c>
      <c r="I427" s="5" t="s">
        <v>553</v>
      </c>
      <c r="J427" s="5"/>
      <c r="K427" s="22">
        <f>YEAR(Tabla1[[#This Row],[Fecha]])</f>
        <v>2024</v>
      </c>
      <c r="L427" s="22">
        <f>MONTH(Tabla1[[#This Row],[Fecha]])</f>
        <v>12</v>
      </c>
    </row>
    <row r="428" spans="2:12" hidden="1" x14ac:dyDescent="0.25">
      <c r="B428" s="5" t="s">
        <v>9</v>
      </c>
      <c r="C428" s="5" t="s">
        <v>62</v>
      </c>
      <c r="D428" s="5" t="s">
        <v>280</v>
      </c>
      <c r="E428" s="6">
        <v>45635</v>
      </c>
      <c r="F428" s="4" t="s">
        <v>91</v>
      </c>
      <c r="G428" s="4" t="s">
        <v>303</v>
      </c>
      <c r="H428" s="4" t="s">
        <v>431</v>
      </c>
      <c r="I428" s="5" t="s">
        <v>554</v>
      </c>
      <c r="J428" s="5"/>
      <c r="K428" s="22">
        <f>YEAR(Tabla1[[#This Row],[Fecha]])</f>
        <v>2024</v>
      </c>
      <c r="L428" s="22">
        <f>MONTH(Tabla1[[#This Row],[Fecha]])</f>
        <v>12</v>
      </c>
    </row>
    <row r="429" spans="2:12" hidden="1" x14ac:dyDescent="0.25">
      <c r="B429" s="5" t="s">
        <v>9</v>
      </c>
      <c r="C429" s="5" t="s">
        <v>99</v>
      </c>
      <c r="D429" s="5" t="s">
        <v>280</v>
      </c>
      <c r="E429" s="6">
        <v>45635</v>
      </c>
      <c r="F429" s="4" t="s">
        <v>91</v>
      </c>
      <c r="G429" s="4" t="s">
        <v>303</v>
      </c>
      <c r="H429" s="4" t="s">
        <v>431</v>
      </c>
      <c r="I429" s="5" t="s">
        <v>555</v>
      </c>
      <c r="J429" s="5"/>
      <c r="K429" s="22">
        <f>YEAR(Tabla1[[#This Row],[Fecha]])</f>
        <v>2024</v>
      </c>
      <c r="L429" s="22">
        <f>MONTH(Tabla1[[#This Row],[Fecha]])</f>
        <v>12</v>
      </c>
    </row>
    <row r="430" spans="2:12" hidden="1" x14ac:dyDescent="0.25">
      <c r="B430" s="5" t="s">
        <v>9</v>
      </c>
      <c r="C430" s="5" t="s">
        <v>99</v>
      </c>
      <c r="D430" s="5" t="s">
        <v>280</v>
      </c>
      <c r="E430" s="6">
        <v>45635</v>
      </c>
      <c r="F430" s="4" t="s">
        <v>91</v>
      </c>
      <c r="G430" s="4" t="s">
        <v>303</v>
      </c>
      <c r="H430" s="4" t="s">
        <v>431</v>
      </c>
      <c r="I430" s="5" t="s">
        <v>556</v>
      </c>
      <c r="J430" s="5"/>
      <c r="K430" s="22">
        <f>YEAR(Tabla1[[#This Row],[Fecha]])</f>
        <v>2024</v>
      </c>
      <c r="L430" s="22">
        <f>MONTH(Tabla1[[#This Row],[Fecha]])</f>
        <v>12</v>
      </c>
    </row>
    <row r="431" spans="2:12" hidden="1" x14ac:dyDescent="0.25">
      <c r="B431" s="5" t="s">
        <v>9</v>
      </c>
      <c r="C431" s="5" t="s">
        <v>99</v>
      </c>
      <c r="D431" s="5" t="s">
        <v>280</v>
      </c>
      <c r="E431" s="6">
        <v>45635</v>
      </c>
      <c r="F431" s="4" t="s">
        <v>91</v>
      </c>
      <c r="G431" s="4" t="s">
        <v>303</v>
      </c>
      <c r="H431" s="4" t="s">
        <v>431</v>
      </c>
      <c r="I431" s="5" t="s">
        <v>557</v>
      </c>
      <c r="J431" s="5"/>
      <c r="K431" s="22">
        <f>YEAR(Tabla1[[#This Row],[Fecha]])</f>
        <v>2024</v>
      </c>
      <c r="L431" s="22">
        <f>MONTH(Tabla1[[#This Row],[Fecha]])</f>
        <v>12</v>
      </c>
    </row>
    <row r="432" spans="2:12" hidden="1" x14ac:dyDescent="0.25">
      <c r="B432" s="5" t="s">
        <v>9</v>
      </c>
      <c r="C432" s="5" t="s">
        <v>10</v>
      </c>
      <c r="D432" s="5" t="s">
        <v>280</v>
      </c>
      <c r="E432" s="6">
        <v>45635</v>
      </c>
      <c r="F432" s="4" t="s">
        <v>91</v>
      </c>
      <c r="G432" s="4" t="s">
        <v>303</v>
      </c>
      <c r="H432" s="4" t="s">
        <v>359</v>
      </c>
      <c r="I432" s="5" t="s">
        <v>558</v>
      </c>
      <c r="J432" s="5"/>
      <c r="K432" s="22">
        <f>YEAR(Tabla1[[#This Row],[Fecha]])</f>
        <v>2024</v>
      </c>
      <c r="L432" s="22">
        <f>MONTH(Tabla1[[#This Row],[Fecha]])</f>
        <v>12</v>
      </c>
    </row>
    <row r="433" spans="2:12" hidden="1" x14ac:dyDescent="0.25">
      <c r="B433" s="5" t="s">
        <v>9</v>
      </c>
      <c r="C433" s="5" t="s">
        <v>102</v>
      </c>
      <c r="D433" s="5" t="s">
        <v>280</v>
      </c>
      <c r="E433" s="6">
        <v>45635</v>
      </c>
      <c r="F433" s="4" t="s">
        <v>91</v>
      </c>
      <c r="G433" s="4" t="s">
        <v>303</v>
      </c>
      <c r="H433" s="4" t="s">
        <v>359</v>
      </c>
      <c r="I433" s="5" t="s">
        <v>559</v>
      </c>
      <c r="J433" s="5"/>
      <c r="K433" s="22">
        <f>YEAR(Tabla1[[#This Row],[Fecha]])</f>
        <v>2024</v>
      </c>
      <c r="L433" s="22">
        <f>MONTH(Tabla1[[#This Row],[Fecha]])</f>
        <v>12</v>
      </c>
    </row>
    <row r="434" spans="2:12" hidden="1" x14ac:dyDescent="0.25">
      <c r="B434" s="5" t="s">
        <v>9</v>
      </c>
      <c r="C434" s="5" t="s">
        <v>87</v>
      </c>
      <c r="D434" s="5" t="s">
        <v>11</v>
      </c>
      <c r="E434" s="6">
        <v>45635</v>
      </c>
      <c r="F434" s="4" t="s">
        <v>91</v>
      </c>
      <c r="G434" s="4" t="s">
        <v>303</v>
      </c>
      <c r="H434" s="4" t="s">
        <v>359</v>
      </c>
      <c r="I434" s="5" t="s">
        <v>560</v>
      </c>
      <c r="J434" s="5"/>
      <c r="K434" s="22">
        <f>YEAR(Tabla1[[#This Row],[Fecha]])</f>
        <v>2024</v>
      </c>
      <c r="L434" s="22">
        <f>MONTH(Tabla1[[#This Row],[Fecha]])</f>
        <v>12</v>
      </c>
    </row>
    <row r="435" spans="2:12" hidden="1" x14ac:dyDescent="0.25">
      <c r="B435" s="5" t="s">
        <v>9</v>
      </c>
      <c r="C435" s="5" t="s">
        <v>93</v>
      </c>
      <c r="D435" s="5" t="s">
        <v>280</v>
      </c>
      <c r="E435" s="6">
        <v>45635</v>
      </c>
      <c r="F435" s="4" t="s">
        <v>91</v>
      </c>
      <c r="G435" s="4" t="s">
        <v>303</v>
      </c>
      <c r="H435" s="4" t="s">
        <v>359</v>
      </c>
      <c r="I435" s="5" t="s">
        <v>561</v>
      </c>
      <c r="J435" s="5"/>
      <c r="K435" s="22">
        <f>YEAR(Tabla1[[#This Row],[Fecha]])</f>
        <v>2024</v>
      </c>
      <c r="L435" s="22">
        <f>MONTH(Tabla1[[#This Row],[Fecha]])</f>
        <v>12</v>
      </c>
    </row>
    <row r="436" spans="2:12" hidden="1" x14ac:dyDescent="0.25">
      <c r="B436" s="5" t="s">
        <v>9</v>
      </c>
      <c r="C436" s="5" t="s">
        <v>80</v>
      </c>
      <c r="D436" s="5" t="s">
        <v>280</v>
      </c>
      <c r="E436" s="6">
        <v>45635</v>
      </c>
      <c r="F436" s="4" t="s">
        <v>91</v>
      </c>
      <c r="G436" s="4" t="s">
        <v>303</v>
      </c>
      <c r="H436" s="4" t="s">
        <v>359</v>
      </c>
      <c r="I436" s="5" t="s">
        <v>562</v>
      </c>
      <c r="J436" s="5"/>
      <c r="K436" s="22">
        <f>YEAR(Tabla1[[#This Row],[Fecha]])</f>
        <v>2024</v>
      </c>
      <c r="L436" s="22">
        <f>MONTH(Tabla1[[#This Row],[Fecha]])</f>
        <v>12</v>
      </c>
    </row>
    <row r="437" spans="2:12" hidden="1" x14ac:dyDescent="0.25">
      <c r="B437" s="5" t="s">
        <v>9</v>
      </c>
      <c r="C437" s="5" t="s">
        <v>80</v>
      </c>
      <c r="D437" s="5" t="s">
        <v>280</v>
      </c>
      <c r="E437" s="6">
        <v>45635</v>
      </c>
      <c r="F437" s="4" t="s">
        <v>91</v>
      </c>
      <c r="G437" s="4" t="s">
        <v>303</v>
      </c>
      <c r="H437" s="4" t="s">
        <v>359</v>
      </c>
      <c r="I437" s="5" t="s">
        <v>563</v>
      </c>
      <c r="J437" s="5"/>
      <c r="K437" s="22">
        <f>YEAR(Tabla1[[#This Row],[Fecha]])</f>
        <v>2024</v>
      </c>
      <c r="L437" s="22">
        <f>MONTH(Tabla1[[#This Row],[Fecha]])</f>
        <v>12</v>
      </c>
    </row>
    <row r="438" spans="2:12" hidden="1" x14ac:dyDescent="0.25">
      <c r="B438" s="5" t="s">
        <v>9</v>
      </c>
      <c r="C438" s="5" t="s">
        <v>82</v>
      </c>
      <c r="D438" s="5" t="s">
        <v>280</v>
      </c>
      <c r="E438" s="6">
        <v>45635</v>
      </c>
      <c r="F438" s="4" t="s">
        <v>91</v>
      </c>
      <c r="G438" s="4" t="s">
        <v>303</v>
      </c>
      <c r="H438" s="4" t="s">
        <v>359</v>
      </c>
      <c r="I438" s="5" t="s">
        <v>564</v>
      </c>
      <c r="J438" s="5"/>
      <c r="K438" s="22">
        <f>YEAR(Tabla1[[#This Row],[Fecha]])</f>
        <v>2024</v>
      </c>
      <c r="L438" s="22">
        <f>MONTH(Tabla1[[#This Row],[Fecha]])</f>
        <v>12</v>
      </c>
    </row>
    <row r="439" spans="2:12" hidden="1" x14ac:dyDescent="0.25">
      <c r="B439" s="5" t="s">
        <v>9</v>
      </c>
      <c r="C439" s="5" t="s">
        <v>70</v>
      </c>
      <c r="D439" s="5" t="s">
        <v>280</v>
      </c>
      <c r="E439" s="6">
        <v>45635</v>
      </c>
      <c r="F439" s="4" t="s">
        <v>91</v>
      </c>
      <c r="G439" s="4" t="s">
        <v>303</v>
      </c>
      <c r="H439" s="4" t="s">
        <v>359</v>
      </c>
      <c r="I439" s="5" t="s">
        <v>565</v>
      </c>
      <c r="J439" s="5"/>
      <c r="K439" s="22">
        <f>YEAR(Tabla1[[#This Row],[Fecha]])</f>
        <v>2024</v>
      </c>
      <c r="L439" s="22">
        <f>MONTH(Tabla1[[#This Row],[Fecha]])</f>
        <v>12</v>
      </c>
    </row>
    <row r="440" spans="2:12" hidden="1" x14ac:dyDescent="0.25">
      <c r="B440" s="5" t="s">
        <v>9</v>
      </c>
      <c r="C440" s="5" t="s">
        <v>238</v>
      </c>
      <c r="D440" s="5" t="s">
        <v>280</v>
      </c>
      <c r="E440" s="6">
        <v>45635</v>
      </c>
      <c r="F440" s="4" t="s">
        <v>91</v>
      </c>
      <c r="G440" s="4" t="s">
        <v>303</v>
      </c>
      <c r="H440" s="4" t="s">
        <v>359</v>
      </c>
      <c r="I440" s="5" t="s">
        <v>566</v>
      </c>
      <c r="J440" s="5"/>
      <c r="K440" s="22">
        <f>YEAR(Tabla1[[#This Row],[Fecha]])</f>
        <v>2024</v>
      </c>
      <c r="L440" s="22">
        <f>MONTH(Tabla1[[#This Row],[Fecha]])</f>
        <v>12</v>
      </c>
    </row>
    <row r="441" spans="2:12" hidden="1" x14ac:dyDescent="0.25">
      <c r="B441" s="5" t="s">
        <v>49</v>
      </c>
      <c r="C441" s="5" t="s">
        <v>115</v>
      </c>
      <c r="D441" s="5" t="s">
        <v>11</v>
      </c>
      <c r="E441" s="6">
        <v>45635</v>
      </c>
      <c r="F441" s="4" t="s">
        <v>91</v>
      </c>
      <c r="G441" s="4" t="s">
        <v>303</v>
      </c>
      <c r="H441" s="4" t="s">
        <v>359</v>
      </c>
      <c r="I441" s="5" t="s">
        <v>567</v>
      </c>
      <c r="J441" s="5"/>
      <c r="K441" s="22">
        <f>YEAR(Tabla1[[#This Row],[Fecha]])</f>
        <v>2024</v>
      </c>
      <c r="L441" s="22">
        <f>MONTH(Tabla1[[#This Row],[Fecha]])</f>
        <v>12</v>
      </c>
    </row>
    <row r="442" spans="2:12" hidden="1" x14ac:dyDescent="0.25">
      <c r="B442" s="5" t="s">
        <v>49</v>
      </c>
      <c r="C442" s="5" t="s">
        <v>66</v>
      </c>
      <c r="D442" s="5" t="s">
        <v>280</v>
      </c>
      <c r="E442" s="6">
        <v>45635</v>
      </c>
      <c r="F442" s="4" t="s">
        <v>91</v>
      </c>
      <c r="G442" s="4" t="s">
        <v>303</v>
      </c>
      <c r="H442" s="4" t="s">
        <v>359</v>
      </c>
      <c r="I442" s="5" t="s">
        <v>568</v>
      </c>
      <c r="J442" s="5"/>
      <c r="K442" s="22">
        <f>YEAR(Tabla1[[#This Row],[Fecha]])</f>
        <v>2024</v>
      </c>
      <c r="L442" s="22">
        <f>MONTH(Tabla1[[#This Row],[Fecha]])</f>
        <v>12</v>
      </c>
    </row>
    <row r="443" spans="2:12" hidden="1" x14ac:dyDescent="0.25">
      <c r="B443" s="5" t="s">
        <v>49</v>
      </c>
      <c r="C443" s="5" t="s">
        <v>111</v>
      </c>
      <c r="D443" s="5" t="s">
        <v>11</v>
      </c>
      <c r="E443" s="6">
        <v>45635</v>
      </c>
      <c r="F443" s="4" t="s">
        <v>91</v>
      </c>
      <c r="G443" s="4" t="s">
        <v>303</v>
      </c>
      <c r="H443" s="4" t="s">
        <v>359</v>
      </c>
      <c r="I443" s="5" t="s">
        <v>569</v>
      </c>
      <c r="J443" s="5"/>
      <c r="K443" s="22">
        <f>YEAR(Tabla1[[#This Row],[Fecha]])</f>
        <v>2024</v>
      </c>
      <c r="L443" s="22">
        <f>MONTH(Tabla1[[#This Row],[Fecha]])</f>
        <v>12</v>
      </c>
    </row>
    <row r="444" spans="2:12" hidden="1" x14ac:dyDescent="0.25">
      <c r="B444" s="5" t="s">
        <v>49</v>
      </c>
      <c r="C444" s="5" t="s">
        <v>60</v>
      </c>
      <c r="D444" s="5" t="s">
        <v>11</v>
      </c>
      <c r="E444" s="6">
        <v>45635</v>
      </c>
      <c r="F444" s="4" t="s">
        <v>91</v>
      </c>
      <c r="G444" s="4" t="s">
        <v>303</v>
      </c>
      <c r="H444" s="4" t="s">
        <v>359</v>
      </c>
      <c r="I444" s="5" t="s">
        <v>570</v>
      </c>
      <c r="J444" s="5"/>
      <c r="K444" s="22">
        <f>YEAR(Tabla1[[#This Row],[Fecha]])</f>
        <v>2024</v>
      </c>
      <c r="L444" s="22">
        <f>MONTH(Tabla1[[#This Row],[Fecha]])</f>
        <v>12</v>
      </c>
    </row>
    <row r="445" spans="2:12" hidden="1" x14ac:dyDescent="0.25">
      <c r="B445" s="5" t="s">
        <v>49</v>
      </c>
      <c r="C445" s="5" t="s">
        <v>53</v>
      </c>
      <c r="D445" s="5" t="s">
        <v>11</v>
      </c>
      <c r="E445" s="6">
        <v>45635</v>
      </c>
      <c r="F445" s="4" t="s">
        <v>91</v>
      </c>
      <c r="G445" s="4" t="s">
        <v>303</v>
      </c>
      <c r="H445" s="4" t="s">
        <v>359</v>
      </c>
      <c r="I445" s="5" t="s">
        <v>571</v>
      </c>
      <c r="J445" s="5"/>
      <c r="K445" s="22">
        <f>YEAR(Tabla1[[#This Row],[Fecha]])</f>
        <v>2024</v>
      </c>
      <c r="L445" s="22">
        <f>MONTH(Tabla1[[#This Row],[Fecha]])</f>
        <v>12</v>
      </c>
    </row>
    <row r="446" spans="2:12" hidden="1" x14ac:dyDescent="0.25">
      <c r="B446" s="5" t="s">
        <v>206</v>
      </c>
      <c r="C446" s="5" t="s">
        <v>207</v>
      </c>
      <c r="D446" s="5" t="s">
        <v>131</v>
      </c>
      <c r="E446" s="6">
        <v>45632</v>
      </c>
      <c r="F446" s="4" t="s">
        <v>91</v>
      </c>
      <c r="G446" s="4" t="s">
        <v>16</v>
      </c>
      <c r="H446" s="4" t="s">
        <v>34</v>
      </c>
      <c r="I446" s="5" t="s">
        <v>489</v>
      </c>
      <c r="J446" s="5"/>
      <c r="K446" s="22">
        <f>YEAR(Tabla1[[#This Row],[Fecha]])</f>
        <v>2024</v>
      </c>
      <c r="L446" s="22">
        <f>MONTH(Tabla1[[#This Row],[Fecha]])</f>
        <v>12</v>
      </c>
    </row>
    <row r="447" spans="2:12" hidden="1" x14ac:dyDescent="0.25">
      <c r="B447" s="5" t="s">
        <v>206</v>
      </c>
      <c r="C447" s="5" t="s">
        <v>207</v>
      </c>
      <c r="D447" s="5" t="s">
        <v>131</v>
      </c>
      <c r="E447" s="6">
        <v>45632</v>
      </c>
      <c r="F447" s="4" t="s">
        <v>91</v>
      </c>
      <c r="G447" s="4" t="s">
        <v>16</v>
      </c>
      <c r="H447" s="4" t="s">
        <v>34</v>
      </c>
      <c r="I447" s="5" t="s">
        <v>490</v>
      </c>
      <c r="J447" s="5"/>
      <c r="K447" s="22">
        <f>YEAR(Tabla1[[#This Row],[Fecha]])</f>
        <v>2024</v>
      </c>
      <c r="L447" s="22">
        <f>MONTH(Tabla1[[#This Row],[Fecha]])</f>
        <v>12</v>
      </c>
    </row>
    <row r="448" spans="2:12" hidden="1" x14ac:dyDescent="0.25">
      <c r="B448" s="5" t="s">
        <v>309</v>
      </c>
      <c r="C448" s="5" t="s">
        <v>322</v>
      </c>
      <c r="D448" s="5" t="s">
        <v>11</v>
      </c>
      <c r="E448" s="6">
        <v>45632</v>
      </c>
      <c r="F448" s="4" t="s">
        <v>91</v>
      </c>
      <c r="G448" s="4" t="s">
        <v>303</v>
      </c>
      <c r="H448" s="20" t="s">
        <v>434</v>
      </c>
      <c r="I448" s="5" t="s">
        <v>524</v>
      </c>
      <c r="J448" s="5"/>
      <c r="K448" s="22">
        <f>YEAR(Tabla1[[#This Row],[Fecha]])</f>
        <v>2024</v>
      </c>
      <c r="L448" s="22">
        <f>MONTH(Tabla1[[#This Row],[Fecha]])</f>
        <v>12</v>
      </c>
    </row>
    <row r="449" spans="2:12" hidden="1" x14ac:dyDescent="0.25">
      <c r="B449" s="5" t="s">
        <v>309</v>
      </c>
      <c r="C449" s="5" t="s">
        <v>310</v>
      </c>
      <c r="D449" s="5" t="s">
        <v>131</v>
      </c>
      <c r="E449" s="6">
        <v>45632</v>
      </c>
      <c r="F449" s="4" t="s">
        <v>91</v>
      </c>
      <c r="G449" s="4" t="s">
        <v>303</v>
      </c>
      <c r="H449" s="4" t="s">
        <v>434</v>
      </c>
      <c r="I449" s="5" t="s">
        <v>527</v>
      </c>
      <c r="J449" s="5"/>
      <c r="K449" s="22">
        <f>YEAR(Tabla1[[#This Row],[Fecha]])</f>
        <v>2024</v>
      </c>
      <c r="L449" s="22">
        <f>MONTH(Tabla1[[#This Row],[Fecha]])</f>
        <v>12</v>
      </c>
    </row>
    <row r="450" spans="2:12" hidden="1" x14ac:dyDescent="0.25">
      <c r="B450" s="5" t="s">
        <v>309</v>
      </c>
      <c r="C450" s="5" t="s">
        <v>313</v>
      </c>
      <c r="D450" s="5" t="s">
        <v>131</v>
      </c>
      <c r="E450" s="6">
        <v>45632</v>
      </c>
      <c r="F450" s="4" t="s">
        <v>91</v>
      </c>
      <c r="G450" s="4" t="s">
        <v>303</v>
      </c>
      <c r="H450" s="4" t="s">
        <v>434</v>
      </c>
      <c r="I450" s="5" t="s">
        <v>528</v>
      </c>
      <c r="J450" s="5"/>
      <c r="K450" s="22">
        <f>YEAR(Tabla1[[#This Row],[Fecha]])</f>
        <v>2024</v>
      </c>
      <c r="L450" s="22">
        <f>MONTH(Tabla1[[#This Row],[Fecha]])</f>
        <v>12</v>
      </c>
    </row>
    <row r="451" spans="2:12" hidden="1" x14ac:dyDescent="0.25">
      <c r="B451" s="5" t="s">
        <v>309</v>
      </c>
      <c r="C451" s="5" t="s">
        <v>318</v>
      </c>
      <c r="D451" s="5" t="s">
        <v>11</v>
      </c>
      <c r="E451" s="6">
        <v>45632</v>
      </c>
      <c r="F451" s="4" t="s">
        <v>91</v>
      </c>
      <c r="G451" s="4" t="s">
        <v>303</v>
      </c>
      <c r="H451" s="20" t="s">
        <v>434</v>
      </c>
      <c r="I451" s="5" t="s">
        <v>531</v>
      </c>
      <c r="J451" s="5"/>
      <c r="K451" s="22">
        <f>YEAR(Tabla1[[#This Row],[Fecha]])</f>
        <v>2024</v>
      </c>
      <c r="L451" s="22">
        <f>MONTH(Tabla1[[#This Row],[Fecha]])</f>
        <v>12</v>
      </c>
    </row>
    <row r="452" spans="2:12" hidden="1" x14ac:dyDescent="0.25">
      <c r="B452" s="5" t="s">
        <v>181</v>
      </c>
      <c r="C452" s="5" t="s">
        <v>209</v>
      </c>
      <c r="D452" s="5" t="s">
        <v>11</v>
      </c>
      <c r="E452" s="6">
        <v>45632</v>
      </c>
      <c r="F452" s="4" t="s">
        <v>15</v>
      </c>
      <c r="G452" s="4" t="s">
        <v>24</v>
      </c>
      <c r="H452" s="4" t="s">
        <v>12</v>
      </c>
      <c r="I452" s="5" t="s">
        <v>546</v>
      </c>
      <c r="J452" s="5"/>
      <c r="K452" s="22">
        <f>YEAR(Tabla1[[#This Row],[Fecha]])</f>
        <v>2024</v>
      </c>
      <c r="L452" s="22">
        <f>MONTH(Tabla1[[#This Row],[Fecha]])</f>
        <v>12</v>
      </c>
    </row>
    <row r="453" spans="2:12" hidden="1" x14ac:dyDescent="0.25">
      <c r="B453" s="5" t="s">
        <v>309</v>
      </c>
      <c r="C453" s="5" t="s">
        <v>318</v>
      </c>
      <c r="D453" s="5" t="s">
        <v>11</v>
      </c>
      <c r="E453" s="6">
        <v>45632</v>
      </c>
      <c r="F453" s="4" t="s">
        <v>91</v>
      </c>
      <c r="G453" s="4" t="s">
        <v>303</v>
      </c>
      <c r="H453" s="20" t="s">
        <v>434</v>
      </c>
      <c r="I453" s="5" t="s">
        <v>609</v>
      </c>
      <c r="J453" s="5"/>
      <c r="K453" s="22">
        <f>YEAR(Tabla1[[#This Row],[Fecha]])</f>
        <v>2024</v>
      </c>
      <c r="L453" s="22">
        <f>MONTH(Tabla1[[#This Row],[Fecha]])</f>
        <v>12</v>
      </c>
    </row>
    <row r="454" spans="2:12" hidden="1" x14ac:dyDescent="0.25">
      <c r="B454" s="5" t="s">
        <v>309</v>
      </c>
      <c r="C454" s="5" t="s">
        <v>313</v>
      </c>
      <c r="D454" s="5" t="s">
        <v>11</v>
      </c>
      <c r="E454" s="6">
        <v>45632</v>
      </c>
      <c r="F454" s="4" t="s">
        <v>91</v>
      </c>
      <c r="G454" s="4" t="s">
        <v>303</v>
      </c>
      <c r="H454" s="4" t="s">
        <v>434</v>
      </c>
      <c r="I454" s="5" t="s">
        <v>611</v>
      </c>
      <c r="J454" s="5"/>
      <c r="K454" s="22">
        <f>YEAR(Tabla1[[#This Row],[Fecha]])</f>
        <v>2024</v>
      </c>
      <c r="L454" s="22">
        <f>MONTH(Tabla1[[#This Row],[Fecha]])</f>
        <v>12</v>
      </c>
    </row>
    <row r="455" spans="2:12" hidden="1" x14ac:dyDescent="0.25">
      <c r="B455" s="5" t="s">
        <v>309</v>
      </c>
      <c r="C455" s="5" t="s">
        <v>310</v>
      </c>
      <c r="D455" s="5" t="s">
        <v>11</v>
      </c>
      <c r="E455" s="6">
        <v>45632</v>
      </c>
      <c r="F455" s="4" t="s">
        <v>91</v>
      </c>
      <c r="G455" s="4" t="s">
        <v>303</v>
      </c>
      <c r="H455" s="4" t="s">
        <v>434</v>
      </c>
      <c r="I455" s="5" t="s">
        <v>612</v>
      </c>
      <c r="J455" s="5"/>
      <c r="K455" s="22">
        <f>YEAR(Tabla1[[#This Row],[Fecha]])</f>
        <v>2024</v>
      </c>
      <c r="L455" s="22">
        <f>MONTH(Tabla1[[#This Row],[Fecha]])</f>
        <v>12</v>
      </c>
    </row>
    <row r="456" spans="2:12" hidden="1" x14ac:dyDescent="0.25">
      <c r="B456" s="5" t="s">
        <v>309</v>
      </c>
      <c r="C456" s="5" t="s">
        <v>378</v>
      </c>
      <c r="D456" s="5" t="s">
        <v>11</v>
      </c>
      <c r="E456" s="6">
        <v>45632</v>
      </c>
      <c r="F456" s="4" t="s">
        <v>91</v>
      </c>
      <c r="G456" s="4" t="s">
        <v>303</v>
      </c>
      <c r="H456" s="20" t="s">
        <v>434</v>
      </c>
      <c r="I456" s="5" t="s">
        <v>1810</v>
      </c>
      <c r="J456" s="5"/>
      <c r="K456" s="22">
        <f>YEAR(Tabla1[[#This Row],[Fecha]])</f>
        <v>2024</v>
      </c>
      <c r="L456" s="22">
        <f>MONTH(Tabla1[[#This Row],[Fecha]])</f>
        <v>12</v>
      </c>
    </row>
    <row r="457" spans="2:12" hidden="1" x14ac:dyDescent="0.25">
      <c r="B457" s="5" t="s">
        <v>206</v>
      </c>
      <c r="C457" s="5" t="s">
        <v>207</v>
      </c>
      <c r="D457" s="5" t="s">
        <v>131</v>
      </c>
      <c r="E457" s="6">
        <v>45632</v>
      </c>
      <c r="F457" s="4" t="s">
        <v>91</v>
      </c>
      <c r="G457" s="4" t="s">
        <v>16</v>
      </c>
      <c r="H457" s="4" t="s">
        <v>34</v>
      </c>
      <c r="I457" s="5" t="s">
        <v>1811</v>
      </c>
      <c r="J457" s="5"/>
      <c r="K457" s="22">
        <f>YEAR(Tabla1[[#This Row],[Fecha]])</f>
        <v>2024</v>
      </c>
      <c r="L457" s="22">
        <f>MONTH(Tabla1[[#This Row],[Fecha]])</f>
        <v>12</v>
      </c>
    </row>
    <row r="458" spans="2:12" hidden="1" x14ac:dyDescent="0.25">
      <c r="B458" s="5" t="s">
        <v>181</v>
      </c>
      <c r="C458" s="5" t="s">
        <v>182</v>
      </c>
      <c r="D458" s="5" t="s">
        <v>11</v>
      </c>
      <c r="E458" s="6">
        <v>45632</v>
      </c>
      <c r="F458" s="4" t="s">
        <v>15</v>
      </c>
      <c r="G458" s="4" t="s">
        <v>24</v>
      </c>
      <c r="H458" s="4" t="s">
        <v>12</v>
      </c>
      <c r="I458" s="5" t="s">
        <v>620</v>
      </c>
      <c r="J458" s="5"/>
      <c r="K458" s="22">
        <f>YEAR(Tabla1[[#This Row],[Fecha]])</f>
        <v>2024</v>
      </c>
      <c r="L458" s="22">
        <f>MONTH(Tabla1[[#This Row],[Fecha]])</f>
        <v>12</v>
      </c>
    </row>
    <row r="459" spans="2:12" hidden="1" x14ac:dyDescent="0.25">
      <c r="B459" s="5" t="s">
        <v>32</v>
      </c>
      <c r="C459" s="5" t="s">
        <v>33</v>
      </c>
      <c r="D459" s="5" t="s">
        <v>131</v>
      </c>
      <c r="E459" s="6">
        <v>45632</v>
      </c>
      <c r="F459" s="4" t="s">
        <v>91</v>
      </c>
      <c r="G459" s="4" t="s">
        <v>303</v>
      </c>
      <c r="H459" s="4" t="s">
        <v>434</v>
      </c>
      <c r="I459" s="5" t="s">
        <v>627</v>
      </c>
      <c r="J459" s="5"/>
      <c r="K459" s="22">
        <f>YEAR(Tabla1[[#This Row],[Fecha]])</f>
        <v>2024</v>
      </c>
      <c r="L459" s="22">
        <f>MONTH(Tabla1[[#This Row],[Fecha]])</f>
        <v>12</v>
      </c>
    </row>
    <row r="460" spans="2:12" hidden="1" x14ac:dyDescent="0.25">
      <c r="B460" s="5" t="s">
        <v>49</v>
      </c>
      <c r="C460" s="5" t="s">
        <v>60</v>
      </c>
      <c r="D460" s="5" t="s">
        <v>131</v>
      </c>
      <c r="E460" s="6">
        <v>45632</v>
      </c>
      <c r="F460" s="4" t="s">
        <v>15</v>
      </c>
      <c r="G460" s="4" t="s">
        <v>24</v>
      </c>
      <c r="H460" s="8" t="s">
        <v>41</v>
      </c>
      <c r="I460" s="5" t="s">
        <v>666</v>
      </c>
      <c r="J460" s="7"/>
      <c r="K460" s="15">
        <f>YEAR(Tabla1[[#This Row],[Fecha]])</f>
        <v>2024</v>
      </c>
      <c r="L460" s="15">
        <f>MONTH(Tabla1[[#This Row],[Fecha]])</f>
        <v>12</v>
      </c>
    </row>
    <row r="461" spans="2:12" hidden="1" x14ac:dyDescent="0.25">
      <c r="B461" s="5" t="s">
        <v>49</v>
      </c>
      <c r="C461" s="5" t="s">
        <v>115</v>
      </c>
      <c r="D461" s="5" t="s">
        <v>11</v>
      </c>
      <c r="E461" s="6">
        <v>45631</v>
      </c>
      <c r="F461" s="4" t="s">
        <v>91</v>
      </c>
      <c r="G461" s="4" t="s">
        <v>303</v>
      </c>
      <c r="H461" s="4" t="s">
        <v>431</v>
      </c>
      <c r="I461" s="5" t="s">
        <v>660</v>
      </c>
      <c r="J461" s="5"/>
      <c r="K461" s="22">
        <f>YEAR(Tabla1[[#This Row],[Fecha]])</f>
        <v>2024</v>
      </c>
      <c r="L461" s="22">
        <f>MONTH(Tabla1[[#This Row],[Fecha]])</f>
        <v>12</v>
      </c>
    </row>
    <row r="462" spans="2:12" hidden="1" x14ac:dyDescent="0.25">
      <c r="B462" s="5" t="s">
        <v>49</v>
      </c>
      <c r="C462" s="5" t="s">
        <v>66</v>
      </c>
      <c r="D462" s="5" t="s">
        <v>131</v>
      </c>
      <c r="E462" s="6">
        <v>45631</v>
      </c>
      <c r="F462" s="4" t="s">
        <v>91</v>
      </c>
      <c r="G462" s="4" t="s">
        <v>303</v>
      </c>
      <c r="H462" s="4" t="s">
        <v>431</v>
      </c>
      <c r="I462" s="5" t="s">
        <v>661</v>
      </c>
      <c r="J462" s="5"/>
      <c r="K462" s="22">
        <f>YEAR(Tabla1[[#This Row],[Fecha]])</f>
        <v>2024</v>
      </c>
      <c r="L462" s="22">
        <f>MONTH(Tabla1[[#This Row],[Fecha]])</f>
        <v>12</v>
      </c>
    </row>
    <row r="463" spans="2:12" hidden="1" x14ac:dyDescent="0.25">
      <c r="B463" s="5" t="s">
        <v>49</v>
      </c>
      <c r="C463" s="5" t="s">
        <v>115</v>
      </c>
      <c r="D463" s="5" t="s">
        <v>131</v>
      </c>
      <c r="E463" s="6">
        <v>45631</v>
      </c>
      <c r="F463" s="4" t="s">
        <v>91</v>
      </c>
      <c r="G463" s="4" t="s">
        <v>303</v>
      </c>
      <c r="H463" s="4" t="s">
        <v>431</v>
      </c>
      <c r="I463" s="5" t="s">
        <v>667</v>
      </c>
      <c r="J463" s="5"/>
      <c r="K463" s="22">
        <f>YEAR(Tabla1[[#This Row],[Fecha]])</f>
        <v>2024</v>
      </c>
      <c r="L463" s="22">
        <f>MONTH(Tabla1[[#This Row],[Fecha]])</f>
        <v>12</v>
      </c>
    </row>
    <row r="464" spans="2:12" hidden="1" x14ac:dyDescent="0.25">
      <c r="B464" s="5" t="s">
        <v>49</v>
      </c>
      <c r="C464" s="5" t="s">
        <v>53</v>
      </c>
      <c r="D464" s="5" t="s">
        <v>131</v>
      </c>
      <c r="E464" s="6">
        <v>45631</v>
      </c>
      <c r="F464" s="4" t="s">
        <v>91</v>
      </c>
      <c r="G464" s="4" t="s">
        <v>303</v>
      </c>
      <c r="H464" s="4" t="s">
        <v>431</v>
      </c>
      <c r="I464" s="5" t="s">
        <v>668</v>
      </c>
      <c r="J464" s="5"/>
      <c r="K464" s="22">
        <f>YEAR(Tabla1[[#This Row],[Fecha]])</f>
        <v>2024</v>
      </c>
      <c r="L464" s="22">
        <f>MONTH(Tabla1[[#This Row],[Fecha]])</f>
        <v>12</v>
      </c>
    </row>
    <row r="465" spans="2:12" hidden="1" x14ac:dyDescent="0.25">
      <c r="B465" s="5" t="s">
        <v>9</v>
      </c>
      <c r="C465" s="5" t="s">
        <v>99</v>
      </c>
      <c r="D465" s="5" t="s">
        <v>131</v>
      </c>
      <c r="E465" s="6">
        <v>45631</v>
      </c>
      <c r="F465" s="4" t="s">
        <v>15</v>
      </c>
      <c r="G465" s="4" t="s">
        <v>16</v>
      </c>
      <c r="H465" s="4" t="s">
        <v>43</v>
      </c>
      <c r="I465" s="5" t="s">
        <v>1720</v>
      </c>
      <c r="J465" s="5"/>
      <c r="K465" s="22">
        <f>YEAR(Tabla1[[#This Row],[Fecha]])</f>
        <v>2024</v>
      </c>
      <c r="L465" s="22">
        <f>MONTH(Tabla1[[#This Row],[Fecha]])</f>
        <v>12</v>
      </c>
    </row>
    <row r="466" spans="2:12" hidden="1" x14ac:dyDescent="0.25">
      <c r="B466" s="5" t="s">
        <v>9</v>
      </c>
      <c r="C466" s="5" t="s">
        <v>71</v>
      </c>
      <c r="D466" s="5" t="s">
        <v>131</v>
      </c>
      <c r="E466" s="6">
        <v>45631</v>
      </c>
      <c r="F466" s="4" t="s">
        <v>15</v>
      </c>
      <c r="G466" s="4" t="s">
        <v>16</v>
      </c>
      <c r="H466" s="4" t="s">
        <v>43</v>
      </c>
      <c r="I466" s="5" t="s">
        <v>1721</v>
      </c>
      <c r="J466" s="5"/>
      <c r="K466" s="22">
        <f>YEAR(Tabla1[[#This Row],[Fecha]])</f>
        <v>2024</v>
      </c>
      <c r="L466" s="22">
        <f>MONTH(Tabla1[[#This Row],[Fecha]])</f>
        <v>12</v>
      </c>
    </row>
    <row r="467" spans="2:12" hidden="1" x14ac:dyDescent="0.25">
      <c r="B467" s="5" t="s">
        <v>9</v>
      </c>
      <c r="C467" s="5" t="s">
        <v>82</v>
      </c>
      <c r="D467" s="5" t="s">
        <v>11</v>
      </c>
      <c r="E467" s="6">
        <v>45631</v>
      </c>
      <c r="F467" s="4" t="s">
        <v>91</v>
      </c>
      <c r="G467" s="4" t="s">
        <v>303</v>
      </c>
      <c r="H467" s="4" t="s">
        <v>431</v>
      </c>
      <c r="I467" s="5" t="s">
        <v>675</v>
      </c>
      <c r="J467" s="5"/>
      <c r="K467" s="22">
        <f>YEAR(Tabla1[[#This Row],[Fecha]])</f>
        <v>2024</v>
      </c>
      <c r="L467" s="22">
        <f>MONTH(Tabla1[[#This Row],[Fecha]])</f>
        <v>12</v>
      </c>
    </row>
    <row r="468" spans="2:12" hidden="1" x14ac:dyDescent="0.25">
      <c r="B468" s="5" t="s">
        <v>9</v>
      </c>
      <c r="C468" s="5" t="s">
        <v>80</v>
      </c>
      <c r="D468" s="5" t="s">
        <v>131</v>
      </c>
      <c r="E468" s="6">
        <v>45631</v>
      </c>
      <c r="F468" s="4" t="s">
        <v>91</v>
      </c>
      <c r="G468" s="4" t="s">
        <v>303</v>
      </c>
      <c r="H468" s="4" t="s">
        <v>431</v>
      </c>
      <c r="I468" s="5" t="s">
        <v>681</v>
      </c>
      <c r="J468" s="5"/>
      <c r="K468" s="22">
        <f>YEAR(Tabla1[[#This Row],[Fecha]])</f>
        <v>2024</v>
      </c>
      <c r="L468" s="22">
        <f>MONTH(Tabla1[[#This Row],[Fecha]])</f>
        <v>12</v>
      </c>
    </row>
    <row r="469" spans="2:12" hidden="1" x14ac:dyDescent="0.25">
      <c r="B469" s="5" t="s">
        <v>9</v>
      </c>
      <c r="C469" s="5" t="s">
        <v>87</v>
      </c>
      <c r="D469" s="5" t="s">
        <v>11</v>
      </c>
      <c r="E469" s="6">
        <v>45631</v>
      </c>
      <c r="F469" s="4" t="s">
        <v>91</v>
      </c>
      <c r="G469" s="4" t="s">
        <v>303</v>
      </c>
      <c r="H469" s="4" t="s">
        <v>431</v>
      </c>
      <c r="I469" s="5" t="s">
        <v>682</v>
      </c>
      <c r="J469" s="5"/>
      <c r="K469" s="22">
        <f>YEAR(Tabla1[[#This Row],[Fecha]])</f>
        <v>2024</v>
      </c>
      <c r="L469" s="22">
        <f>MONTH(Tabla1[[#This Row],[Fecha]])</f>
        <v>12</v>
      </c>
    </row>
    <row r="470" spans="2:12" hidden="1" x14ac:dyDescent="0.25">
      <c r="B470" s="5" t="s">
        <v>9</v>
      </c>
      <c r="C470" s="5" t="s">
        <v>70</v>
      </c>
      <c r="D470" s="5" t="s">
        <v>11</v>
      </c>
      <c r="E470" s="6">
        <v>45631</v>
      </c>
      <c r="F470" s="4" t="s">
        <v>91</v>
      </c>
      <c r="G470" s="4" t="s">
        <v>303</v>
      </c>
      <c r="H470" s="4" t="s">
        <v>359</v>
      </c>
      <c r="I470" s="5" t="s">
        <v>684</v>
      </c>
      <c r="J470" s="5"/>
      <c r="K470" s="22">
        <f>YEAR(Tabla1[[#This Row],[Fecha]])</f>
        <v>2024</v>
      </c>
      <c r="L470" s="22">
        <f>MONTH(Tabla1[[#This Row],[Fecha]])</f>
        <v>12</v>
      </c>
    </row>
    <row r="471" spans="2:12" hidden="1" x14ac:dyDescent="0.25">
      <c r="B471" s="5" t="s">
        <v>9</v>
      </c>
      <c r="C471" s="5" t="s">
        <v>102</v>
      </c>
      <c r="D471" s="5" t="s">
        <v>11</v>
      </c>
      <c r="E471" s="6">
        <v>45631</v>
      </c>
      <c r="F471" s="4" t="s">
        <v>91</v>
      </c>
      <c r="G471" s="4" t="s">
        <v>303</v>
      </c>
      <c r="H471" s="4" t="s">
        <v>434</v>
      </c>
      <c r="I471" s="5" t="s">
        <v>685</v>
      </c>
      <c r="J471" s="5"/>
      <c r="K471" s="22">
        <f>YEAR(Tabla1[[#This Row],[Fecha]])</f>
        <v>2024</v>
      </c>
      <c r="L471" s="22">
        <f>MONTH(Tabla1[[#This Row],[Fecha]])</f>
        <v>12</v>
      </c>
    </row>
    <row r="472" spans="2:12" hidden="1" x14ac:dyDescent="0.25">
      <c r="B472" s="5" t="s">
        <v>9</v>
      </c>
      <c r="C472" s="5" t="s">
        <v>68</v>
      </c>
      <c r="D472" s="5" t="s">
        <v>131</v>
      </c>
      <c r="E472" s="6">
        <v>45631</v>
      </c>
      <c r="F472" s="4" t="s">
        <v>91</v>
      </c>
      <c r="G472" s="4" t="s">
        <v>303</v>
      </c>
      <c r="H472" s="4" t="s">
        <v>434</v>
      </c>
      <c r="I472" s="5" t="s">
        <v>686</v>
      </c>
      <c r="J472" s="5"/>
      <c r="K472" s="22">
        <f>YEAR(Tabla1[[#This Row],[Fecha]])</f>
        <v>2024</v>
      </c>
      <c r="L472" s="22">
        <f>MONTH(Tabla1[[#This Row],[Fecha]])</f>
        <v>12</v>
      </c>
    </row>
    <row r="473" spans="2:12" hidden="1" x14ac:dyDescent="0.25">
      <c r="B473" s="5" t="s">
        <v>9</v>
      </c>
      <c r="C473" s="5" t="s">
        <v>153</v>
      </c>
      <c r="D473" s="5" t="s">
        <v>131</v>
      </c>
      <c r="E473" s="6">
        <v>45631</v>
      </c>
      <c r="F473" s="4" t="s">
        <v>91</v>
      </c>
      <c r="G473" s="4" t="s">
        <v>303</v>
      </c>
      <c r="H473" s="4" t="s">
        <v>434</v>
      </c>
      <c r="I473" s="5" t="s">
        <v>686</v>
      </c>
      <c r="J473" s="5"/>
      <c r="K473" s="22">
        <f>YEAR(Tabla1[[#This Row],[Fecha]])</f>
        <v>2024</v>
      </c>
      <c r="L473" s="22">
        <f>MONTH(Tabla1[[#This Row],[Fecha]])</f>
        <v>12</v>
      </c>
    </row>
    <row r="474" spans="2:12" hidden="1" x14ac:dyDescent="0.25">
      <c r="B474" s="5" t="s">
        <v>9</v>
      </c>
      <c r="C474" s="5" t="s">
        <v>14</v>
      </c>
      <c r="D474" s="5" t="s">
        <v>131</v>
      </c>
      <c r="E474" s="6">
        <v>45631</v>
      </c>
      <c r="F474" s="4" t="s">
        <v>91</v>
      </c>
      <c r="G474" s="4" t="s">
        <v>303</v>
      </c>
      <c r="H474" s="4" t="s">
        <v>434</v>
      </c>
      <c r="I474" s="5" t="s">
        <v>687</v>
      </c>
      <c r="J474" s="5"/>
      <c r="K474" s="22">
        <f>YEAR(Tabla1[[#This Row],[Fecha]])</f>
        <v>2024</v>
      </c>
      <c r="L474" s="22">
        <f>MONTH(Tabla1[[#This Row],[Fecha]])</f>
        <v>12</v>
      </c>
    </row>
    <row r="475" spans="2:12" hidden="1" x14ac:dyDescent="0.25">
      <c r="B475" s="5" t="s">
        <v>9</v>
      </c>
      <c r="C475" s="5" t="s">
        <v>238</v>
      </c>
      <c r="D475" s="5" t="s">
        <v>131</v>
      </c>
      <c r="E475" s="6">
        <v>45631</v>
      </c>
      <c r="F475" s="4" t="s">
        <v>91</v>
      </c>
      <c r="G475" s="4" t="s">
        <v>303</v>
      </c>
      <c r="H475" s="4" t="s">
        <v>304</v>
      </c>
      <c r="I475" s="5" t="s">
        <v>688</v>
      </c>
      <c r="J475" s="5"/>
      <c r="K475" s="22">
        <f>YEAR(Tabla1[[#This Row],[Fecha]])</f>
        <v>2024</v>
      </c>
      <c r="L475" s="22">
        <f>MONTH(Tabla1[[#This Row],[Fecha]])</f>
        <v>12</v>
      </c>
    </row>
    <row r="476" spans="2:12" hidden="1" x14ac:dyDescent="0.25">
      <c r="B476" s="5" t="s">
        <v>9</v>
      </c>
      <c r="C476" s="5" t="s">
        <v>93</v>
      </c>
      <c r="D476" s="5" t="s">
        <v>131</v>
      </c>
      <c r="E476" s="6">
        <v>45631</v>
      </c>
      <c r="F476" s="4" t="s">
        <v>91</v>
      </c>
      <c r="G476" s="4" t="s">
        <v>303</v>
      </c>
      <c r="H476" s="4" t="s">
        <v>434</v>
      </c>
      <c r="I476" s="5" t="s">
        <v>689</v>
      </c>
      <c r="J476" s="5"/>
      <c r="K476" s="22">
        <f>YEAR(Tabla1[[#This Row],[Fecha]])</f>
        <v>2024</v>
      </c>
      <c r="L476" s="22">
        <f>MONTH(Tabla1[[#This Row],[Fecha]])</f>
        <v>12</v>
      </c>
    </row>
    <row r="477" spans="2:12" hidden="1" x14ac:dyDescent="0.25">
      <c r="B477" s="5" t="s">
        <v>309</v>
      </c>
      <c r="C477" s="5" t="s">
        <v>310</v>
      </c>
      <c r="D477" s="5" t="s">
        <v>131</v>
      </c>
      <c r="E477" s="6">
        <v>45630</v>
      </c>
      <c r="F477" s="4" t="s">
        <v>91</v>
      </c>
      <c r="G477" s="4" t="s">
        <v>303</v>
      </c>
      <c r="H477" s="4" t="s">
        <v>434</v>
      </c>
      <c r="I477" s="5" t="s">
        <v>1694</v>
      </c>
      <c r="J477" s="5"/>
      <c r="K477" s="22">
        <f>YEAR(Tabla1[[#This Row],[Fecha]])</f>
        <v>2024</v>
      </c>
      <c r="L477" s="22">
        <f>MONTH(Tabla1[[#This Row],[Fecha]])</f>
        <v>12</v>
      </c>
    </row>
    <row r="478" spans="2:12" hidden="1" x14ac:dyDescent="0.25">
      <c r="B478" s="5" t="s">
        <v>309</v>
      </c>
      <c r="C478" s="5" t="s">
        <v>318</v>
      </c>
      <c r="D478" s="5" t="s">
        <v>131</v>
      </c>
      <c r="E478" s="6">
        <v>45630</v>
      </c>
      <c r="F478" s="4" t="s">
        <v>91</v>
      </c>
      <c r="G478" s="4" t="s">
        <v>303</v>
      </c>
      <c r="H478" s="4" t="s">
        <v>434</v>
      </c>
      <c r="I478" s="5" t="s">
        <v>1695</v>
      </c>
      <c r="J478" s="5"/>
      <c r="K478" s="22">
        <f>YEAR(Tabla1[[#This Row],[Fecha]])</f>
        <v>2024</v>
      </c>
      <c r="L478" s="22">
        <f>MONTH(Tabla1[[#This Row],[Fecha]])</f>
        <v>12</v>
      </c>
    </row>
    <row r="479" spans="2:12" hidden="1" x14ac:dyDescent="0.25">
      <c r="B479" s="5" t="s">
        <v>309</v>
      </c>
      <c r="C479" s="5" t="s">
        <v>313</v>
      </c>
      <c r="D479" s="5" t="s">
        <v>11</v>
      </c>
      <c r="E479" s="6">
        <v>45630</v>
      </c>
      <c r="F479" s="4" t="s">
        <v>91</v>
      </c>
      <c r="G479" s="4" t="s">
        <v>303</v>
      </c>
      <c r="H479" s="4" t="s">
        <v>431</v>
      </c>
      <c r="I479" s="5" t="s">
        <v>1696</v>
      </c>
      <c r="J479" s="5"/>
      <c r="K479" s="22">
        <f>YEAR(Tabla1[[#This Row],[Fecha]])</f>
        <v>2024</v>
      </c>
      <c r="L479" s="22">
        <f>MONTH(Tabla1[[#This Row],[Fecha]])</f>
        <v>12</v>
      </c>
    </row>
    <row r="480" spans="2:12" hidden="1" x14ac:dyDescent="0.25">
      <c r="B480" s="5" t="s">
        <v>309</v>
      </c>
      <c r="C480" s="5" t="s">
        <v>313</v>
      </c>
      <c r="D480" s="5" t="s">
        <v>11</v>
      </c>
      <c r="E480" s="6">
        <v>45630</v>
      </c>
      <c r="F480" s="4" t="s">
        <v>91</v>
      </c>
      <c r="G480" s="4" t="s">
        <v>303</v>
      </c>
      <c r="H480" s="4" t="s">
        <v>431</v>
      </c>
      <c r="I480" s="5" t="s">
        <v>529</v>
      </c>
      <c r="J480" s="5"/>
      <c r="K480" s="22">
        <f>YEAR(Tabla1[[#This Row],[Fecha]])</f>
        <v>2024</v>
      </c>
      <c r="L480" s="22">
        <f>MONTH(Tabla1[[#This Row],[Fecha]])</f>
        <v>12</v>
      </c>
    </row>
    <row r="481" spans="2:12" hidden="1" x14ac:dyDescent="0.25">
      <c r="B481" s="5" t="s">
        <v>309</v>
      </c>
      <c r="C481" s="5" t="s">
        <v>378</v>
      </c>
      <c r="D481" s="5" t="s">
        <v>11</v>
      </c>
      <c r="E481" s="6">
        <v>45630</v>
      </c>
      <c r="F481" s="4" t="s">
        <v>91</v>
      </c>
      <c r="G481" s="4" t="s">
        <v>303</v>
      </c>
      <c r="H481" s="4" t="s">
        <v>431</v>
      </c>
      <c r="I481" s="5" t="s">
        <v>530</v>
      </c>
      <c r="J481" s="5"/>
      <c r="K481" s="22">
        <f>YEAR(Tabla1[[#This Row],[Fecha]])</f>
        <v>2024</v>
      </c>
      <c r="L481" s="22">
        <f>MONTH(Tabla1[[#This Row],[Fecha]])</f>
        <v>12</v>
      </c>
    </row>
    <row r="482" spans="2:12" hidden="1" x14ac:dyDescent="0.25">
      <c r="B482" s="5" t="s">
        <v>309</v>
      </c>
      <c r="C482" s="5" t="s">
        <v>322</v>
      </c>
      <c r="D482" s="5" t="s">
        <v>11</v>
      </c>
      <c r="E482" s="6">
        <v>45630</v>
      </c>
      <c r="F482" s="4" t="s">
        <v>91</v>
      </c>
      <c r="G482" s="4" t="s">
        <v>303</v>
      </c>
      <c r="H482" s="4" t="s">
        <v>431</v>
      </c>
      <c r="I482" s="5" t="s">
        <v>1804</v>
      </c>
      <c r="J482" s="5"/>
      <c r="K482" s="22">
        <f>YEAR(Tabla1[[#This Row],[Fecha]])</f>
        <v>2024</v>
      </c>
      <c r="L482" s="22">
        <f>MONTH(Tabla1[[#This Row],[Fecha]])</f>
        <v>12</v>
      </c>
    </row>
    <row r="483" spans="2:12" hidden="1" x14ac:dyDescent="0.25">
      <c r="B483" s="5" t="s">
        <v>309</v>
      </c>
      <c r="C483" s="5" t="s">
        <v>313</v>
      </c>
      <c r="D483" s="5" t="s">
        <v>11</v>
      </c>
      <c r="E483" s="6">
        <v>45630</v>
      </c>
      <c r="F483" s="4" t="s">
        <v>91</v>
      </c>
      <c r="G483" s="4" t="s">
        <v>303</v>
      </c>
      <c r="H483" s="4" t="s">
        <v>431</v>
      </c>
      <c r="I483" s="5" t="s">
        <v>610</v>
      </c>
      <c r="J483" s="5"/>
      <c r="K483" s="22">
        <f>YEAR(Tabla1[[#This Row],[Fecha]])</f>
        <v>2024</v>
      </c>
      <c r="L483" s="22">
        <f>MONTH(Tabla1[[#This Row],[Fecha]])</f>
        <v>12</v>
      </c>
    </row>
    <row r="484" spans="2:12" hidden="1" x14ac:dyDescent="0.25">
      <c r="B484" s="5" t="s">
        <v>309</v>
      </c>
      <c r="C484" s="5" t="s">
        <v>313</v>
      </c>
      <c r="D484" s="5" t="s">
        <v>11</v>
      </c>
      <c r="E484" s="6">
        <v>45630</v>
      </c>
      <c r="F484" s="4" t="s">
        <v>91</v>
      </c>
      <c r="G484" s="4" t="s">
        <v>303</v>
      </c>
      <c r="H484" s="4" t="s">
        <v>431</v>
      </c>
      <c r="I484" s="5" t="s">
        <v>1805</v>
      </c>
      <c r="J484" s="5"/>
      <c r="K484" s="22">
        <f>YEAR(Tabla1[[#This Row],[Fecha]])</f>
        <v>2024</v>
      </c>
      <c r="L484" s="22">
        <f>MONTH(Tabla1[[#This Row],[Fecha]])</f>
        <v>12</v>
      </c>
    </row>
    <row r="485" spans="2:12" hidden="1" x14ac:dyDescent="0.25">
      <c r="B485" s="5" t="s">
        <v>309</v>
      </c>
      <c r="C485" s="5" t="s">
        <v>310</v>
      </c>
      <c r="D485" s="5" t="s">
        <v>11</v>
      </c>
      <c r="E485" s="6">
        <v>45630</v>
      </c>
      <c r="F485" s="4" t="s">
        <v>91</v>
      </c>
      <c r="G485" s="4" t="s">
        <v>303</v>
      </c>
      <c r="H485" s="4" t="s">
        <v>434</v>
      </c>
      <c r="I485" s="5" t="s">
        <v>1807</v>
      </c>
      <c r="J485" s="5"/>
      <c r="K485" s="22">
        <f>YEAR(Tabla1[[#This Row],[Fecha]])</f>
        <v>2024</v>
      </c>
      <c r="L485" s="22">
        <f>MONTH(Tabla1[[#This Row],[Fecha]])</f>
        <v>12</v>
      </c>
    </row>
    <row r="486" spans="2:12" hidden="1" x14ac:dyDescent="0.25">
      <c r="B486" s="5" t="s">
        <v>309</v>
      </c>
      <c r="C486" s="5" t="s">
        <v>371</v>
      </c>
      <c r="D486" s="5" t="s">
        <v>11</v>
      </c>
      <c r="E486" s="6">
        <v>45629</v>
      </c>
      <c r="F486" s="4" t="s">
        <v>15</v>
      </c>
      <c r="G486" s="4" t="s">
        <v>36</v>
      </c>
      <c r="H486" s="29" t="s">
        <v>1783</v>
      </c>
      <c r="I486" s="5" t="s">
        <v>534</v>
      </c>
      <c r="J486" s="5"/>
      <c r="K486" s="22">
        <f>YEAR(Tabla1[[#This Row],[Fecha]])</f>
        <v>2024</v>
      </c>
      <c r="L486" s="22">
        <f>MONTH(Tabla1[[#This Row],[Fecha]])</f>
        <v>12</v>
      </c>
    </row>
    <row r="487" spans="2:12" hidden="1" x14ac:dyDescent="0.25">
      <c r="B487" s="5" t="s">
        <v>309</v>
      </c>
      <c r="C487" s="5" t="s">
        <v>371</v>
      </c>
      <c r="D487" s="5" t="s">
        <v>11</v>
      </c>
      <c r="E487" s="6">
        <v>45629</v>
      </c>
      <c r="F487" s="4" t="s">
        <v>15</v>
      </c>
      <c r="G487" s="4" t="s">
        <v>36</v>
      </c>
      <c r="H487" s="8" t="s">
        <v>37</v>
      </c>
      <c r="I487" s="5" t="s">
        <v>1802</v>
      </c>
      <c r="J487" s="5"/>
      <c r="K487" s="15">
        <f>YEAR(Tabla1[[#This Row],[Fecha]])</f>
        <v>2024</v>
      </c>
      <c r="L487" s="15">
        <f>MONTH(Tabla1[[#This Row],[Fecha]])</f>
        <v>12</v>
      </c>
    </row>
    <row r="488" spans="2:12" hidden="1" x14ac:dyDescent="0.25">
      <c r="B488" s="5" t="s">
        <v>309</v>
      </c>
      <c r="C488" s="5" t="s">
        <v>369</v>
      </c>
      <c r="D488" s="5" t="s">
        <v>11</v>
      </c>
      <c r="E488" s="6">
        <v>45629</v>
      </c>
      <c r="F488" s="4" t="s">
        <v>15</v>
      </c>
      <c r="G488" s="4" t="s">
        <v>16</v>
      </c>
      <c r="H488" s="8" t="s">
        <v>63</v>
      </c>
      <c r="I488" s="5" t="s">
        <v>1806</v>
      </c>
      <c r="J488" s="5"/>
      <c r="K488" s="15">
        <f>YEAR(Tabla1[[#This Row],[Fecha]])</f>
        <v>2024</v>
      </c>
      <c r="L488" s="15">
        <f>MONTH(Tabla1[[#This Row],[Fecha]])</f>
        <v>12</v>
      </c>
    </row>
    <row r="489" spans="2:12" hidden="1" x14ac:dyDescent="0.25">
      <c r="B489" s="5" t="s">
        <v>309</v>
      </c>
      <c r="C489" s="5" t="s">
        <v>320</v>
      </c>
      <c r="D489" s="5" t="s">
        <v>131</v>
      </c>
      <c r="E489" s="6">
        <v>45628</v>
      </c>
      <c r="F489" s="4" t="s">
        <v>15</v>
      </c>
      <c r="G489" s="4" t="s">
        <v>16</v>
      </c>
      <c r="H489" s="4" t="s">
        <v>34</v>
      </c>
      <c r="I489" s="5" t="s">
        <v>695</v>
      </c>
      <c r="J489" s="5"/>
      <c r="K489" s="22">
        <f>YEAR(Tabla1[[#This Row],[Fecha]])</f>
        <v>2024</v>
      </c>
      <c r="L489" s="22">
        <f>MONTH(Tabla1[[#This Row],[Fecha]])</f>
        <v>12</v>
      </c>
    </row>
    <row r="490" spans="2:12" hidden="1" x14ac:dyDescent="0.25">
      <c r="B490" s="5" t="s">
        <v>9</v>
      </c>
      <c r="C490" s="5" t="s">
        <v>238</v>
      </c>
      <c r="D490" s="5" t="s">
        <v>11</v>
      </c>
      <c r="E490" s="6">
        <v>45625</v>
      </c>
      <c r="F490" s="4" t="s">
        <v>91</v>
      </c>
      <c r="G490" s="4" t="s">
        <v>303</v>
      </c>
      <c r="H490" s="4" t="s">
        <v>434</v>
      </c>
      <c r="I490" s="5" t="s">
        <v>1697</v>
      </c>
      <c r="J490" s="5"/>
      <c r="K490" s="22">
        <f>YEAR(Tabla1[[#This Row],[Fecha]])</f>
        <v>2024</v>
      </c>
      <c r="L490" s="22">
        <f>MONTH(Tabla1[[#This Row],[Fecha]])</f>
        <v>11</v>
      </c>
    </row>
    <row r="491" spans="2:12" hidden="1" x14ac:dyDescent="0.25">
      <c r="B491" s="5" t="s">
        <v>9</v>
      </c>
      <c r="C491" s="5" t="s">
        <v>99</v>
      </c>
      <c r="D491" s="5" t="s">
        <v>131</v>
      </c>
      <c r="E491" s="6">
        <v>45624</v>
      </c>
      <c r="F491" s="4" t="s">
        <v>91</v>
      </c>
      <c r="G491" s="4" t="s">
        <v>24</v>
      </c>
      <c r="H491" s="4" t="s">
        <v>1825</v>
      </c>
      <c r="I491" s="5" t="s">
        <v>1701</v>
      </c>
      <c r="J491" s="5"/>
      <c r="K491" s="22">
        <f>YEAR(Tabla1[[#This Row],[Fecha]])</f>
        <v>2024</v>
      </c>
      <c r="L491" s="22">
        <f>MONTH(Tabla1[[#This Row],[Fecha]])</f>
        <v>11</v>
      </c>
    </row>
    <row r="492" spans="2:12" hidden="1" x14ac:dyDescent="0.25">
      <c r="B492" s="5" t="s">
        <v>9</v>
      </c>
      <c r="C492" s="5" t="s">
        <v>68</v>
      </c>
      <c r="D492" s="5" t="s">
        <v>11</v>
      </c>
      <c r="E492" s="6">
        <v>45624</v>
      </c>
      <c r="F492" s="4" t="s">
        <v>91</v>
      </c>
      <c r="G492" s="4" t="s">
        <v>24</v>
      </c>
      <c r="H492" s="4" t="s">
        <v>1825</v>
      </c>
      <c r="I492" s="5" t="s">
        <v>1702</v>
      </c>
      <c r="J492" s="5"/>
      <c r="K492" s="22">
        <f>YEAR(Tabla1[[#This Row],[Fecha]])</f>
        <v>2024</v>
      </c>
      <c r="L492" s="22">
        <f>MONTH(Tabla1[[#This Row],[Fecha]])</f>
        <v>11</v>
      </c>
    </row>
    <row r="493" spans="2:12" hidden="1" x14ac:dyDescent="0.25">
      <c r="B493" s="5" t="s">
        <v>45</v>
      </c>
      <c r="C493" s="5" t="s">
        <v>46</v>
      </c>
      <c r="D493" s="5" t="s">
        <v>11</v>
      </c>
      <c r="E493" s="6">
        <v>45623</v>
      </c>
      <c r="F493" s="4" t="s">
        <v>15</v>
      </c>
      <c r="G493" s="4" t="s">
        <v>47</v>
      </c>
      <c r="H493" s="4" t="s">
        <v>41</v>
      </c>
      <c r="I493" s="5" t="s">
        <v>494</v>
      </c>
      <c r="J493" s="5"/>
      <c r="K493" s="22">
        <f>YEAR(Tabla1[[#This Row],[Fecha]])</f>
        <v>2024</v>
      </c>
      <c r="L493" s="22">
        <f>MONTH(Tabla1[[#This Row],[Fecha]])</f>
        <v>11</v>
      </c>
    </row>
    <row r="494" spans="2:12" hidden="1" x14ac:dyDescent="0.25">
      <c r="B494" s="5" t="s">
        <v>45</v>
      </c>
      <c r="C494" s="5" t="s">
        <v>46</v>
      </c>
      <c r="D494" s="5" t="s">
        <v>131</v>
      </c>
      <c r="E494" s="6">
        <v>45623</v>
      </c>
      <c r="F494" s="4" t="s">
        <v>15</v>
      </c>
      <c r="G494" s="4" t="s">
        <v>47</v>
      </c>
      <c r="H494" s="4" t="s">
        <v>333</v>
      </c>
      <c r="I494" s="5" t="s">
        <v>1799</v>
      </c>
      <c r="J494" s="5"/>
      <c r="K494" s="22">
        <f>YEAR(Tabla1[[#This Row],[Fecha]])</f>
        <v>2024</v>
      </c>
      <c r="L494" s="22">
        <f>MONTH(Tabla1[[#This Row],[Fecha]])</f>
        <v>11</v>
      </c>
    </row>
    <row r="495" spans="2:12" hidden="1" x14ac:dyDescent="0.25">
      <c r="B495" s="5" t="s">
        <v>9</v>
      </c>
      <c r="C495" s="5" t="s">
        <v>82</v>
      </c>
      <c r="D495" s="5" t="s">
        <v>131</v>
      </c>
      <c r="E495" s="6">
        <v>45623</v>
      </c>
      <c r="F495" s="4" t="s">
        <v>91</v>
      </c>
      <c r="G495" s="4" t="s">
        <v>24</v>
      </c>
      <c r="H495" s="4" t="s">
        <v>1825</v>
      </c>
      <c r="I495" s="5" t="s">
        <v>1702</v>
      </c>
      <c r="J495" s="5"/>
      <c r="K495" s="22">
        <f>YEAR(Tabla1[[#This Row],[Fecha]])</f>
        <v>2024</v>
      </c>
      <c r="L495" s="22">
        <f>MONTH(Tabla1[[#This Row],[Fecha]])</f>
        <v>11</v>
      </c>
    </row>
    <row r="496" spans="2:12" hidden="1" x14ac:dyDescent="0.25">
      <c r="B496" s="5" t="s">
        <v>9</v>
      </c>
      <c r="C496" s="5" t="s">
        <v>10</v>
      </c>
      <c r="D496" s="5" t="s">
        <v>11</v>
      </c>
      <c r="E496" s="6">
        <v>45622</v>
      </c>
      <c r="F496" s="4" t="s">
        <v>100</v>
      </c>
      <c r="G496" s="4"/>
      <c r="H496" s="8"/>
      <c r="I496" s="5" t="s">
        <v>1722</v>
      </c>
      <c r="J496" s="7"/>
      <c r="K496" s="15">
        <f>YEAR(Tabla1[[#This Row],[Fecha]])</f>
        <v>2024</v>
      </c>
      <c r="L496" s="15">
        <f>MONTH(Tabla1[[#This Row],[Fecha]])</f>
        <v>11</v>
      </c>
    </row>
    <row r="497" spans="2:12" hidden="1" x14ac:dyDescent="0.25">
      <c r="B497" s="5" t="s">
        <v>9</v>
      </c>
      <c r="C497" s="5" t="s">
        <v>14</v>
      </c>
      <c r="D497" s="5" t="s">
        <v>131</v>
      </c>
      <c r="E497" s="6">
        <v>45622</v>
      </c>
      <c r="F497" s="4" t="s">
        <v>91</v>
      </c>
      <c r="G497" s="4" t="s">
        <v>24</v>
      </c>
      <c r="H497" s="4" t="s">
        <v>1825</v>
      </c>
      <c r="I497" s="5" t="s">
        <v>1700</v>
      </c>
      <c r="J497" s="5"/>
      <c r="K497" s="22">
        <f>YEAR(Tabla1[[#This Row],[Fecha]])</f>
        <v>2024</v>
      </c>
      <c r="L497" s="22">
        <f>MONTH(Tabla1[[#This Row],[Fecha]])</f>
        <v>11</v>
      </c>
    </row>
    <row r="498" spans="2:12" hidden="1" x14ac:dyDescent="0.25">
      <c r="B498" s="5" t="s">
        <v>45</v>
      </c>
      <c r="C498" s="5" t="s">
        <v>10</v>
      </c>
      <c r="D498" s="5" t="s">
        <v>11</v>
      </c>
      <c r="E498" s="6">
        <v>45622</v>
      </c>
      <c r="F498" s="4" t="s">
        <v>15</v>
      </c>
      <c r="G498" s="4" t="s">
        <v>16</v>
      </c>
      <c r="H498" s="8" t="s">
        <v>74</v>
      </c>
      <c r="I498" s="5" t="s">
        <v>694</v>
      </c>
      <c r="J498" s="7"/>
      <c r="K498" s="15">
        <f>YEAR(Tabla1[[#This Row],[Fecha]])</f>
        <v>2024</v>
      </c>
      <c r="L498" s="15">
        <f>MONTH(Tabla1[[#This Row],[Fecha]])</f>
        <v>11</v>
      </c>
    </row>
    <row r="499" spans="2:12" hidden="1" x14ac:dyDescent="0.25">
      <c r="B499" s="5" t="s">
        <v>9</v>
      </c>
      <c r="C499" s="5" t="s">
        <v>70</v>
      </c>
      <c r="D499" s="5" t="s">
        <v>11</v>
      </c>
      <c r="E499" s="6">
        <v>45621</v>
      </c>
      <c r="F499" s="4" t="s">
        <v>15</v>
      </c>
      <c r="G499" s="31" t="s">
        <v>1705</v>
      </c>
      <c r="H499" s="31" t="s">
        <v>1824</v>
      </c>
      <c r="I499" s="5" t="s">
        <v>683</v>
      </c>
      <c r="J499" s="7"/>
      <c r="K499" s="15">
        <f>YEAR(Tabla1[[#This Row],[Fecha]])</f>
        <v>2024</v>
      </c>
      <c r="L499" s="15">
        <f>MONTH(Tabla1[[#This Row],[Fecha]])</f>
        <v>11</v>
      </c>
    </row>
    <row r="500" spans="2:12" hidden="1" x14ac:dyDescent="0.25">
      <c r="B500" s="5" t="s">
        <v>45</v>
      </c>
      <c r="C500" s="5" t="s">
        <v>46</v>
      </c>
      <c r="D500" s="5" t="s">
        <v>11</v>
      </c>
      <c r="E500" s="6">
        <v>45619</v>
      </c>
      <c r="F500" s="4" t="s">
        <v>91</v>
      </c>
      <c r="G500" s="4" t="s">
        <v>103</v>
      </c>
      <c r="H500" s="4" t="s">
        <v>298</v>
      </c>
      <c r="I500" s="5" t="s">
        <v>1798</v>
      </c>
      <c r="J500" s="5"/>
      <c r="K500" s="22">
        <f>YEAR(Tabla1[[#This Row],[Fecha]])</f>
        <v>2024</v>
      </c>
      <c r="L500" s="22">
        <f>MONTH(Tabla1[[#This Row],[Fecha]])</f>
        <v>11</v>
      </c>
    </row>
    <row r="501" spans="2:12" hidden="1" x14ac:dyDescent="0.25">
      <c r="B501" s="5" t="s">
        <v>9</v>
      </c>
      <c r="C501" s="5" t="s">
        <v>70</v>
      </c>
      <c r="D501" s="5" t="s">
        <v>131</v>
      </c>
      <c r="E501" s="6">
        <v>45618</v>
      </c>
      <c r="F501" s="4" t="s">
        <v>91</v>
      </c>
      <c r="G501" s="4" t="s">
        <v>303</v>
      </c>
      <c r="H501" s="4" t="s">
        <v>434</v>
      </c>
      <c r="I501" s="5" t="s">
        <v>1698</v>
      </c>
      <c r="J501" s="5"/>
      <c r="K501" s="22">
        <f>YEAR(Tabla1[[#This Row],[Fecha]])</f>
        <v>2024</v>
      </c>
      <c r="L501" s="22">
        <f>MONTH(Tabla1[[#This Row],[Fecha]])</f>
        <v>11</v>
      </c>
    </row>
    <row r="502" spans="2:12" ht="30" hidden="1" x14ac:dyDescent="0.25">
      <c r="B502" s="5" t="s">
        <v>9</v>
      </c>
      <c r="C502" s="5" t="s">
        <v>153</v>
      </c>
      <c r="D502" s="5" t="s">
        <v>11</v>
      </c>
      <c r="E502" s="6">
        <v>45618</v>
      </c>
      <c r="F502" s="4" t="s">
        <v>91</v>
      </c>
      <c r="G502" s="4" t="s">
        <v>303</v>
      </c>
      <c r="H502" s="4" t="s">
        <v>434</v>
      </c>
      <c r="I502" s="23" t="s">
        <v>1699</v>
      </c>
      <c r="J502" s="5"/>
      <c r="K502" s="22">
        <f>YEAR(Tabla1[[#This Row],[Fecha]])</f>
        <v>2024</v>
      </c>
      <c r="L502" s="22">
        <f>MONTH(Tabla1[[#This Row],[Fecha]])</f>
        <v>11</v>
      </c>
    </row>
    <row r="503" spans="2:12" hidden="1" x14ac:dyDescent="0.25">
      <c r="B503" s="5" t="s">
        <v>309</v>
      </c>
      <c r="C503" s="5" t="s">
        <v>369</v>
      </c>
      <c r="D503" s="5" t="s">
        <v>11</v>
      </c>
      <c r="E503" s="6">
        <v>45616</v>
      </c>
      <c r="F503" s="4" t="s">
        <v>91</v>
      </c>
      <c r="G503" s="4" t="s">
        <v>16</v>
      </c>
      <c r="H503" s="8" t="s">
        <v>34</v>
      </c>
      <c r="I503" s="5" t="s">
        <v>536</v>
      </c>
      <c r="J503" s="7"/>
      <c r="K503" s="15">
        <f>YEAR(Tabla1[[#This Row],[Fecha]])</f>
        <v>2024</v>
      </c>
      <c r="L503" s="15">
        <f>MONTH(Tabla1[[#This Row],[Fecha]])</f>
        <v>11</v>
      </c>
    </row>
    <row r="504" spans="2:12" hidden="1" x14ac:dyDescent="0.25">
      <c r="B504" s="5" t="s">
        <v>309</v>
      </c>
      <c r="C504" s="5" t="s">
        <v>313</v>
      </c>
      <c r="D504" s="5" t="s">
        <v>11</v>
      </c>
      <c r="E504" s="6">
        <v>45616</v>
      </c>
      <c r="F504" s="4" t="s">
        <v>91</v>
      </c>
      <c r="G504" s="4" t="s">
        <v>16</v>
      </c>
      <c r="H504" s="8" t="s">
        <v>34</v>
      </c>
      <c r="I504" s="5" t="s">
        <v>537</v>
      </c>
      <c r="J504" s="7"/>
      <c r="K504" s="15">
        <f>YEAR(Tabla1[[#This Row],[Fecha]])</f>
        <v>2024</v>
      </c>
      <c r="L504" s="15">
        <f>MONTH(Tabla1[[#This Row],[Fecha]])</f>
        <v>11</v>
      </c>
    </row>
    <row r="505" spans="2:12" hidden="1" x14ac:dyDescent="0.25">
      <c r="B505" s="5" t="s">
        <v>309</v>
      </c>
      <c r="C505" s="5" t="s">
        <v>313</v>
      </c>
      <c r="D505" s="5" t="s">
        <v>11</v>
      </c>
      <c r="E505" s="6">
        <v>45616</v>
      </c>
      <c r="F505" s="4" t="s">
        <v>91</v>
      </c>
      <c r="G505" s="4" t="s">
        <v>16</v>
      </c>
      <c r="H505" s="8" t="s">
        <v>34</v>
      </c>
      <c r="I505" s="5" t="s">
        <v>606</v>
      </c>
      <c r="J505" s="5"/>
      <c r="K505" s="15">
        <f>YEAR(Tabla1[[#This Row],[Fecha]])</f>
        <v>2024</v>
      </c>
      <c r="L505" s="15">
        <f>MONTH(Tabla1[[#This Row],[Fecha]])</f>
        <v>11</v>
      </c>
    </row>
    <row r="506" spans="2:12" hidden="1" x14ac:dyDescent="0.25">
      <c r="B506" s="5" t="s">
        <v>309</v>
      </c>
      <c r="C506" s="5" t="s">
        <v>369</v>
      </c>
      <c r="D506" s="5" t="s">
        <v>11</v>
      </c>
      <c r="E506" s="6">
        <v>45616</v>
      </c>
      <c r="F506" s="4" t="s">
        <v>91</v>
      </c>
      <c r="G506" s="4" t="s">
        <v>303</v>
      </c>
      <c r="H506" s="4" t="s">
        <v>434</v>
      </c>
      <c r="I506" s="5" t="s">
        <v>607</v>
      </c>
      <c r="J506" s="5"/>
      <c r="K506" s="22">
        <f>YEAR(Tabla1[[#This Row],[Fecha]])</f>
        <v>2024</v>
      </c>
      <c r="L506" s="22">
        <f>MONTH(Tabla1[[#This Row],[Fecha]])</f>
        <v>11</v>
      </c>
    </row>
    <row r="507" spans="2:12" hidden="1" x14ac:dyDescent="0.25">
      <c r="B507" s="5" t="s">
        <v>9</v>
      </c>
      <c r="C507" s="5" t="s">
        <v>80</v>
      </c>
      <c r="D507" s="5" t="s">
        <v>131</v>
      </c>
      <c r="E507" s="6">
        <v>45614</v>
      </c>
      <c r="F507" s="4" t="s">
        <v>91</v>
      </c>
      <c r="G507" s="4" t="s">
        <v>303</v>
      </c>
      <c r="H507" s="4" t="s">
        <v>434</v>
      </c>
      <c r="I507" s="5" t="s">
        <v>691</v>
      </c>
      <c r="J507" s="5"/>
      <c r="K507" s="22">
        <f>YEAR(Tabla1[[#This Row],[Fecha]])</f>
        <v>2024</v>
      </c>
      <c r="L507" s="22">
        <f>MONTH(Tabla1[[#This Row],[Fecha]])</f>
        <v>11</v>
      </c>
    </row>
    <row r="508" spans="2:12" ht="30" hidden="1" x14ac:dyDescent="0.25">
      <c r="B508" s="5" t="s">
        <v>9</v>
      </c>
      <c r="C508" s="5" t="s">
        <v>71</v>
      </c>
      <c r="D508" s="5" t="s">
        <v>11</v>
      </c>
      <c r="E508" s="6">
        <v>45614</v>
      </c>
      <c r="F508" s="4" t="s">
        <v>91</v>
      </c>
      <c r="G508" s="4" t="s">
        <v>103</v>
      </c>
      <c r="H508" s="8" t="s">
        <v>298</v>
      </c>
      <c r="I508" s="23" t="s">
        <v>1709</v>
      </c>
      <c r="J508" s="7"/>
      <c r="K508" s="15">
        <f>YEAR(Tabla1[[#This Row],[Fecha]])</f>
        <v>2024</v>
      </c>
      <c r="L508" s="15">
        <f>MONTH(Tabla1[[#This Row],[Fecha]])</f>
        <v>11</v>
      </c>
    </row>
    <row r="509" spans="2:12" hidden="1" x14ac:dyDescent="0.25">
      <c r="B509" s="5" t="s">
        <v>49</v>
      </c>
      <c r="C509" s="5" t="s">
        <v>176</v>
      </c>
      <c r="D509" s="5" t="s">
        <v>131</v>
      </c>
      <c r="E509" s="6">
        <v>45611</v>
      </c>
      <c r="F509" s="4" t="s">
        <v>91</v>
      </c>
      <c r="G509" s="4" t="s">
        <v>303</v>
      </c>
      <c r="H509" s="4" t="s">
        <v>434</v>
      </c>
      <c r="I509" s="5" t="s">
        <v>637</v>
      </c>
      <c r="J509" s="5"/>
      <c r="K509" s="22">
        <f>YEAR(Tabla1[[#This Row],[Fecha]])</f>
        <v>2024</v>
      </c>
      <c r="L509" s="22">
        <f>MONTH(Tabla1[[#This Row],[Fecha]])</f>
        <v>11</v>
      </c>
    </row>
    <row r="510" spans="2:12" hidden="1" x14ac:dyDescent="0.25">
      <c r="B510" s="5" t="s">
        <v>49</v>
      </c>
      <c r="C510" s="5" t="s">
        <v>56</v>
      </c>
      <c r="D510" s="5" t="s">
        <v>131</v>
      </c>
      <c r="E510" s="6">
        <v>45611</v>
      </c>
      <c r="F510" s="4" t="s">
        <v>91</v>
      </c>
      <c r="G510" s="4" t="s">
        <v>303</v>
      </c>
      <c r="H510" s="4" t="s">
        <v>434</v>
      </c>
      <c r="I510" s="5" t="s">
        <v>638</v>
      </c>
      <c r="J510" s="5"/>
      <c r="K510" s="22">
        <f>YEAR(Tabla1[[#This Row],[Fecha]])</f>
        <v>2024</v>
      </c>
      <c r="L510" s="22">
        <f>MONTH(Tabla1[[#This Row],[Fecha]])</f>
        <v>11</v>
      </c>
    </row>
    <row r="511" spans="2:12" hidden="1" x14ac:dyDescent="0.25">
      <c r="B511" s="5" t="s">
        <v>49</v>
      </c>
      <c r="C511" s="5" t="s">
        <v>123</v>
      </c>
      <c r="D511" s="5" t="s">
        <v>131</v>
      </c>
      <c r="E511" s="6">
        <v>45611</v>
      </c>
      <c r="F511" s="4" t="s">
        <v>91</v>
      </c>
      <c r="G511" s="4" t="s">
        <v>303</v>
      </c>
      <c r="H511" s="4" t="s">
        <v>434</v>
      </c>
      <c r="I511" s="5" t="s">
        <v>639</v>
      </c>
      <c r="J511" s="5"/>
      <c r="K511" s="22">
        <f>YEAR(Tabla1[[#This Row],[Fecha]])</f>
        <v>2024</v>
      </c>
      <c r="L511" s="22">
        <f>MONTH(Tabla1[[#This Row],[Fecha]])</f>
        <v>11</v>
      </c>
    </row>
    <row r="512" spans="2:12" hidden="1" x14ac:dyDescent="0.25">
      <c r="B512" s="5" t="s">
        <v>49</v>
      </c>
      <c r="C512" s="5" t="s">
        <v>57</v>
      </c>
      <c r="D512" s="5" t="s">
        <v>131</v>
      </c>
      <c r="E512" s="6">
        <v>45611</v>
      </c>
      <c r="F512" s="4" t="s">
        <v>91</v>
      </c>
      <c r="G512" s="4" t="s">
        <v>303</v>
      </c>
      <c r="H512" s="4" t="s">
        <v>434</v>
      </c>
      <c r="I512" s="5" t="s">
        <v>640</v>
      </c>
      <c r="J512" s="5"/>
      <c r="K512" s="22">
        <f>YEAR(Tabla1[[#This Row],[Fecha]])</f>
        <v>2024</v>
      </c>
      <c r="L512" s="22">
        <f>MONTH(Tabla1[[#This Row],[Fecha]])</f>
        <v>11</v>
      </c>
    </row>
    <row r="513" spans="2:12" hidden="1" x14ac:dyDescent="0.25">
      <c r="B513" s="5" t="s">
        <v>49</v>
      </c>
      <c r="C513" s="5" t="s">
        <v>115</v>
      </c>
      <c r="D513" s="5" t="s">
        <v>131</v>
      </c>
      <c r="E513" s="6">
        <v>45611</v>
      </c>
      <c r="F513" s="4" t="s">
        <v>91</v>
      </c>
      <c r="G513" s="4" t="s">
        <v>303</v>
      </c>
      <c r="H513" s="4" t="s">
        <v>434</v>
      </c>
      <c r="I513" s="5" t="s">
        <v>641</v>
      </c>
      <c r="J513" s="5"/>
      <c r="K513" s="22">
        <f>YEAR(Tabla1[[#This Row],[Fecha]])</f>
        <v>2024</v>
      </c>
      <c r="L513" s="22">
        <f>MONTH(Tabla1[[#This Row],[Fecha]])</f>
        <v>11</v>
      </c>
    </row>
    <row r="514" spans="2:12" hidden="1" x14ac:dyDescent="0.25">
      <c r="B514" s="5" t="s">
        <v>49</v>
      </c>
      <c r="C514" s="5" t="s">
        <v>50</v>
      </c>
      <c r="D514" s="5" t="s">
        <v>131</v>
      </c>
      <c r="E514" s="6">
        <v>45611</v>
      </c>
      <c r="F514" s="4" t="s">
        <v>91</v>
      </c>
      <c r="G514" s="4" t="s">
        <v>303</v>
      </c>
      <c r="H514" s="4" t="s">
        <v>434</v>
      </c>
      <c r="I514" s="5" t="s">
        <v>642</v>
      </c>
      <c r="J514" s="5"/>
      <c r="K514" s="22">
        <f>YEAR(Tabla1[[#This Row],[Fecha]])</f>
        <v>2024</v>
      </c>
      <c r="L514" s="22">
        <f>MONTH(Tabla1[[#This Row],[Fecha]])</f>
        <v>11</v>
      </c>
    </row>
    <row r="515" spans="2:12" hidden="1" x14ac:dyDescent="0.25">
      <c r="B515" s="5" t="s">
        <v>49</v>
      </c>
      <c r="C515" s="5" t="s">
        <v>117</v>
      </c>
      <c r="D515" s="5" t="s">
        <v>11</v>
      </c>
      <c r="E515" s="6">
        <v>45611</v>
      </c>
      <c r="F515" s="4" t="s">
        <v>91</v>
      </c>
      <c r="G515" s="4" t="s">
        <v>303</v>
      </c>
      <c r="H515" s="20" t="s">
        <v>434</v>
      </c>
      <c r="I515" s="5" t="s">
        <v>657</v>
      </c>
      <c r="J515" s="5"/>
      <c r="K515" s="22">
        <f>YEAR(Tabla1[[#This Row],[Fecha]])</f>
        <v>2024</v>
      </c>
      <c r="L515" s="22">
        <f>MONTH(Tabla1[[#This Row],[Fecha]])</f>
        <v>11</v>
      </c>
    </row>
    <row r="516" spans="2:12" hidden="1" x14ac:dyDescent="0.25">
      <c r="B516" s="5" t="s">
        <v>49</v>
      </c>
      <c r="C516" s="5" t="s">
        <v>66</v>
      </c>
      <c r="D516" s="5" t="s">
        <v>11</v>
      </c>
      <c r="E516" s="6">
        <v>45611</v>
      </c>
      <c r="F516" s="4" t="s">
        <v>91</v>
      </c>
      <c r="G516" s="4" t="s">
        <v>303</v>
      </c>
      <c r="H516" s="20" t="s">
        <v>434</v>
      </c>
      <c r="I516" s="5" t="s">
        <v>658</v>
      </c>
      <c r="J516" s="5"/>
      <c r="K516" s="22">
        <f>YEAR(Tabla1[[#This Row],[Fecha]])</f>
        <v>2024</v>
      </c>
      <c r="L516" s="22">
        <f>MONTH(Tabla1[[#This Row],[Fecha]])</f>
        <v>11</v>
      </c>
    </row>
    <row r="517" spans="2:12" hidden="1" x14ac:dyDescent="0.25">
      <c r="B517" s="5" t="s">
        <v>49</v>
      </c>
      <c r="C517" s="5" t="s">
        <v>53</v>
      </c>
      <c r="D517" s="5" t="s">
        <v>11</v>
      </c>
      <c r="E517" s="6">
        <v>45611</v>
      </c>
      <c r="F517" s="4" t="s">
        <v>91</v>
      </c>
      <c r="G517" s="4" t="s">
        <v>303</v>
      </c>
      <c r="H517" s="20" t="s">
        <v>434</v>
      </c>
      <c r="I517" s="5" t="s">
        <v>659</v>
      </c>
      <c r="J517" s="5"/>
      <c r="K517" s="22">
        <f>YEAR(Tabla1[[#This Row],[Fecha]])</f>
        <v>2024</v>
      </c>
      <c r="L517" s="22">
        <f>MONTH(Tabla1[[#This Row],[Fecha]])</f>
        <v>11</v>
      </c>
    </row>
    <row r="518" spans="2:12" hidden="1" x14ac:dyDescent="0.25">
      <c r="B518" s="5" t="s">
        <v>49</v>
      </c>
      <c r="C518" s="5" t="s">
        <v>66</v>
      </c>
      <c r="D518" s="5" t="s">
        <v>131</v>
      </c>
      <c r="E518" s="6">
        <v>45609</v>
      </c>
      <c r="F518" s="4" t="s">
        <v>91</v>
      </c>
      <c r="G518" s="4" t="s">
        <v>303</v>
      </c>
      <c r="H518" s="4" t="s">
        <v>434</v>
      </c>
      <c r="I518" s="5" t="s">
        <v>643</v>
      </c>
      <c r="J518" s="5"/>
      <c r="K518" s="22">
        <f>YEAR(Tabla1[[#This Row],[Fecha]])</f>
        <v>2024</v>
      </c>
      <c r="L518" s="22">
        <f>MONTH(Tabla1[[#This Row],[Fecha]])</f>
        <v>11</v>
      </c>
    </row>
    <row r="519" spans="2:12" hidden="1" x14ac:dyDescent="0.25">
      <c r="B519" s="5" t="s">
        <v>49</v>
      </c>
      <c r="C519" s="5" t="s">
        <v>176</v>
      </c>
      <c r="D519" s="5" t="s">
        <v>131</v>
      </c>
      <c r="E519" s="6">
        <v>45609</v>
      </c>
      <c r="F519" s="4" t="s">
        <v>91</v>
      </c>
      <c r="G519" s="4" t="s">
        <v>303</v>
      </c>
      <c r="H519" s="4" t="s">
        <v>434</v>
      </c>
      <c r="I519" s="5" t="s">
        <v>644</v>
      </c>
      <c r="J519" s="5"/>
      <c r="K519" s="22">
        <f>YEAR(Tabla1[[#This Row],[Fecha]])</f>
        <v>2024</v>
      </c>
      <c r="L519" s="22">
        <f>MONTH(Tabla1[[#This Row],[Fecha]])</f>
        <v>11</v>
      </c>
    </row>
    <row r="520" spans="2:12" hidden="1" x14ac:dyDescent="0.25">
      <c r="B520" s="5" t="s">
        <v>49</v>
      </c>
      <c r="C520" s="5" t="s">
        <v>117</v>
      </c>
      <c r="D520" s="5" t="s">
        <v>131</v>
      </c>
      <c r="E520" s="6">
        <v>45609</v>
      </c>
      <c r="F520" s="4" t="s">
        <v>15</v>
      </c>
      <c r="G520" s="4" t="s">
        <v>16</v>
      </c>
      <c r="H520" s="4" t="s">
        <v>41</v>
      </c>
      <c r="I520" s="5" t="s">
        <v>645</v>
      </c>
      <c r="J520" s="5"/>
      <c r="K520" s="22">
        <f>YEAR(Tabla1[[#This Row],[Fecha]])</f>
        <v>2024</v>
      </c>
      <c r="L520" s="22">
        <f>MONTH(Tabla1[[#This Row],[Fecha]])</f>
        <v>11</v>
      </c>
    </row>
    <row r="521" spans="2:12" hidden="1" x14ac:dyDescent="0.25">
      <c r="B521" s="5" t="s">
        <v>49</v>
      </c>
      <c r="C521" s="5" t="s">
        <v>115</v>
      </c>
      <c r="D521" s="5" t="s">
        <v>131</v>
      </c>
      <c r="E521" s="6">
        <v>45609</v>
      </c>
      <c r="F521" s="4" t="s">
        <v>15</v>
      </c>
      <c r="G521" s="4" t="s">
        <v>36</v>
      </c>
      <c r="H521" s="4" t="s">
        <v>184</v>
      </c>
      <c r="I521" s="5" t="s">
        <v>646</v>
      </c>
      <c r="J521" s="5"/>
      <c r="K521" s="22">
        <f>YEAR(Tabla1[[#This Row],[Fecha]])</f>
        <v>2024</v>
      </c>
      <c r="L521" s="22">
        <f>MONTH(Tabla1[[#This Row],[Fecha]])</f>
        <v>11</v>
      </c>
    </row>
    <row r="522" spans="2:12" hidden="1" x14ac:dyDescent="0.25">
      <c r="B522" s="5" t="s">
        <v>49</v>
      </c>
      <c r="C522" s="5" t="s">
        <v>56</v>
      </c>
      <c r="D522" s="5" t="s">
        <v>131</v>
      </c>
      <c r="E522" s="6">
        <v>45609</v>
      </c>
      <c r="F522" s="4" t="s">
        <v>91</v>
      </c>
      <c r="G522" s="4" t="s">
        <v>303</v>
      </c>
      <c r="H522" s="4" t="s">
        <v>431</v>
      </c>
      <c r="I522" s="5" t="s">
        <v>650</v>
      </c>
      <c r="J522" s="5"/>
      <c r="K522" s="22">
        <f>YEAR(Tabla1[[#This Row],[Fecha]])</f>
        <v>2024</v>
      </c>
      <c r="L522" s="22">
        <f>MONTH(Tabla1[[#This Row],[Fecha]])</f>
        <v>11</v>
      </c>
    </row>
    <row r="523" spans="2:12" hidden="1" x14ac:dyDescent="0.25">
      <c r="B523" s="5" t="s">
        <v>49</v>
      </c>
      <c r="C523" s="5" t="s">
        <v>53</v>
      </c>
      <c r="D523" s="5" t="s">
        <v>11</v>
      </c>
      <c r="E523" s="6">
        <v>45609</v>
      </c>
      <c r="F523" s="4" t="s">
        <v>91</v>
      </c>
      <c r="G523" s="4" t="s">
        <v>303</v>
      </c>
      <c r="H523" s="4" t="s">
        <v>431</v>
      </c>
      <c r="I523" s="5" t="s">
        <v>654</v>
      </c>
      <c r="J523" s="5"/>
      <c r="K523" s="22">
        <f>YEAR(Tabla1[[#This Row],[Fecha]])</f>
        <v>2024</v>
      </c>
      <c r="L523" s="22">
        <f>MONTH(Tabla1[[#This Row],[Fecha]])</f>
        <v>11</v>
      </c>
    </row>
    <row r="524" spans="2:12" hidden="1" x14ac:dyDescent="0.25">
      <c r="B524" s="5" t="s">
        <v>49</v>
      </c>
      <c r="C524" s="5" t="s">
        <v>111</v>
      </c>
      <c r="D524" s="5" t="s">
        <v>131</v>
      </c>
      <c r="E524" s="6">
        <v>45609</v>
      </c>
      <c r="F524" s="4" t="s">
        <v>91</v>
      </c>
      <c r="G524" s="4" t="s">
        <v>303</v>
      </c>
      <c r="H524" s="4" t="s">
        <v>431</v>
      </c>
      <c r="I524" s="5" t="s">
        <v>662</v>
      </c>
      <c r="J524" s="5"/>
      <c r="K524" s="22">
        <f>YEAR(Tabla1[[#This Row],[Fecha]])</f>
        <v>2024</v>
      </c>
      <c r="L524" s="22">
        <f>MONTH(Tabla1[[#This Row],[Fecha]])</f>
        <v>11</v>
      </c>
    </row>
    <row r="525" spans="2:12" hidden="1" x14ac:dyDescent="0.25">
      <c r="B525" s="5" t="s">
        <v>49</v>
      </c>
      <c r="C525" s="5" t="s">
        <v>50</v>
      </c>
      <c r="D525" s="5" t="s">
        <v>131</v>
      </c>
      <c r="E525" s="6">
        <v>45609</v>
      </c>
      <c r="F525" s="4" t="s">
        <v>91</v>
      </c>
      <c r="G525" s="4" t="s">
        <v>303</v>
      </c>
      <c r="H525" s="4" t="s">
        <v>431</v>
      </c>
      <c r="I525" s="5" t="s">
        <v>663</v>
      </c>
      <c r="J525" s="5"/>
      <c r="K525" s="22">
        <f>YEAR(Tabla1[[#This Row],[Fecha]])</f>
        <v>2024</v>
      </c>
      <c r="L525" s="22">
        <f>MONTH(Tabla1[[#This Row],[Fecha]])</f>
        <v>11</v>
      </c>
    </row>
    <row r="526" spans="2:12" hidden="1" x14ac:dyDescent="0.25">
      <c r="B526" s="5" t="s">
        <v>49</v>
      </c>
      <c r="C526" s="5" t="s">
        <v>123</v>
      </c>
      <c r="D526" s="5" t="s">
        <v>131</v>
      </c>
      <c r="E526" s="6">
        <v>45609</v>
      </c>
      <c r="F526" s="4" t="s">
        <v>91</v>
      </c>
      <c r="G526" s="4" t="s">
        <v>303</v>
      </c>
      <c r="H526" s="4" t="s">
        <v>431</v>
      </c>
      <c r="I526" s="5" t="s">
        <v>664</v>
      </c>
      <c r="J526" s="5"/>
      <c r="K526" s="22">
        <f>YEAR(Tabla1[[#This Row],[Fecha]])</f>
        <v>2024</v>
      </c>
      <c r="L526" s="22">
        <f>MONTH(Tabla1[[#This Row],[Fecha]])</f>
        <v>11</v>
      </c>
    </row>
    <row r="527" spans="2:12" hidden="1" x14ac:dyDescent="0.25">
      <c r="B527" s="5" t="s">
        <v>49</v>
      </c>
      <c r="C527" s="5" t="s">
        <v>57</v>
      </c>
      <c r="D527" s="5" t="s">
        <v>131</v>
      </c>
      <c r="E527" s="6">
        <v>45609</v>
      </c>
      <c r="F527" s="4" t="s">
        <v>91</v>
      </c>
      <c r="G527" s="4" t="s">
        <v>303</v>
      </c>
      <c r="H527" s="4" t="s">
        <v>431</v>
      </c>
      <c r="I527" s="5" t="s">
        <v>665</v>
      </c>
      <c r="J527" s="5"/>
      <c r="K527" s="22">
        <f>YEAR(Tabla1[[#This Row],[Fecha]])</f>
        <v>2024</v>
      </c>
      <c r="L527" s="22">
        <f>MONTH(Tabla1[[#This Row],[Fecha]])</f>
        <v>11</v>
      </c>
    </row>
    <row r="528" spans="2:12" hidden="1" x14ac:dyDescent="0.25">
      <c r="B528" s="5" t="s">
        <v>9</v>
      </c>
      <c r="C528" s="5" t="s">
        <v>93</v>
      </c>
      <c r="D528" s="5" t="s">
        <v>131</v>
      </c>
      <c r="E528" s="6">
        <v>45608</v>
      </c>
      <c r="F528" s="4" t="s">
        <v>91</v>
      </c>
      <c r="G528" s="4" t="s">
        <v>303</v>
      </c>
      <c r="H528" s="29" t="s">
        <v>431</v>
      </c>
      <c r="I528" s="5" t="s">
        <v>692</v>
      </c>
      <c r="J528" s="7"/>
      <c r="K528" s="15">
        <f>YEAR(Tabla1[[#This Row],[Fecha]])</f>
        <v>2024</v>
      </c>
      <c r="L528" s="15">
        <f>MONTH(Tabla1[[#This Row],[Fecha]])</f>
        <v>11</v>
      </c>
    </row>
    <row r="529" spans="2:12" hidden="1" x14ac:dyDescent="0.25">
      <c r="B529" s="5" t="s">
        <v>9</v>
      </c>
      <c r="C529" s="5" t="s">
        <v>62</v>
      </c>
      <c r="D529" s="5" t="s">
        <v>11</v>
      </c>
      <c r="E529" s="6">
        <v>45608</v>
      </c>
      <c r="F529" s="4" t="s">
        <v>15</v>
      </c>
      <c r="G529" s="4" t="s">
        <v>16</v>
      </c>
      <c r="H529" s="8" t="s">
        <v>74</v>
      </c>
      <c r="I529" s="5" t="s">
        <v>693</v>
      </c>
      <c r="J529" s="7"/>
      <c r="K529" s="15">
        <f>YEAR(Tabla1[[#This Row],[Fecha]])</f>
        <v>2024</v>
      </c>
      <c r="L529" s="15">
        <f>MONTH(Tabla1[[#This Row],[Fecha]])</f>
        <v>11</v>
      </c>
    </row>
    <row r="530" spans="2:12" hidden="1" x14ac:dyDescent="0.25">
      <c r="B530" s="5" t="s">
        <v>206</v>
      </c>
      <c r="C530" s="5" t="s">
        <v>207</v>
      </c>
      <c r="D530" s="5" t="s">
        <v>131</v>
      </c>
      <c r="E530" s="6">
        <v>45607</v>
      </c>
      <c r="F530" s="4" t="s">
        <v>91</v>
      </c>
      <c r="G530" s="4" t="s">
        <v>16</v>
      </c>
      <c r="H530" s="4" t="s">
        <v>34</v>
      </c>
      <c r="I530" s="5" t="s">
        <v>1812</v>
      </c>
      <c r="J530" s="5"/>
      <c r="K530" s="22">
        <f>YEAR(Tabla1[[#This Row],[Fecha]])</f>
        <v>2024</v>
      </c>
      <c r="L530" s="22">
        <f>MONTH(Tabla1[[#This Row],[Fecha]])</f>
        <v>11</v>
      </c>
    </row>
    <row r="531" spans="2:12" hidden="1" x14ac:dyDescent="0.25">
      <c r="B531" s="5" t="s">
        <v>32</v>
      </c>
      <c r="C531" s="5" t="s">
        <v>33</v>
      </c>
      <c r="D531" s="5" t="s">
        <v>131</v>
      </c>
      <c r="E531" s="6">
        <v>45607</v>
      </c>
      <c r="F531" s="4" t="s">
        <v>91</v>
      </c>
      <c r="G531" s="4" t="s">
        <v>303</v>
      </c>
      <c r="H531" s="4" t="s">
        <v>431</v>
      </c>
      <c r="I531" s="5" t="s">
        <v>626</v>
      </c>
      <c r="J531" s="5"/>
      <c r="K531" s="22">
        <f>YEAR(Tabla1[[#This Row],[Fecha]])</f>
        <v>2024</v>
      </c>
      <c r="L531" s="22">
        <f>MONTH(Tabla1[[#This Row],[Fecha]])</f>
        <v>11</v>
      </c>
    </row>
    <row r="532" spans="2:12" hidden="1" x14ac:dyDescent="0.25">
      <c r="B532" s="5" t="s">
        <v>49</v>
      </c>
      <c r="C532" s="5" t="s">
        <v>56</v>
      </c>
      <c r="D532" s="5" t="s">
        <v>131</v>
      </c>
      <c r="E532" s="6">
        <v>45607</v>
      </c>
      <c r="F532" s="4" t="s">
        <v>91</v>
      </c>
      <c r="G532" s="4" t="s">
        <v>303</v>
      </c>
      <c r="H532" s="4" t="s">
        <v>431</v>
      </c>
      <c r="I532" s="5" t="s">
        <v>636</v>
      </c>
      <c r="J532" s="5"/>
      <c r="K532" s="22">
        <f>YEAR(Tabla1[[#This Row],[Fecha]])</f>
        <v>2024</v>
      </c>
      <c r="L532" s="22">
        <f>MONTH(Tabla1[[#This Row],[Fecha]])</f>
        <v>11</v>
      </c>
    </row>
    <row r="533" spans="2:12" hidden="1" x14ac:dyDescent="0.25">
      <c r="B533" s="5" t="s">
        <v>49</v>
      </c>
      <c r="C533" s="5" t="s">
        <v>176</v>
      </c>
      <c r="D533" s="5" t="s">
        <v>131</v>
      </c>
      <c r="E533" s="6">
        <v>45607</v>
      </c>
      <c r="F533" s="4" t="s">
        <v>91</v>
      </c>
      <c r="G533" s="4" t="s">
        <v>303</v>
      </c>
      <c r="H533" s="4" t="s">
        <v>431</v>
      </c>
      <c r="I533" s="5" t="s">
        <v>647</v>
      </c>
      <c r="J533" s="5"/>
      <c r="K533" s="22">
        <f>YEAR(Tabla1[[#This Row],[Fecha]])</f>
        <v>2024</v>
      </c>
      <c r="L533" s="22">
        <f>MONTH(Tabla1[[#This Row],[Fecha]])</f>
        <v>11</v>
      </c>
    </row>
    <row r="534" spans="2:12" hidden="1" x14ac:dyDescent="0.25">
      <c r="B534" s="5" t="s">
        <v>49</v>
      </c>
      <c r="C534" s="5" t="s">
        <v>60</v>
      </c>
      <c r="D534" s="5" t="s">
        <v>131</v>
      </c>
      <c r="E534" s="6">
        <v>45607</v>
      </c>
      <c r="F534" s="4" t="s">
        <v>91</v>
      </c>
      <c r="G534" s="4" t="s">
        <v>303</v>
      </c>
      <c r="H534" s="4" t="s">
        <v>431</v>
      </c>
      <c r="I534" s="5" t="s">
        <v>648</v>
      </c>
      <c r="J534" s="5"/>
      <c r="K534" s="22">
        <f>YEAR(Tabla1[[#This Row],[Fecha]])</f>
        <v>2024</v>
      </c>
      <c r="L534" s="22">
        <f>MONTH(Tabla1[[#This Row],[Fecha]])</f>
        <v>11</v>
      </c>
    </row>
    <row r="535" spans="2:12" hidden="1" x14ac:dyDescent="0.25">
      <c r="B535" s="5" t="s">
        <v>49</v>
      </c>
      <c r="C535" s="5" t="s">
        <v>53</v>
      </c>
      <c r="D535" s="5" t="s">
        <v>131</v>
      </c>
      <c r="E535" s="6">
        <v>45607</v>
      </c>
      <c r="F535" s="4" t="s">
        <v>91</v>
      </c>
      <c r="G535" s="4" t="s">
        <v>303</v>
      </c>
      <c r="H535" s="4" t="s">
        <v>431</v>
      </c>
      <c r="I535" s="5" t="s">
        <v>649</v>
      </c>
      <c r="J535" s="5"/>
      <c r="K535" s="22">
        <f>YEAR(Tabla1[[#This Row],[Fecha]])</f>
        <v>2024</v>
      </c>
      <c r="L535" s="22">
        <f>MONTH(Tabla1[[#This Row],[Fecha]])</f>
        <v>11</v>
      </c>
    </row>
    <row r="536" spans="2:12" hidden="1" x14ac:dyDescent="0.25">
      <c r="B536" s="5" t="s">
        <v>49</v>
      </c>
      <c r="C536" s="5" t="s">
        <v>50</v>
      </c>
      <c r="D536" s="5" t="s">
        <v>131</v>
      </c>
      <c r="E536" s="6">
        <v>45607</v>
      </c>
      <c r="F536" s="4" t="s">
        <v>91</v>
      </c>
      <c r="G536" s="4" t="s">
        <v>303</v>
      </c>
      <c r="H536" s="4" t="s">
        <v>431</v>
      </c>
      <c r="I536" s="5" t="s">
        <v>651</v>
      </c>
      <c r="J536" s="5"/>
      <c r="K536" s="22">
        <f>YEAR(Tabla1[[#This Row],[Fecha]])</f>
        <v>2024</v>
      </c>
      <c r="L536" s="22">
        <f>MONTH(Tabla1[[#This Row],[Fecha]])</f>
        <v>11</v>
      </c>
    </row>
    <row r="537" spans="2:12" hidden="1" x14ac:dyDescent="0.25">
      <c r="B537" s="5" t="s">
        <v>49</v>
      </c>
      <c r="C537" s="5" t="s">
        <v>56</v>
      </c>
      <c r="D537" s="5" t="s">
        <v>131</v>
      </c>
      <c r="E537" s="6">
        <v>45607</v>
      </c>
      <c r="F537" s="4" t="s">
        <v>91</v>
      </c>
      <c r="G537" s="4" t="s">
        <v>303</v>
      </c>
      <c r="H537" s="4" t="s">
        <v>431</v>
      </c>
      <c r="I537" s="5" t="s">
        <v>652</v>
      </c>
      <c r="J537" s="5"/>
      <c r="K537" s="22">
        <f>YEAR(Tabla1[[#This Row],[Fecha]])</f>
        <v>2024</v>
      </c>
      <c r="L537" s="22">
        <f>MONTH(Tabla1[[#This Row],[Fecha]])</f>
        <v>11</v>
      </c>
    </row>
    <row r="538" spans="2:12" hidden="1" x14ac:dyDescent="0.25">
      <c r="B538" s="5" t="s">
        <v>49</v>
      </c>
      <c r="C538" s="5" t="s">
        <v>56</v>
      </c>
      <c r="D538" s="5" t="s">
        <v>11</v>
      </c>
      <c r="E538" s="6">
        <v>45607</v>
      </c>
      <c r="F538" s="4" t="s">
        <v>91</v>
      </c>
      <c r="G538" s="4" t="s">
        <v>303</v>
      </c>
      <c r="H538" s="4" t="s">
        <v>431</v>
      </c>
      <c r="I538" s="5" t="s">
        <v>653</v>
      </c>
      <c r="J538" s="5"/>
      <c r="K538" s="22">
        <f>YEAR(Tabla1[[#This Row],[Fecha]])</f>
        <v>2024</v>
      </c>
      <c r="L538" s="22">
        <f>MONTH(Tabla1[[#This Row],[Fecha]])</f>
        <v>11</v>
      </c>
    </row>
    <row r="539" spans="2:12" hidden="1" x14ac:dyDescent="0.25">
      <c r="B539" s="5" t="s">
        <v>49</v>
      </c>
      <c r="C539" s="5" t="s">
        <v>66</v>
      </c>
      <c r="D539" s="5" t="s">
        <v>11</v>
      </c>
      <c r="E539" s="6">
        <v>45607</v>
      </c>
      <c r="F539" s="4" t="s">
        <v>91</v>
      </c>
      <c r="G539" s="4" t="s">
        <v>303</v>
      </c>
      <c r="H539" s="4" t="s">
        <v>431</v>
      </c>
      <c r="I539" s="5" t="s">
        <v>655</v>
      </c>
      <c r="J539" s="5"/>
      <c r="K539" s="22">
        <f>YEAR(Tabla1[[#This Row],[Fecha]])</f>
        <v>2024</v>
      </c>
      <c r="L539" s="22">
        <f>MONTH(Tabla1[[#This Row],[Fecha]])</f>
        <v>11</v>
      </c>
    </row>
    <row r="540" spans="2:12" hidden="1" x14ac:dyDescent="0.25">
      <c r="B540" s="5" t="s">
        <v>49</v>
      </c>
      <c r="C540" s="5" t="s">
        <v>57</v>
      </c>
      <c r="D540" s="5" t="s">
        <v>11</v>
      </c>
      <c r="E540" s="6">
        <v>45607</v>
      </c>
      <c r="F540" s="4" t="s">
        <v>91</v>
      </c>
      <c r="G540" s="4" t="s">
        <v>303</v>
      </c>
      <c r="H540" s="4" t="s">
        <v>431</v>
      </c>
      <c r="I540" s="5" t="s">
        <v>656</v>
      </c>
      <c r="J540" s="5"/>
      <c r="K540" s="22">
        <f>YEAR(Tabla1[[#This Row],[Fecha]])</f>
        <v>2024</v>
      </c>
      <c r="L540" s="22">
        <f>MONTH(Tabla1[[#This Row],[Fecha]])</f>
        <v>11</v>
      </c>
    </row>
    <row r="541" spans="2:12" hidden="1" x14ac:dyDescent="0.25">
      <c r="B541" s="5" t="s">
        <v>49</v>
      </c>
      <c r="C541" s="5" t="s">
        <v>111</v>
      </c>
      <c r="D541" s="5" t="s">
        <v>11</v>
      </c>
      <c r="E541" s="6">
        <v>45607</v>
      </c>
      <c r="F541" s="4" t="s">
        <v>91</v>
      </c>
      <c r="G541" s="4" t="s">
        <v>303</v>
      </c>
      <c r="H541" s="4" t="s">
        <v>431</v>
      </c>
      <c r="I541" s="5" t="s">
        <v>669</v>
      </c>
      <c r="J541" s="5"/>
      <c r="K541" s="22">
        <f>YEAR(Tabla1[[#This Row],[Fecha]])</f>
        <v>2024</v>
      </c>
      <c r="L541" s="22">
        <f>MONTH(Tabla1[[#This Row],[Fecha]])</f>
        <v>11</v>
      </c>
    </row>
    <row r="542" spans="2:12" hidden="1" x14ac:dyDescent="0.25">
      <c r="B542" s="5" t="s">
        <v>49</v>
      </c>
      <c r="C542" s="5" t="s">
        <v>123</v>
      </c>
      <c r="D542" s="5" t="s">
        <v>11</v>
      </c>
      <c r="E542" s="6">
        <v>45607</v>
      </c>
      <c r="F542" s="4" t="s">
        <v>91</v>
      </c>
      <c r="G542" s="4" t="s">
        <v>303</v>
      </c>
      <c r="H542" s="4" t="s">
        <v>431</v>
      </c>
      <c r="I542" s="5" t="s">
        <v>670</v>
      </c>
      <c r="J542" s="5"/>
      <c r="K542" s="22">
        <f>YEAR(Tabla1[[#This Row],[Fecha]])</f>
        <v>2024</v>
      </c>
      <c r="L542" s="22">
        <f>MONTH(Tabla1[[#This Row],[Fecha]])</f>
        <v>11</v>
      </c>
    </row>
    <row r="543" spans="2:12" hidden="1" x14ac:dyDescent="0.25">
      <c r="B543" s="5" t="s">
        <v>49</v>
      </c>
      <c r="C543" s="5" t="s">
        <v>115</v>
      </c>
      <c r="D543" s="5" t="s">
        <v>11</v>
      </c>
      <c r="E543" s="6">
        <v>45607</v>
      </c>
      <c r="F543" s="4" t="s">
        <v>91</v>
      </c>
      <c r="G543" s="4" t="s">
        <v>303</v>
      </c>
      <c r="H543" s="4" t="s">
        <v>431</v>
      </c>
      <c r="I543" s="5" t="s">
        <v>671</v>
      </c>
      <c r="J543" s="5"/>
      <c r="K543" s="22">
        <f>YEAR(Tabla1[[#This Row],[Fecha]])</f>
        <v>2024</v>
      </c>
      <c r="L543" s="22">
        <f>MONTH(Tabla1[[#This Row],[Fecha]])</f>
        <v>11</v>
      </c>
    </row>
    <row r="544" spans="2:12" hidden="1" x14ac:dyDescent="0.25">
      <c r="B544" s="5" t="s">
        <v>49</v>
      </c>
      <c r="C544" s="5" t="s">
        <v>56</v>
      </c>
      <c r="D544" s="5" t="s">
        <v>131</v>
      </c>
      <c r="E544" s="6">
        <v>45605</v>
      </c>
      <c r="F544" s="4" t="s">
        <v>15</v>
      </c>
      <c r="G544" s="4" t="s">
        <v>135</v>
      </c>
      <c r="H544" s="4" t="s">
        <v>1820</v>
      </c>
      <c r="I544" s="36" t="s">
        <v>673</v>
      </c>
      <c r="J544" s="5"/>
      <c r="K544" s="22">
        <f>YEAR(Tabla1[[#This Row],[Fecha]])</f>
        <v>2024</v>
      </c>
      <c r="L544" s="22">
        <f>MONTH(Tabla1[[#This Row],[Fecha]])</f>
        <v>11</v>
      </c>
    </row>
    <row r="545" spans="2:12" hidden="1" x14ac:dyDescent="0.25">
      <c r="B545" s="5" t="s">
        <v>49</v>
      </c>
      <c r="C545" s="5" t="s">
        <v>117</v>
      </c>
      <c r="D545" s="5" t="s">
        <v>131</v>
      </c>
      <c r="E545" s="6">
        <v>45604</v>
      </c>
      <c r="F545" s="4" t="s">
        <v>15</v>
      </c>
      <c r="G545" s="4" t="s">
        <v>16</v>
      </c>
      <c r="H545" s="4" t="s">
        <v>17</v>
      </c>
      <c r="I545" s="5" t="s">
        <v>672</v>
      </c>
      <c r="J545" s="5"/>
      <c r="K545" s="22">
        <f>YEAR(Tabla1[[#This Row],[Fecha]])</f>
        <v>2024</v>
      </c>
      <c r="L545" s="22">
        <f>MONTH(Tabla1[[#This Row],[Fecha]])</f>
        <v>11</v>
      </c>
    </row>
    <row r="546" spans="2:12" hidden="1" x14ac:dyDescent="0.25">
      <c r="B546" s="5" t="s">
        <v>49</v>
      </c>
      <c r="C546" s="5" t="s">
        <v>111</v>
      </c>
      <c r="D546" s="5" t="s">
        <v>131</v>
      </c>
      <c r="E546" s="6">
        <v>45603</v>
      </c>
      <c r="F546" s="4" t="s">
        <v>91</v>
      </c>
      <c r="G546" s="4" t="s">
        <v>16</v>
      </c>
      <c r="H546" s="8" t="s">
        <v>34</v>
      </c>
      <c r="I546" s="5" t="s">
        <v>1714</v>
      </c>
      <c r="J546" s="7"/>
      <c r="K546" s="15">
        <f>YEAR(Tabla1[[#This Row],[Fecha]])</f>
        <v>2024</v>
      </c>
      <c r="L546" s="15">
        <f>MONTH(Tabla1[[#This Row],[Fecha]])</f>
        <v>11</v>
      </c>
    </row>
    <row r="547" spans="2:12" hidden="1" x14ac:dyDescent="0.25">
      <c r="B547" s="5" t="s">
        <v>49</v>
      </c>
      <c r="C547" s="5" t="s">
        <v>66</v>
      </c>
      <c r="D547" s="5" t="s">
        <v>131</v>
      </c>
      <c r="E547" s="6">
        <v>45603</v>
      </c>
      <c r="F547" s="4" t="s">
        <v>91</v>
      </c>
      <c r="G547" s="4" t="s">
        <v>16</v>
      </c>
      <c r="H547" s="8" t="s">
        <v>34</v>
      </c>
      <c r="I547" s="5" t="s">
        <v>1715</v>
      </c>
      <c r="J547" s="7"/>
      <c r="K547" s="15">
        <f>YEAR(Tabla1[[#This Row],[Fecha]])</f>
        <v>2024</v>
      </c>
      <c r="L547" s="15">
        <f>MONTH(Tabla1[[#This Row],[Fecha]])</f>
        <v>11</v>
      </c>
    </row>
    <row r="548" spans="2:12" hidden="1" x14ac:dyDescent="0.25">
      <c r="B548" s="5" t="s">
        <v>49</v>
      </c>
      <c r="C548" s="5" t="s">
        <v>56</v>
      </c>
      <c r="D548" s="5" t="s">
        <v>131</v>
      </c>
      <c r="E548" s="6">
        <v>45603</v>
      </c>
      <c r="F548" s="4" t="s">
        <v>91</v>
      </c>
      <c r="G548" s="4" t="s">
        <v>16</v>
      </c>
      <c r="H548" s="8" t="s">
        <v>34</v>
      </c>
      <c r="I548" s="5" t="s">
        <v>1715</v>
      </c>
      <c r="J548" s="7"/>
      <c r="K548" s="15">
        <f>YEAR(Tabla1[[#This Row],[Fecha]])</f>
        <v>2024</v>
      </c>
      <c r="L548" s="15">
        <f>MONTH(Tabla1[[#This Row],[Fecha]])</f>
        <v>11</v>
      </c>
    </row>
    <row r="549" spans="2:12" hidden="1" x14ac:dyDescent="0.25">
      <c r="B549" s="5" t="s">
        <v>106</v>
      </c>
      <c r="C549" s="5" t="s">
        <v>110</v>
      </c>
      <c r="D549" s="5" t="s">
        <v>11</v>
      </c>
      <c r="E549" s="6">
        <v>45602</v>
      </c>
      <c r="F549" s="4" t="s">
        <v>15</v>
      </c>
      <c r="G549" s="4" t="s">
        <v>16</v>
      </c>
      <c r="H549" s="4" t="s">
        <v>97</v>
      </c>
      <c r="I549" s="5" t="s">
        <v>1718</v>
      </c>
      <c r="J549" s="5"/>
      <c r="K549" s="22">
        <f>YEAR(Tabla1[[#This Row],[Fecha]])</f>
        <v>2024</v>
      </c>
      <c r="L549" s="22">
        <f>MONTH(Tabla1[[#This Row],[Fecha]])</f>
        <v>11</v>
      </c>
    </row>
    <row r="550" spans="2:12" hidden="1" x14ac:dyDescent="0.25">
      <c r="B550" s="5" t="s">
        <v>248</v>
      </c>
      <c r="C550" s="5" t="s">
        <v>249</v>
      </c>
      <c r="D550" s="5" t="s">
        <v>11</v>
      </c>
      <c r="E550" s="6">
        <v>45601</v>
      </c>
      <c r="F550" s="4" t="s">
        <v>15</v>
      </c>
      <c r="G550" s="4" t="s">
        <v>24</v>
      </c>
      <c r="H550" s="4" t="s">
        <v>83</v>
      </c>
      <c r="I550" s="5" t="s">
        <v>498</v>
      </c>
      <c r="J550" s="5"/>
      <c r="K550" s="22">
        <f>YEAR(Tabla1[[#This Row],[Fecha]])</f>
        <v>2024</v>
      </c>
      <c r="L550" s="22">
        <f>MONTH(Tabla1[[#This Row],[Fecha]])</f>
        <v>11</v>
      </c>
    </row>
    <row r="551" spans="2:12" hidden="1" x14ac:dyDescent="0.25">
      <c r="B551" s="5" t="s">
        <v>32</v>
      </c>
      <c r="C551" s="5" t="s">
        <v>628</v>
      </c>
      <c r="D551" s="5" t="s">
        <v>11</v>
      </c>
      <c r="E551" s="6">
        <v>45600</v>
      </c>
      <c r="F551" s="4" t="s">
        <v>91</v>
      </c>
      <c r="G551" s="4" t="s">
        <v>303</v>
      </c>
      <c r="H551" s="8"/>
      <c r="I551" s="5" t="s">
        <v>629</v>
      </c>
      <c r="J551" s="7"/>
      <c r="K551" s="15">
        <f>YEAR(Tabla1[[#This Row],[Fecha]])</f>
        <v>2024</v>
      </c>
      <c r="L551" s="15">
        <f>MONTH(Tabla1[[#This Row],[Fecha]])</f>
        <v>11</v>
      </c>
    </row>
    <row r="552" spans="2:12" hidden="1" x14ac:dyDescent="0.25">
      <c r="B552" s="5" t="s">
        <v>106</v>
      </c>
      <c r="C552" s="5" t="s">
        <v>110</v>
      </c>
      <c r="D552" s="5" t="s">
        <v>11</v>
      </c>
      <c r="E552" s="6">
        <v>45595</v>
      </c>
      <c r="F552" s="4" t="s">
        <v>15</v>
      </c>
      <c r="G552" s="4" t="s">
        <v>16</v>
      </c>
      <c r="H552" s="4" t="s">
        <v>41</v>
      </c>
      <c r="I552" s="5" t="s">
        <v>1717</v>
      </c>
      <c r="J552" s="5"/>
      <c r="K552" s="22">
        <f>YEAR(Tabla1[[#This Row],[Fecha]])</f>
        <v>2024</v>
      </c>
      <c r="L552" s="22">
        <f>MONTH(Tabla1[[#This Row],[Fecha]])</f>
        <v>10</v>
      </c>
    </row>
    <row r="553" spans="2:12" hidden="1" x14ac:dyDescent="0.25">
      <c r="B553" s="5" t="s">
        <v>27</v>
      </c>
      <c r="C553" s="5" t="s">
        <v>28</v>
      </c>
      <c r="D553" s="5" t="s">
        <v>11</v>
      </c>
      <c r="E553" s="6">
        <v>45595</v>
      </c>
      <c r="F553" s="4" t="s">
        <v>15</v>
      </c>
      <c r="G553" s="4" t="s">
        <v>24</v>
      </c>
      <c r="H553" s="4" t="s">
        <v>121</v>
      </c>
      <c r="I553" s="36" t="s">
        <v>674</v>
      </c>
      <c r="J553" s="5"/>
      <c r="K553" s="22">
        <f>YEAR(Tabla1[[#This Row],[Fecha]])</f>
        <v>2024</v>
      </c>
      <c r="L553" s="22">
        <f>MONTH(Tabla1[[#This Row],[Fecha]])</f>
        <v>10</v>
      </c>
    </row>
    <row r="554" spans="2:12" hidden="1" x14ac:dyDescent="0.25">
      <c r="B554" s="5" t="s">
        <v>9</v>
      </c>
      <c r="C554" s="5" t="s">
        <v>68</v>
      </c>
      <c r="D554" s="5" t="s">
        <v>11</v>
      </c>
      <c r="E554" s="6">
        <v>45595</v>
      </c>
      <c r="F554" s="4" t="s">
        <v>15</v>
      </c>
      <c r="G554" s="4" t="s">
        <v>16</v>
      </c>
      <c r="H554" s="8" t="s">
        <v>41</v>
      </c>
      <c r="I554" s="5" t="s">
        <v>676</v>
      </c>
      <c r="J554" s="7"/>
      <c r="K554" s="15">
        <f>YEAR(Tabla1[[#This Row],[Fecha]])</f>
        <v>2024</v>
      </c>
      <c r="L554" s="15">
        <f>MONTH(Tabla1[[#This Row],[Fecha]])</f>
        <v>10</v>
      </c>
    </row>
    <row r="555" spans="2:12" hidden="1" x14ac:dyDescent="0.25">
      <c r="B555" s="5" t="s">
        <v>9</v>
      </c>
      <c r="C555" s="5" t="s">
        <v>102</v>
      </c>
      <c r="D555" s="5" t="s">
        <v>11</v>
      </c>
      <c r="E555" s="6">
        <v>45594</v>
      </c>
      <c r="F555" s="4" t="s">
        <v>91</v>
      </c>
      <c r="G555" s="4" t="s">
        <v>16</v>
      </c>
      <c r="H555" s="4" t="s">
        <v>34</v>
      </c>
      <c r="I555" s="36" t="s">
        <v>1723</v>
      </c>
      <c r="J555" s="5"/>
      <c r="K555" s="22">
        <f>YEAR(Tabla1[[#This Row],[Fecha]])</f>
        <v>2024</v>
      </c>
      <c r="L555" s="22">
        <f>MONTH(Tabla1[[#This Row],[Fecha]])</f>
        <v>10</v>
      </c>
    </row>
    <row r="556" spans="2:12" hidden="1" x14ac:dyDescent="0.25">
      <c r="B556" s="5" t="s">
        <v>9</v>
      </c>
      <c r="C556" s="5" t="s">
        <v>80</v>
      </c>
      <c r="D556" s="5" t="s">
        <v>131</v>
      </c>
      <c r="E556" s="6">
        <v>45594</v>
      </c>
      <c r="F556" s="4" t="s">
        <v>91</v>
      </c>
      <c r="G556" s="4" t="s">
        <v>16</v>
      </c>
      <c r="H556" s="8" t="s">
        <v>34</v>
      </c>
      <c r="I556" s="5" t="s">
        <v>1724</v>
      </c>
      <c r="J556" s="7"/>
      <c r="K556" s="15">
        <f>YEAR(Tabla1[[#This Row],[Fecha]])</f>
        <v>2024</v>
      </c>
      <c r="L556" s="15">
        <f>MONTH(Tabla1[[#This Row],[Fecha]])</f>
        <v>10</v>
      </c>
    </row>
    <row r="557" spans="2:12" hidden="1" x14ac:dyDescent="0.25">
      <c r="B557" s="5" t="s">
        <v>9</v>
      </c>
      <c r="C557" s="5" t="s">
        <v>68</v>
      </c>
      <c r="D557" s="5" t="s">
        <v>131</v>
      </c>
      <c r="E557" s="6">
        <v>45594</v>
      </c>
      <c r="F557" s="4" t="s">
        <v>91</v>
      </c>
      <c r="G557" s="4" t="s">
        <v>16</v>
      </c>
      <c r="H557" s="8" t="s">
        <v>34</v>
      </c>
      <c r="I557" s="5" t="s">
        <v>1724</v>
      </c>
      <c r="J557" s="7"/>
      <c r="K557" s="15">
        <f>YEAR(Tabla1[[#This Row],[Fecha]])</f>
        <v>2024</v>
      </c>
      <c r="L557" s="15">
        <f>MONTH(Tabla1[[#This Row],[Fecha]])</f>
        <v>10</v>
      </c>
    </row>
    <row r="558" spans="2:12" hidden="1" x14ac:dyDescent="0.25">
      <c r="B558" s="5" t="s">
        <v>9</v>
      </c>
      <c r="C558" s="5" t="s">
        <v>153</v>
      </c>
      <c r="D558" s="5" t="s">
        <v>131</v>
      </c>
      <c r="E558" s="6">
        <v>45594</v>
      </c>
      <c r="F558" s="4" t="s">
        <v>15</v>
      </c>
      <c r="G558" s="4" t="s">
        <v>16</v>
      </c>
      <c r="H558" s="4" t="s">
        <v>41</v>
      </c>
      <c r="I558" s="5" t="s">
        <v>1725</v>
      </c>
      <c r="J558" s="5"/>
      <c r="K558" s="22">
        <f>YEAR(Tabla1[[#This Row],[Fecha]])</f>
        <v>2024</v>
      </c>
      <c r="L558" s="22">
        <f>MONTH(Tabla1[[#This Row],[Fecha]])</f>
        <v>10</v>
      </c>
    </row>
    <row r="559" spans="2:12" hidden="1" x14ac:dyDescent="0.25">
      <c r="B559" s="5" t="s">
        <v>9</v>
      </c>
      <c r="C559" s="5" t="s">
        <v>62</v>
      </c>
      <c r="D559" s="5" t="s">
        <v>131</v>
      </c>
      <c r="E559" s="6">
        <v>45594</v>
      </c>
      <c r="F559" s="4" t="s">
        <v>91</v>
      </c>
      <c r="G559" s="4" t="s">
        <v>16</v>
      </c>
      <c r="H559" s="8" t="s">
        <v>34</v>
      </c>
      <c r="I559" s="5" t="s">
        <v>1726</v>
      </c>
      <c r="J559" s="7"/>
      <c r="K559" s="15">
        <f>YEAR(Tabla1[[#This Row],[Fecha]])</f>
        <v>2024</v>
      </c>
      <c r="L559" s="15">
        <f>MONTH(Tabla1[[#This Row],[Fecha]])</f>
        <v>10</v>
      </c>
    </row>
    <row r="560" spans="2:12" hidden="1" x14ac:dyDescent="0.25">
      <c r="B560" s="5" t="s">
        <v>9</v>
      </c>
      <c r="C560" s="5" t="s">
        <v>14</v>
      </c>
      <c r="D560" s="5" t="s">
        <v>131</v>
      </c>
      <c r="E560" s="6">
        <v>45594</v>
      </c>
      <c r="F560" s="4" t="s">
        <v>91</v>
      </c>
      <c r="G560" s="4" t="s">
        <v>16</v>
      </c>
      <c r="H560" s="8" t="s">
        <v>34</v>
      </c>
      <c r="I560" s="5" t="s">
        <v>1726</v>
      </c>
      <c r="J560" s="7"/>
      <c r="K560" s="15">
        <f>YEAR(Tabla1[[#This Row],[Fecha]])</f>
        <v>2024</v>
      </c>
      <c r="L560" s="15">
        <f>MONTH(Tabla1[[#This Row],[Fecha]])</f>
        <v>10</v>
      </c>
    </row>
    <row r="561" spans="2:12" hidden="1" x14ac:dyDescent="0.25">
      <c r="B561" s="5" t="s">
        <v>9</v>
      </c>
      <c r="C561" s="5" t="s">
        <v>102</v>
      </c>
      <c r="D561" s="5" t="s">
        <v>11</v>
      </c>
      <c r="E561" s="6">
        <v>45594</v>
      </c>
      <c r="F561" s="4" t="s">
        <v>91</v>
      </c>
      <c r="G561" s="4" t="s">
        <v>16</v>
      </c>
      <c r="H561" s="8" t="s">
        <v>34</v>
      </c>
      <c r="I561" s="5" t="s">
        <v>1726</v>
      </c>
      <c r="J561" s="7"/>
      <c r="K561" s="15">
        <f>YEAR(Tabla1[[#This Row],[Fecha]])</f>
        <v>2024</v>
      </c>
      <c r="L561" s="15">
        <f>MONTH(Tabla1[[#This Row],[Fecha]])</f>
        <v>10</v>
      </c>
    </row>
    <row r="562" spans="2:12" hidden="1" x14ac:dyDescent="0.25">
      <c r="B562" s="5" t="s">
        <v>9</v>
      </c>
      <c r="C562" s="5" t="s">
        <v>71</v>
      </c>
      <c r="D562" s="5" t="s">
        <v>11</v>
      </c>
      <c r="E562" s="6">
        <v>45594</v>
      </c>
      <c r="F562" s="4" t="s">
        <v>91</v>
      </c>
      <c r="G562" s="4" t="s">
        <v>16</v>
      </c>
      <c r="H562" s="8" t="s">
        <v>34</v>
      </c>
      <c r="I562" s="5" t="s">
        <v>1727</v>
      </c>
      <c r="J562" s="7"/>
      <c r="K562" s="15">
        <f>YEAR(Tabla1[[#This Row],[Fecha]])</f>
        <v>2024</v>
      </c>
      <c r="L562" s="15">
        <f>MONTH(Tabla1[[#This Row],[Fecha]])</f>
        <v>10</v>
      </c>
    </row>
    <row r="563" spans="2:12" hidden="1" x14ac:dyDescent="0.25">
      <c r="B563" s="5" t="s">
        <v>9</v>
      </c>
      <c r="C563" s="5" t="s">
        <v>93</v>
      </c>
      <c r="D563" s="5" t="s">
        <v>11</v>
      </c>
      <c r="E563" s="6">
        <v>45594</v>
      </c>
      <c r="F563" s="4" t="s">
        <v>91</v>
      </c>
      <c r="G563" s="4" t="s">
        <v>16</v>
      </c>
      <c r="H563" s="8" t="s">
        <v>34</v>
      </c>
      <c r="I563" s="5" t="s">
        <v>677</v>
      </c>
      <c r="J563" s="7"/>
      <c r="K563" s="15">
        <f>YEAR(Tabla1[[#This Row],[Fecha]])</f>
        <v>2024</v>
      </c>
      <c r="L563" s="15">
        <f>MONTH(Tabla1[[#This Row],[Fecha]])</f>
        <v>10</v>
      </c>
    </row>
    <row r="564" spans="2:12" hidden="1" x14ac:dyDescent="0.25">
      <c r="B564" s="5" t="s">
        <v>9</v>
      </c>
      <c r="C564" s="5" t="s">
        <v>82</v>
      </c>
      <c r="D564" s="5" t="s">
        <v>11</v>
      </c>
      <c r="E564" s="6">
        <v>45594</v>
      </c>
      <c r="F564" s="4" t="s">
        <v>91</v>
      </c>
      <c r="G564" s="4" t="s">
        <v>16</v>
      </c>
      <c r="H564" s="8" t="s">
        <v>34</v>
      </c>
      <c r="I564" s="5" t="s">
        <v>678</v>
      </c>
      <c r="J564" s="7"/>
      <c r="K564" s="15">
        <f>YEAR(Tabla1[[#This Row],[Fecha]])</f>
        <v>2024</v>
      </c>
      <c r="L564" s="15">
        <f>MONTH(Tabla1[[#This Row],[Fecha]])</f>
        <v>10</v>
      </c>
    </row>
    <row r="565" spans="2:12" hidden="1" x14ac:dyDescent="0.25">
      <c r="B565" s="5" t="s">
        <v>248</v>
      </c>
      <c r="C565" s="5" t="s">
        <v>499</v>
      </c>
      <c r="D565" s="5" t="s">
        <v>11</v>
      </c>
      <c r="E565" s="6">
        <v>45590</v>
      </c>
      <c r="F565" s="4" t="s">
        <v>91</v>
      </c>
      <c r="G565" s="4" t="s">
        <v>103</v>
      </c>
      <c r="H565" s="4" t="s">
        <v>298</v>
      </c>
      <c r="I565" s="5" t="s">
        <v>1818</v>
      </c>
      <c r="J565" s="5"/>
      <c r="K565" s="22">
        <f>YEAR(Tabla1[[#This Row],[Fecha]])</f>
        <v>2024</v>
      </c>
      <c r="L565" s="22">
        <f>MONTH(Tabla1[[#This Row],[Fecha]])</f>
        <v>10</v>
      </c>
    </row>
    <row r="566" spans="2:12" hidden="1" x14ac:dyDescent="0.25">
      <c r="B566" s="5" t="s">
        <v>248</v>
      </c>
      <c r="C566" s="5" t="s">
        <v>499</v>
      </c>
      <c r="D566" s="5" t="s">
        <v>11</v>
      </c>
      <c r="E566" s="6">
        <v>45590</v>
      </c>
      <c r="F566" s="11" t="s">
        <v>15</v>
      </c>
      <c r="G566" s="11" t="s">
        <v>16</v>
      </c>
      <c r="H566" s="11" t="s">
        <v>74</v>
      </c>
      <c r="I566" s="11" t="s">
        <v>501</v>
      </c>
      <c r="J566" s="5"/>
      <c r="K566" s="22">
        <f>YEAR(Tabla1[[#This Row],[Fecha]])</f>
        <v>2024</v>
      </c>
      <c r="L566" s="22">
        <f>MONTH(Tabla1[[#This Row],[Fecha]])</f>
        <v>10</v>
      </c>
    </row>
    <row r="567" spans="2:12" hidden="1" x14ac:dyDescent="0.25">
      <c r="B567" s="5" t="s">
        <v>248</v>
      </c>
      <c r="C567" s="5" t="s">
        <v>249</v>
      </c>
      <c r="D567" s="5" t="s">
        <v>11</v>
      </c>
      <c r="E567" s="6">
        <v>45590</v>
      </c>
      <c r="F567" s="4" t="s">
        <v>15</v>
      </c>
      <c r="G567" s="4" t="s">
        <v>24</v>
      </c>
      <c r="H567" s="29" t="s">
        <v>333</v>
      </c>
      <c r="I567" s="5" t="s">
        <v>617</v>
      </c>
      <c r="J567" s="5"/>
      <c r="K567" s="15">
        <f>YEAR(Tabla1[[#This Row],[Fecha]])</f>
        <v>2024</v>
      </c>
      <c r="L567" s="15">
        <f>MONTH(Tabla1[[#This Row],[Fecha]])</f>
        <v>10</v>
      </c>
    </row>
    <row r="568" spans="2:12" hidden="1" x14ac:dyDescent="0.25">
      <c r="B568" s="5" t="s">
        <v>45</v>
      </c>
      <c r="C568" s="5" t="s">
        <v>46</v>
      </c>
      <c r="D568" s="5" t="s">
        <v>11</v>
      </c>
      <c r="E568" s="6">
        <v>45588</v>
      </c>
      <c r="F568" s="4" t="s">
        <v>15</v>
      </c>
      <c r="G568" s="4" t="s">
        <v>36</v>
      </c>
      <c r="H568" s="4" t="s">
        <v>37</v>
      </c>
      <c r="I568" s="5" t="s">
        <v>495</v>
      </c>
      <c r="J568" s="5"/>
      <c r="K568" s="22">
        <f>YEAR(Tabla1[[#This Row],[Fecha]])</f>
        <v>2024</v>
      </c>
      <c r="L568" s="22">
        <f>MONTH(Tabla1[[#This Row],[Fecha]])</f>
        <v>10</v>
      </c>
    </row>
    <row r="569" spans="2:12" hidden="1" x14ac:dyDescent="0.25">
      <c r="B569" s="5" t="s">
        <v>27</v>
      </c>
      <c r="C569" s="5" t="s">
        <v>28</v>
      </c>
      <c r="D569" s="5" t="s">
        <v>11</v>
      </c>
      <c r="E569" s="6">
        <v>45587</v>
      </c>
      <c r="F569" s="4" t="s">
        <v>15</v>
      </c>
      <c r="G569" s="4" t="s">
        <v>24</v>
      </c>
      <c r="H569" s="8" t="s">
        <v>1773</v>
      </c>
      <c r="I569" s="5" t="s">
        <v>1719</v>
      </c>
      <c r="J569" s="7"/>
      <c r="K569" s="15">
        <f>YEAR(Tabla1[[#This Row],[Fecha]])</f>
        <v>2024</v>
      </c>
      <c r="L569" s="15">
        <f>MONTH(Tabla1[[#This Row],[Fecha]])</f>
        <v>10</v>
      </c>
    </row>
    <row r="570" spans="2:12" hidden="1" x14ac:dyDescent="0.25">
      <c r="B570" s="5" t="s">
        <v>193</v>
      </c>
      <c r="C570" s="5" t="s">
        <v>407</v>
      </c>
      <c r="D570" s="5" t="s">
        <v>131</v>
      </c>
      <c r="E570" s="6">
        <v>45583</v>
      </c>
      <c r="F570" s="4" t="s">
        <v>91</v>
      </c>
      <c r="G570" s="4" t="s">
        <v>103</v>
      </c>
      <c r="H570" s="8" t="s">
        <v>298</v>
      </c>
      <c r="I570" s="5" t="s">
        <v>625</v>
      </c>
      <c r="J570" s="5"/>
      <c r="K570" s="15">
        <f>YEAR(Tabla1[[#This Row],[Fecha]])</f>
        <v>2024</v>
      </c>
      <c r="L570" s="15">
        <f>MONTH(Tabla1[[#This Row],[Fecha]])</f>
        <v>10</v>
      </c>
    </row>
    <row r="571" spans="2:12" hidden="1" x14ac:dyDescent="0.25">
      <c r="B571" s="5" t="s">
        <v>181</v>
      </c>
      <c r="C571" s="5" t="s">
        <v>274</v>
      </c>
      <c r="D571" s="5" t="s">
        <v>11</v>
      </c>
      <c r="E571" s="6">
        <v>45581</v>
      </c>
      <c r="F571" s="4" t="s">
        <v>15</v>
      </c>
      <c r="G571" s="4" t="s">
        <v>24</v>
      </c>
      <c r="H571" s="4" t="s">
        <v>1773</v>
      </c>
      <c r="I571" s="5" t="s">
        <v>618</v>
      </c>
      <c r="J571" s="5"/>
      <c r="K571" s="22">
        <f>YEAR(Tabla1[[#This Row],[Fecha]])</f>
        <v>2024</v>
      </c>
      <c r="L571" s="22">
        <f>MONTH(Tabla1[[#This Row],[Fecha]])</f>
        <v>10</v>
      </c>
    </row>
    <row r="572" spans="2:12" hidden="1" x14ac:dyDescent="0.25">
      <c r="B572" s="5" t="s">
        <v>206</v>
      </c>
      <c r="C572" s="5" t="s">
        <v>207</v>
      </c>
      <c r="D572" s="5" t="s">
        <v>11</v>
      </c>
      <c r="E572" s="6">
        <v>45580</v>
      </c>
      <c r="F572" s="4" t="s">
        <v>15</v>
      </c>
      <c r="G572" s="4" t="s">
        <v>135</v>
      </c>
      <c r="H572" s="4" t="s">
        <v>37</v>
      </c>
      <c r="I572" s="5" t="s">
        <v>491</v>
      </c>
      <c r="J572" s="5"/>
      <c r="K572" s="22">
        <f>YEAR(Tabla1[[#This Row],[Fecha]])</f>
        <v>2024</v>
      </c>
      <c r="L572" s="22">
        <f>MONTH(Tabla1[[#This Row],[Fecha]])</f>
        <v>10</v>
      </c>
    </row>
    <row r="573" spans="2:12" hidden="1" x14ac:dyDescent="0.25">
      <c r="B573" s="5" t="s">
        <v>206</v>
      </c>
      <c r="C573" s="5" t="s">
        <v>207</v>
      </c>
      <c r="D573" s="5" t="s">
        <v>11</v>
      </c>
      <c r="E573" s="6">
        <v>45580</v>
      </c>
      <c r="F573" s="4" t="s">
        <v>15</v>
      </c>
      <c r="G573" s="4" t="s">
        <v>16</v>
      </c>
      <c r="H573" s="8" t="s">
        <v>74</v>
      </c>
      <c r="I573" s="5" t="s">
        <v>1815</v>
      </c>
      <c r="J573" s="5"/>
      <c r="K573" s="15">
        <f>YEAR(Tabla1[[#This Row],[Fecha]])</f>
        <v>2024</v>
      </c>
      <c r="L573" s="15">
        <f>MONTH(Tabla1[[#This Row],[Fecha]])</f>
        <v>10</v>
      </c>
    </row>
    <row r="574" spans="2:12" hidden="1" x14ac:dyDescent="0.25">
      <c r="B574" s="5" t="s">
        <v>248</v>
      </c>
      <c r="C574" s="5" t="s">
        <v>499</v>
      </c>
      <c r="D574" s="5" t="s">
        <v>11</v>
      </c>
      <c r="E574" s="6">
        <v>45580</v>
      </c>
      <c r="F574" s="4" t="s">
        <v>15</v>
      </c>
      <c r="G574" s="4" t="s">
        <v>16</v>
      </c>
      <c r="H574" s="2" t="s">
        <v>74</v>
      </c>
      <c r="I574" s="36" t="s">
        <v>500</v>
      </c>
      <c r="J574" s="5"/>
      <c r="K574" s="22">
        <f>YEAR(Tabla1[[#This Row],[Fecha]])</f>
        <v>2024</v>
      </c>
      <c r="L574" s="22">
        <f>MONTH(Tabla1[[#This Row],[Fecha]])</f>
        <v>10</v>
      </c>
    </row>
    <row r="575" spans="2:12" hidden="1" x14ac:dyDescent="0.25">
      <c r="B575" s="5" t="s">
        <v>248</v>
      </c>
      <c r="C575" s="5" t="s">
        <v>249</v>
      </c>
      <c r="D575" s="5" t="s">
        <v>11</v>
      </c>
      <c r="E575" s="6">
        <v>45580</v>
      </c>
      <c r="F575" s="4" t="s">
        <v>15</v>
      </c>
      <c r="G575" s="4" t="s">
        <v>16</v>
      </c>
      <c r="H575" s="2" t="s">
        <v>74</v>
      </c>
      <c r="I575" s="36" t="s">
        <v>616</v>
      </c>
      <c r="J575" s="5"/>
      <c r="K575" s="22">
        <f>YEAR(Tabla1[[#This Row],[Fecha]])</f>
        <v>2024</v>
      </c>
      <c r="L575" s="22">
        <f>MONTH(Tabla1[[#This Row],[Fecha]])</f>
        <v>10</v>
      </c>
    </row>
    <row r="576" spans="2:12" hidden="1" x14ac:dyDescent="0.25">
      <c r="B576" s="5" t="s">
        <v>248</v>
      </c>
      <c r="C576" s="5" t="s">
        <v>249</v>
      </c>
      <c r="D576" s="5" t="s">
        <v>11</v>
      </c>
      <c r="E576" s="6">
        <v>45576</v>
      </c>
      <c r="F576" s="4" t="s">
        <v>91</v>
      </c>
      <c r="G576" s="4" t="s">
        <v>103</v>
      </c>
      <c r="H576" s="8" t="s">
        <v>298</v>
      </c>
      <c r="I576" s="5" t="s">
        <v>1711</v>
      </c>
      <c r="J576" s="5"/>
      <c r="K576" s="15">
        <f>YEAR(Tabla1[[#This Row],[Fecha]])</f>
        <v>2024</v>
      </c>
      <c r="L576" s="15">
        <f>MONTH(Tabla1[[#This Row],[Fecha]])</f>
        <v>10</v>
      </c>
    </row>
    <row r="577" spans="2:12" hidden="1" x14ac:dyDescent="0.25">
      <c r="B577" s="5" t="s">
        <v>309</v>
      </c>
      <c r="C577" s="5" t="s">
        <v>318</v>
      </c>
      <c r="D577" s="5" t="s">
        <v>11</v>
      </c>
      <c r="E577" s="6">
        <v>45574</v>
      </c>
      <c r="F577" s="4" t="s">
        <v>15</v>
      </c>
      <c r="G577" s="4" t="s">
        <v>16</v>
      </c>
      <c r="H577" s="8" t="s">
        <v>74</v>
      </c>
      <c r="I577" s="5" t="s">
        <v>526</v>
      </c>
      <c r="J577" s="7"/>
      <c r="K577" s="15">
        <f>YEAR(Tabla1[[#This Row],[Fecha]])</f>
        <v>2024</v>
      </c>
      <c r="L577" s="15">
        <f>MONTH(Tabla1[[#This Row],[Fecha]])</f>
        <v>10</v>
      </c>
    </row>
    <row r="578" spans="2:12" hidden="1" x14ac:dyDescent="0.25">
      <c r="B578" s="5" t="s">
        <v>309</v>
      </c>
      <c r="C578" s="5" t="s">
        <v>371</v>
      </c>
      <c r="D578" s="5" t="s">
        <v>11</v>
      </c>
      <c r="E578" s="6">
        <v>45574</v>
      </c>
      <c r="F578" s="4" t="s">
        <v>91</v>
      </c>
      <c r="G578" s="4" t="s">
        <v>303</v>
      </c>
      <c r="H578" s="4" t="s">
        <v>431</v>
      </c>
      <c r="I578" s="5" t="s">
        <v>613</v>
      </c>
      <c r="J578" s="5"/>
      <c r="K578" s="22">
        <f>YEAR(Tabla1[[#This Row],[Fecha]])</f>
        <v>2024</v>
      </c>
      <c r="L578" s="22">
        <f>MONTH(Tabla1[[#This Row],[Fecha]])</f>
        <v>10</v>
      </c>
    </row>
    <row r="579" spans="2:12" hidden="1" x14ac:dyDescent="0.25">
      <c r="B579" s="5" t="s">
        <v>181</v>
      </c>
      <c r="C579" s="5" t="s">
        <v>182</v>
      </c>
      <c r="D579" s="5" t="s">
        <v>11</v>
      </c>
      <c r="E579" s="6">
        <v>45574</v>
      </c>
      <c r="F579" s="4" t="s">
        <v>91</v>
      </c>
      <c r="G579" s="4" t="s">
        <v>103</v>
      </c>
      <c r="H579" s="4" t="s">
        <v>298</v>
      </c>
      <c r="I579" s="5" t="s">
        <v>619</v>
      </c>
      <c r="J579" s="5"/>
      <c r="K579" s="22">
        <f>YEAR(Tabla1[[#This Row],[Fecha]])</f>
        <v>2024</v>
      </c>
      <c r="L579" s="22">
        <f>MONTH(Tabla1[[#This Row],[Fecha]])</f>
        <v>10</v>
      </c>
    </row>
    <row r="580" spans="2:12" hidden="1" x14ac:dyDescent="0.25">
      <c r="B580" s="5" t="s">
        <v>32</v>
      </c>
      <c r="C580" s="5" t="s">
        <v>33</v>
      </c>
      <c r="D580" s="5" t="s">
        <v>11</v>
      </c>
      <c r="E580" s="6">
        <v>45574</v>
      </c>
      <c r="F580" s="4" t="s">
        <v>91</v>
      </c>
      <c r="G580" s="4" t="s">
        <v>103</v>
      </c>
      <c r="H580" s="8" t="s">
        <v>298</v>
      </c>
      <c r="I580" s="5" t="s">
        <v>630</v>
      </c>
      <c r="J580" s="7"/>
      <c r="K580" s="15">
        <f>YEAR(Tabla1[[#This Row],[Fecha]])</f>
        <v>2024</v>
      </c>
      <c r="L580" s="15">
        <f>MONTH(Tabla1[[#This Row],[Fecha]])</f>
        <v>10</v>
      </c>
    </row>
    <row r="581" spans="2:12" hidden="1" x14ac:dyDescent="0.25">
      <c r="B581" s="5" t="s">
        <v>248</v>
      </c>
      <c r="C581" s="5" t="s">
        <v>249</v>
      </c>
      <c r="D581" s="5" t="s">
        <v>11</v>
      </c>
      <c r="E581" s="6">
        <v>45570</v>
      </c>
      <c r="F581" s="4" t="s">
        <v>15</v>
      </c>
      <c r="G581" s="4" t="s">
        <v>24</v>
      </c>
      <c r="H581" s="4" t="s">
        <v>1773</v>
      </c>
      <c r="I581" s="5" t="s">
        <v>615</v>
      </c>
      <c r="J581" s="5"/>
      <c r="K581" s="22">
        <f>YEAR(Tabla1[[#This Row],[Fecha]])</f>
        <v>2024</v>
      </c>
      <c r="L581" s="22">
        <f>MONTH(Tabla1[[#This Row],[Fecha]])</f>
        <v>10</v>
      </c>
    </row>
    <row r="582" spans="2:12" hidden="1" x14ac:dyDescent="0.25">
      <c r="B582" s="5" t="s">
        <v>309</v>
      </c>
      <c r="C582" s="5" t="s">
        <v>320</v>
      </c>
      <c r="D582" s="5" t="s">
        <v>11</v>
      </c>
      <c r="E582" s="6">
        <v>45566</v>
      </c>
      <c r="F582" s="4" t="s">
        <v>15</v>
      </c>
      <c r="G582" s="4" t="s">
        <v>16</v>
      </c>
      <c r="H582" s="4" t="s">
        <v>97</v>
      </c>
      <c r="I582" s="5" t="s">
        <v>507</v>
      </c>
      <c r="J582" s="5"/>
      <c r="K582" s="22">
        <f>YEAR(Tabla1[[#This Row],[Fecha]])</f>
        <v>2024</v>
      </c>
      <c r="L582" s="22">
        <f>MONTH(Tabla1[[#This Row],[Fecha]])</f>
        <v>10</v>
      </c>
    </row>
    <row r="583" spans="2:12" hidden="1" x14ac:dyDescent="0.25">
      <c r="B583" s="5" t="s">
        <v>309</v>
      </c>
      <c r="C583" s="5" t="s">
        <v>369</v>
      </c>
      <c r="D583" s="5" t="s">
        <v>11</v>
      </c>
      <c r="E583" s="6">
        <v>45565</v>
      </c>
      <c r="F583" s="4" t="s">
        <v>15</v>
      </c>
      <c r="G583" s="4" t="s">
        <v>47</v>
      </c>
      <c r="H583" s="4" t="s">
        <v>1793</v>
      </c>
      <c r="I583" s="5" t="s">
        <v>511</v>
      </c>
      <c r="J583" s="5"/>
      <c r="K583" s="22">
        <f>YEAR(Tabla1[[#This Row],[Fecha]])</f>
        <v>2024</v>
      </c>
      <c r="L583" s="22">
        <f>MONTH(Tabla1[[#This Row],[Fecha]])</f>
        <v>9</v>
      </c>
    </row>
    <row r="584" spans="2:12" hidden="1" x14ac:dyDescent="0.25">
      <c r="B584" s="5" t="s">
        <v>309</v>
      </c>
      <c r="C584" s="5" t="s">
        <v>369</v>
      </c>
      <c r="D584" s="5" t="s">
        <v>11</v>
      </c>
      <c r="E584" s="6">
        <v>45562</v>
      </c>
      <c r="F584" s="4" t="s">
        <v>91</v>
      </c>
      <c r="G584" s="4" t="s">
        <v>303</v>
      </c>
      <c r="H584" s="4" t="s">
        <v>431</v>
      </c>
      <c r="I584" s="5" t="s">
        <v>518</v>
      </c>
      <c r="J584" s="5"/>
      <c r="K584" s="22">
        <f>YEAR(Tabla1[[#This Row],[Fecha]])</f>
        <v>2024</v>
      </c>
      <c r="L584" s="22">
        <f>MONTH(Tabla1[[#This Row],[Fecha]])</f>
        <v>9</v>
      </c>
    </row>
    <row r="585" spans="2:12" hidden="1" x14ac:dyDescent="0.25">
      <c r="B585" s="5" t="s">
        <v>309</v>
      </c>
      <c r="C585" s="5" t="s">
        <v>367</v>
      </c>
      <c r="D585" s="5" t="s">
        <v>131</v>
      </c>
      <c r="E585" s="6">
        <v>45560</v>
      </c>
      <c r="F585" s="4" t="s">
        <v>91</v>
      </c>
      <c r="G585" s="4" t="s">
        <v>303</v>
      </c>
      <c r="H585" s="20" t="s">
        <v>434</v>
      </c>
      <c r="I585" s="5" t="s">
        <v>508</v>
      </c>
      <c r="J585" s="5"/>
      <c r="K585" s="22">
        <f>YEAR(Tabla1[[#This Row],[Fecha]])</f>
        <v>2024</v>
      </c>
      <c r="L585" s="22">
        <f>MONTH(Tabla1[[#This Row],[Fecha]])</f>
        <v>9</v>
      </c>
    </row>
    <row r="586" spans="2:12" hidden="1" x14ac:dyDescent="0.25">
      <c r="B586" s="5" t="s">
        <v>39</v>
      </c>
      <c r="C586" s="5" t="s">
        <v>40</v>
      </c>
      <c r="D586" s="5" t="s">
        <v>11</v>
      </c>
      <c r="E586" s="6">
        <v>45558</v>
      </c>
      <c r="F586" s="4" t="s">
        <v>91</v>
      </c>
      <c r="G586" s="4" t="s">
        <v>303</v>
      </c>
      <c r="H586" s="8" t="s">
        <v>359</v>
      </c>
      <c r="I586" s="5" t="s">
        <v>1808</v>
      </c>
      <c r="J586" s="5"/>
      <c r="K586" s="15">
        <f>YEAR(Tabla1[[#This Row],[Fecha]])</f>
        <v>2024</v>
      </c>
      <c r="L586" s="15">
        <f>MONTH(Tabla1[[#This Row],[Fecha]])</f>
        <v>9</v>
      </c>
    </row>
    <row r="587" spans="2:12" hidden="1" x14ac:dyDescent="0.25">
      <c r="B587" s="5" t="s">
        <v>309</v>
      </c>
      <c r="C587" s="5" t="s">
        <v>371</v>
      </c>
      <c r="D587" s="5" t="s">
        <v>11</v>
      </c>
      <c r="E587" s="6">
        <v>45548</v>
      </c>
      <c r="F587" s="4" t="s">
        <v>91</v>
      </c>
      <c r="G587" s="4" t="s">
        <v>303</v>
      </c>
      <c r="H587" s="20" t="s">
        <v>434</v>
      </c>
      <c r="I587" s="5" t="s">
        <v>509</v>
      </c>
      <c r="J587" s="5"/>
      <c r="K587" s="22">
        <f>YEAR(Tabla1[[#This Row],[Fecha]])</f>
        <v>2024</v>
      </c>
      <c r="L587" s="22">
        <f>MONTH(Tabla1[[#This Row],[Fecha]])</f>
        <v>9</v>
      </c>
    </row>
    <row r="588" spans="2:12" hidden="1" x14ac:dyDescent="0.25">
      <c r="B588" s="5" t="s">
        <v>309</v>
      </c>
      <c r="C588" s="5" t="s">
        <v>371</v>
      </c>
      <c r="D588" s="5" t="s">
        <v>11</v>
      </c>
      <c r="E588" s="6">
        <v>45548</v>
      </c>
      <c r="F588" s="4" t="s">
        <v>91</v>
      </c>
      <c r="G588" s="4" t="s">
        <v>303</v>
      </c>
      <c r="H588" s="20" t="s">
        <v>434</v>
      </c>
      <c r="I588" s="5" t="s">
        <v>510</v>
      </c>
      <c r="J588" s="5"/>
      <c r="K588" s="22">
        <f>YEAR(Tabla1[[#This Row],[Fecha]])</f>
        <v>2024</v>
      </c>
      <c r="L588" s="22">
        <f>MONTH(Tabla1[[#This Row],[Fecha]])</f>
        <v>9</v>
      </c>
    </row>
    <row r="589" spans="2:12" hidden="1" x14ac:dyDescent="0.25">
      <c r="B589" s="5" t="s">
        <v>309</v>
      </c>
      <c r="C589" s="5" t="s">
        <v>369</v>
      </c>
      <c r="D589" s="5" t="s">
        <v>11</v>
      </c>
      <c r="E589" s="6">
        <v>45548</v>
      </c>
      <c r="F589" s="4" t="s">
        <v>91</v>
      </c>
      <c r="G589" s="4" t="s">
        <v>303</v>
      </c>
      <c r="H589" s="20" t="s">
        <v>434</v>
      </c>
      <c r="I589" s="5" t="s">
        <v>517</v>
      </c>
      <c r="J589" s="5"/>
      <c r="K589" s="22">
        <f>YEAR(Tabla1[[#This Row],[Fecha]])</f>
        <v>2024</v>
      </c>
      <c r="L589" s="22">
        <f>MONTH(Tabla1[[#This Row],[Fecha]])</f>
        <v>9</v>
      </c>
    </row>
    <row r="590" spans="2:12" hidden="1" x14ac:dyDescent="0.25">
      <c r="B590" s="5" t="s">
        <v>309</v>
      </c>
      <c r="C590" s="5" t="s">
        <v>369</v>
      </c>
      <c r="D590" s="5" t="s">
        <v>131</v>
      </c>
      <c r="E590" s="6">
        <v>45546</v>
      </c>
      <c r="F590" s="4" t="s">
        <v>91</v>
      </c>
      <c r="G590" s="4" t="s">
        <v>303</v>
      </c>
      <c r="H590" s="20" t="s">
        <v>434</v>
      </c>
      <c r="I590" s="5" t="s">
        <v>519</v>
      </c>
      <c r="J590" s="5"/>
      <c r="K590" s="22">
        <f>YEAR(Tabla1[[#This Row],[Fecha]])</f>
        <v>2024</v>
      </c>
      <c r="L590" s="22">
        <f>MONTH(Tabla1[[#This Row],[Fecha]])</f>
        <v>9</v>
      </c>
    </row>
    <row r="591" spans="2:12" hidden="1" x14ac:dyDescent="0.25">
      <c r="B591" s="5" t="s">
        <v>309</v>
      </c>
      <c r="C591" s="5" t="s">
        <v>369</v>
      </c>
      <c r="D591" s="5" t="s">
        <v>131</v>
      </c>
      <c r="E591" s="6">
        <v>45546</v>
      </c>
      <c r="F591" s="4" t="s">
        <v>91</v>
      </c>
      <c r="G591" s="4" t="s">
        <v>303</v>
      </c>
      <c r="H591" s="20" t="s">
        <v>434</v>
      </c>
      <c r="I591" s="5" t="s">
        <v>603</v>
      </c>
      <c r="J591" s="5"/>
      <c r="K591" s="22">
        <f>YEAR(Tabla1[[#This Row],[Fecha]])</f>
        <v>2024</v>
      </c>
      <c r="L591" s="22">
        <f>MONTH(Tabla1[[#This Row],[Fecha]])</f>
        <v>9</v>
      </c>
    </row>
    <row r="592" spans="2:12" hidden="1" x14ac:dyDescent="0.25">
      <c r="B592" s="5" t="s">
        <v>45</v>
      </c>
      <c r="C592" s="5" t="s">
        <v>46</v>
      </c>
      <c r="D592" s="5" t="s">
        <v>11</v>
      </c>
      <c r="E592" s="6">
        <v>45545</v>
      </c>
      <c r="F592" s="4" t="s">
        <v>15</v>
      </c>
      <c r="G592" s="4" t="s">
        <v>135</v>
      </c>
      <c r="H592" s="8" t="s">
        <v>245</v>
      </c>
      <c r="I592" s="5" t="s">
        <v>493</v>
      </c>
      <c r="J592" s="7"/>
      <c r="K592" s="15">
        <f>YEAR(Tabla1[[#This Row],[Fecha]])</f>
        <v>2024</v>
      </c>
      <c r="L592" s="15">
        <f>MONTH(Tabla1[[#This Row],[Fecha]])</f>
        <v>9</v>
      </c>
    </row>
    <row r="593" spans="2:12" hidden="1" x14ac:dyDescent="0.25">
      <c r="B593" s="5" t="s">
        <v>45</v>
      </c>
      <c r="C593" s="5" t="s">
        <v>46</v>
      </c>
      <c r="D593" s="5" t="s">
        <v>131</v>
      </c>
      <c r="E593" s="6">
        <v>45545</v>
      </c>
      <c r="F593" s="4" t="s">
        <v>15</v>
      </c>
      <c r="G593" s="4" t="s">
        <v>135</v>
      </c>
      <c r="H593" s="8" t="s">
        <v>245</v>
      </c>
      <c r="I593" s="5" t="s">
        <v>1800</v>
      </c>
      <c r="J593" s="5"/>
      <c r="K593" s="15">
        <f>YEAR(Tabla1[[#This Row],[Fecha]])</f>
        <v>2024</v>
      </c>
      <c r="L593" s="15">
        <f>MONTH(Tabla1[[#This Row],[Fecha]])</f>
        <v>9</v>
      </c>
    </row>
    <row r="594" spans="2:12" hidden="1" x14ac:dyDescent="0.25">
      <c r="B594" s="5" t="s">
        <v>9</v>
      </c>
      <c r="C594" s="5" t="s">
        <v>68</v>
      </c>
      <c r="D594" s="5" t="s">
        <v>131</v>
      </c>
      <c r="E594" s="6">
        <v>45545</v>
      </c>
      <c r="F594" s="4" t="s">
        <v>91</v>
      </c>
      <c r="G594" s="4" t="s">
        <v>103</v>
      </c>
      <c r="H594" s="8" t="s">
        <v>118</v>
      </c>
      <c r="I594" s="5" t="s">
        <v>679</v>
      </c>
      <c r="J594" s="7"/>
      <c r="K594" s="15">
        <f>YEAR(Tabla1[[#This Row],[Fecha]])</f>
        <v>2024</v>
      </c>
      <c r="L594" s="15">
        <f>MONTH(Tabla1[[#This Row],[Fecha]])</f>
        <v>9</v>
      </c>
    </row>
    <row r="595" spans="2:12" hidden="1" x14ac:dyDescent="0.25">
      <c r="B595" s="5" t="s">
        <v>9</v>
      </c>
      <c r="C595" s="5" t="s">
        <v>102</v>
      </c>
      <c r="D595" s="5" t="s">
        <v>131</v>
      </c>
      <c r="E595" s="6">
        <v>45545</v>
      </c>
      <c r="F595" s="4" t="s">
        <v>91</v>
      </c>
      <c r="G595" s="4" t="s">
        <v>103</v>
      </c>
      <c r="H595" s="8" t="s">
        <v>118</v>
      </c>
      <c r="I595" s="5" t="s">
        <v>680</v>
      </c>
      <c r="J595" s="7"/>
      <c r="K595" s="15">
        <f>YEAR(Tabla1[[#This Row],[Fecha]])</f>
        <v>2024</v>
      </c>
      <c r="L595" s="15">
        <f>MONTH(Tabla1[[#This Row],[Fecha]])</f>
        <v>9</v>
      </c>
    </row>
    <row r="596" spans="2:12" hidden="1" x14ac:dyDescent="0.25">
      <c r="B596" s="5" t="s">
        <v>309</v>
      </c>
      <c r="C596" s="5" t="s">
        <v>367</v>
      </c>
      <c r="D596" s="5" t="s">
        <v>11</v>
      </c>
      <c r="E596" s="6">
        <v>45544</v>
      </c>
      <c r="F596" s="4" t="s">
        <v>91</v>
      </c>
      <c r="G596" s="4" t="s">
        <v>16</v>
      </c>
      <c r="H596" s="4" t="s">
        <v>431</v>
      </c>
      <c r="I596" s="5" t="s">
        <v>513</v>
      </c>
      <c r="J596" s="5"/>
      <c r="K596" s="22">
        <f>YEAR(Tabla1[[#This Row],[Fecha]])</f>
        <v>2024</v>
      </c>
      <c r="L596" s="22">
        <f>MONTH(Tabla1[[#This Row],[Fecha]])</f>
        <v>9</v>
      </c>
    </row>
    <row r="597" spans="2:12" hidden="1" x14ac:dyDescent="0.25">
      <c r="B597" s="5" t="s">
        <v>309</v>
      </c>
      <c r="C597" s="5" t="s">
        <v>369</v>
      </c>
      <c r="D597" s="5" t="s">
        <v>11</v>
      </c>
      <c r="E597" s="6">
        <v>45544</v>
      </c>
      <c r="F597" s="4" t="s">
        <v>91</v>
      </c>
      <c r="G597" s="4" t="s">
        <v>16</v>
      </c>
      <c r="H597" s="4" t="s">
        <v>431</v>
      </c>
      <c r="I597" s="5" t="s">
        <v>514</v>
      </c>
      <c r="J597" s="5"/>
      <c r="K597" s="22">
        <f>YEAR(Tabla1[[#This Row],[Fecha]])</f>
        <v>2024</v>
      </c>
      <c r="L597" s="22">
        <f>MONTH(Tabla1[[#This Row],[Fecha]])</f>
        <v>9</v>
      </c>
    </row>
    <row r="598" spans="2:12" hidden="1" x14ac:dyDescent="0.25">
      <c r="B598" s="5" t="s">
        <v>309</v>
      </c>
      <c r="C598" s="5" t="s">
        <v>371</v>
      </c>
      <c r="D598" s="5" t="s">
        <v>11</v>
      </c>
      <c r="E598" s="6">
        <v>45544</v>
      </c>
      <c r="F598" s="4" t="s">
        <v>91</v>
      </c>
      <c r="G598" s="4" t="s">
        <v>303</v>
      </c>
      <c r="H598" s="4" t="s">
        <v>431</v>
      </c>
      <c r="I598" s="5" t="s">
        <v>525</v>
      </c>
      <c r="J598" s="5"/>
      <c r="K598" s="22">
        <f>YEAR(Tabla1[[#This Row],[Fecha]])</f>
        <v>2024</v>
      </c>
      <c r="L598" s="22">
        <f>MONTH(Tabla1[[#This Row],[Fecha]])</f>
        <v>9</v>
      </c>
    </row>
    <row r="599" spans="2:12" hidden="1" x14ac:dyDescent="0.25">
      <c r="B599" s="5" t="s">
        <v>309</v>
      </c>
      <c r="C599" s="5" t="s">
        <v>318</v>
      </c>
      <c r="D599" s="5" t="s">
        <v>11</v>
      </c>
      <c r="E599" s="6">
        <v>45544</v>
      </c>
      <c r="F599" s="4" t="s">
        <v>15</v>
      </c>
      <c r="G599" s="4" t="s">
        <v>24</v>
      </c>
      <c r="H599" s="8" t="s">
        <v>333</v>
      </c>
      <c r="I599" s="5" t="s">
        <v>1809</v>
      </c>
      <c r="J599" s="5"/>
      <c r="K599" s="15">
        <f>YEAR(Tabla1[[#This Row],[Fecha]])</f>
        <v>2024</v>
      </c>
      <c r="L599" s="15">
        <f>MONTH(Tabla1[[#This Row],[Fecha]])</f>
        <v>9</v>
      </c>
    </row>
    <row r="600" spans="2:12" hidden="1" x14ac:dyDescent="0.25">
      <c r="B600" s="5" t="s">
        <v>309</v>
      </c>
      <c r="C600" s="5" t="s">
        <v>320</v>
      </c>
      <c r="D600" s="5" t="s">
        <v>11</v>
      </c>
      <c r="E600" s="6">
        <v>45534</v>
      </c>
      <c r="F600" s="4" t="s">
        <v>15</v>
      </c>
      <c r="G600" s="4" t="s">
        <v>16</v>
      </c>
      <c r="H600" s="4" t="s">
        <v>97</v>
      </c>
      <c r="I600" s="5" t="s">
        <v>512</v>
      </c>
      <c r="J600" s="5"/>
      <c r="K600" s="22">
        <f>YEAR(Tabla1[[#This Row],[Fecha]])</f>
        <v>2024</v>
      </c>
      <c r="L600" s="22">
        <f>MONTH(Tabla1[[#This Row],[Fecha]])</f>
        <v>8</v>
      </c>
    </row>
    <row r="601" spans="2:12" hidden="1" x14ac:dyDescent="0.25">
      <c r="B601" s="5" t="s">
        <v>381</v>
      </c>
      <c r="C601" s="5" t="s">
        <v>382</v>
      </c>
      <c r="D601" s="5" t="s">
        <v>131</v>
      </c>
      <c r="E601" s="6">
        <v>45533</v>
      </c>
      <c r="F601" s="4" t="s">
        <v>91</v>
      </c>
      <c r="G601" s="4" t="s">
        <v>303</v>
      </c>
      <c r="H601" s="4" t="s">
        <v>304</v>
      </c>
      <c r="I601" s="5" t="s">
        <v>621</v>
      </c>
      <c r="J601" s="5"/>
      <c r="K601" s="22">
        <f>YEAR(Tabla1[[#This Row],[Fecha]])</f>
        <v>2024</v>
      </c>
      <c r="L601" s="22">
        <f>MONTH(Tabla1[[#This Row],[Fecha]])</f>
        <v>8</v>
      </c>
    </row>
    <row r="602" spans="2:12" hidden="1" x14ac:dyDescent="0.25">
      <c r="B602" s="5" t="s">
        <v>381</v>
      </c>
      <c r="C602" s="5" t="s">
        <v>622</v>
      </c>
      <c r="D602" s="5" t="s">
        <v>131</v>
      </c>
      <c r="E602" s="6">
        <v>45530</v>
      </c>
      <c r="F602" s="4" t="s">
        <v>15</v>
      </c>
      <c r="G602" s="4" t="s">
        <v>36</v>
      </c>
      <c r="H602" s="4" t="s">
        <v>1703</v>
      </c>
      <c r="I602" s="5" t="s">
        <v>624</v>
      </c>
      <c r="J602" s="5"/>
      <c r="K602" s="22">
        <f>YEAR(Tabla1[[#This Row],[Fecha]])</f>
        <v>2024</v>
      </c>
      <c r="L602" s="22">
        <f>MONTH(Tabla1[[#This Row],[Fecha]])</f>
        <v>8</v>
      </c>
    </row>
    <row r="603" spans="2:12" hidden="1" x14ac:dyDescent="0.25">
      <c r="B603" s="5" t="s">
        <v>381</v>
      </c>
      <c r="C603" s="5" t="s">
        <v>622</v>
      </c>
      <c r="D603" s="5" t="s">
        <v>131</v>
      </c>
      <c r="E603" s="6">
        <v>45526</v>
      </c>
      <c r="F603" s="4" t="s">
        <v>100</v>
      </c>
      <c r="G603" s="4"/>
      <c r="H603" s="8"/>
      <c r="I603" s="5" t="s">
        <v>1708</v>
      </c>
      <c r="J603" s="5"/>
      <c r="K603" s="15">
        <f>YEAR(Tabla1[[#This Row],[Fecha]])</f>
        <v>2024</v>
      </c>
      <c r="L603" s="15">
        <f>MONTH(Tabla1[[#This Row],[Fecha]])</f>
        <v>8</v>
      </c>
    </row>
    <row r="604" spans="2:12" hidden="1" x14ac:dyDescent="0.25">
      <c r="B604" s="5" t="s">
        <v>309</v>
      </c>
      <c r="C604" s="5" t="s">
        <v>318</v>
      </c>
      <c r="D604" s="5" t="s">
        <v>11</v>
      </c>
      <c r="E604" s="6">
        <v>45520</v>
      </c>
      <c r="F604" s="4" t="s">
        <v>15</v>
      </c>
      <c r="G604" s="4" t="s">
        <v>24</v>
      </c>
      <c r="H604" s="4" t="s">
        <v>12</v>
      </c>
      <c r="I604" s="5" t="s">
        <v>538</v>
      </c>
      <c r="J604" s="5"/>
      <c r="K604" s="22">
        <f>YEAR(Tabla1[[#This Row],[Fecha]])</f>
        <v>2024</v>
      </c>
      <c r="L604" s="22">
        <f>MONTH(Tabla1[[#This Row],[Fecha]])</f>
        <v>8</v>
      </c>
    </row>
    <row r="605" spans="2:12" hidden="1" x14ac:dyDescent="0.25">
      <c r="B605" s="5" t="s">
        <v>309</v>
      </c>
      <c r="C605" s="5" t="s">
        <v>318</v>
      </c>
      <c r="D605" s="5" t="s">
        <v>11</v>
      </c>
      <c r="E605" s="6">
        <v>45520</v>
      </c>
      <c r="F605" s="4" t="s">
        <v>15</v>
      </c>
      <c r="G605" s="4" t="s">
        <v>24</v>
      </c>
      <c r="H605" s="4" t="s">
        <v>12</v>
      </c>
      <c r="I605" s="36" t="s">
        <v>605</v>
      </c>
      <c r="J605" s="5"/>
      <c r="K605" s="22">
        <f>YEAR(Tabla1[[#This Row],[Fecha]])</f>
        <v>2024</v>
      </c>
      <c r="L605" s="22">
        <f>MONTH(Tabla1[[#This Row],[Fecha]])</f>
        <v>8</v>
      </c>
    </row>
    <row r="606" spans="2:12" hidden="1" x14ac:dyDescent="0.25">
      <c r="B606" s="5" t="s">
        <v>45</v>
      </c>
      <c r="C606" s="5" t="s">
        <v>130</v>
      </c>
      <c r="D606" s="5" t="s">
        <v>131</v>
      </c>
      <c r="E606" s="6">
        <v>45518</v>
      </c>
      <c r="F606" s="4" t="s">
        <v>15</v>
      </c>
      <c r="G606" s="4" t="s">
        <v>16</v>
      </c>
      <c r="H606" s="4" t="s">
        <v>34</v>
      </c>
      <c r="I606" s="5" t="s">
        <v>496</v>
      </c>
      <c r="J606" s="5"/>
      <c r="K606" s="22">
        <f>YEAR(Tabla1[[#This Row],[Fecha]])</f>
        <v>2024</v>
      </c>
      <c r="L606" s="22">
        <f>MONTH(Tabla1[[#This Row],[Fecha]])</f>
        <v>8</v>
      </c>
    </row>
    <row r="607" spans="2:12" hidden="1" x14ac:dyDescent="0.25">
      <c r="B607" s="5" t="s">
        <v>309</v>
      </c>
      <c r="C607" s="5" t="s">
        <v>310</v>
      </c>
      <c r="D607" s="5" t="s">
        <v>11</v>
      </c>
      <c r="E607" s="6">
        <v>45518</v>
      </c>
      <c r="F607" s="4" t="s">
        <v>15</v>
      </c>
      <c r="G607" s="4" t="s">
        <v>16</v>
      </c>
      <c r="H607" s="4" t="s">
        <v>97</v>
      </c>
      <c r="I607" s="5" t="s">
        <v>535</v>
      </c>
      <c r="J607" s="5"/>
      <c r="K607" s="22">
        <f>YEAR(Tabla1[[#This Row],[Fecha]])</f>
        <v>2024</v>
      </c>
      <c r="L607" s="22">
        <f>MONTH(Tabla1[[#This Row],[Fecha]])</f>
        <v>8</v>
      </c>
    </row>
    <row r="608" spans="2:12" hidden="1" x14ac:dyDescent="0.25">
      <c r="B608" s="5" t="s">
        <v>45</v>
      </c>
      <c r="C608" s="5" t="s">
        <v>130</v>
      </c>
      <c r="D608" s="5" t="s">
        <v>131</v>
      </c>
      <c r="E608" s="6">
        <v>45518</v>
      </c>
      <c r="F608" s="4" t="s">
        <v>91</v>
      </c>
      <c r="G608" s="4" t="s">
        <v>16</v>
      </c>
      <c r="H608" s="8" t="s">
        <v>41</v>
      </c>
      <c r="I608" s="5" t="s">
        <v>604</v>
      </c>
      <c r="J608" s="5"/>
      <c r="K608" s="15">
        <f>YEAR(Tabla1[[#This Row],[Fecha]])</f>
        <v>2024</v>
      </c>
      <c r="L608" s="15">
        <f>MONTH(Tabla1[[#This Row],[Fecha]])</f>
        <v>8</v>
      </c>
    </row>
    <row r="609" spans="2:12" hidden="1" x14ac:dyDescent="0.25">
      <c r="B609" s="5" t="s">
        <v>309</v>
      </c>
      <c r="C609" s="5" t="s">
        <v>310</v>
      </c>
      <c r="D609" s="5" t="s">
        <v>11</v>
      </c>
      <c r="E609" s="6">
        <v>45518</v>
      </c>
      <c r="F609" s="4" t="s">
        <v>15</v>
      </c>
      <c r="G609" s="4" t="s">
        <v>16</v>
      </c>
      <c r="H609" s="4" t="s">
        <v>97</v>
      </c>
      <c r="I609" s="5" t="s">
        <v>608</v>
      </c>
      <c r="J609" s="5"/>
      <c r="K609" s="22">
        <f>YEAR(Tabla1[[#This Row],[Fecha]])</f>
        <v>2024</v>
      </c>
      <c r="L609" s="22">
        <f>MONTH(Tabla1[[#This Row],[Fecha]])</f>
        <v>8</v>
      </c>
    </row>
    <row r="610" spans="2:12" hidden="1" x14ac:dyDescent="0.25">
      <c r="B610" s="5" t="s">
        <v>248</v>
      </c>
      <c r="C610" s="5" t="s">
        <v>249</v>
      </c>
      <c r="D610" s="5" t="s">
        <v>11</v>
      </c>
      <c r="E610" s="6">
        <v>45518</v>
      </c>
      <c r="F610" s="4" t="s">
        <v>15</v>
      </c>
      <c r="G610" s="4" t="s">
        <v>36</v>
      </c>
      <c r="H610" s="4" t="s">
        <v>37</v>
      </c>
      <c r="I610" s="5" t="s">
        <v>497</v>
      </c>
      <c r="J610" s="5"/>
      <c r="K610" s="22">
        <f>YEAR(Tabla1[[#This Row],[Fecha]])</f>
        <v>2024</v>
      </c>
      <c r="L610" s="22">
        <f>MONTH(Tabla1[[#This Row],[Fecha]])</f>
        <v>8</v>
      </c>
    </row>
    <row r="611" spans="2:12" hidden="1" x14ac:dyDescent="0.25">
      <c r="B611" s="5" t="s">
        <v>248</v>
      </c>
      <c r="C611" s="5" t="s">
        <v>249</v>
      </c>
      <c r="D611" s="5" t="s">
        <v>11</v>
      </c>
      <c r="E611" s="6">
        <v>45518</v>
      </c>
      <c r="F611" s="4" t="s">
        <v>15</v>
      </c>
      <c r="G611" s="4" t="s">
        <v>24</v>
      </c>
      <c r="H611" s="4" t="s">
        <v>1784</v>
      </c>
      <c r="I611" s="5" t="s">
        <v>614</v>
      </c>
      <c r="J611" s="5"/>
      <c r="K611" s="22">
        <f>YEAR(Tabla1[[#This Row],[Fecha]])</f>
        <v>2024</v>
      </c>
      <c r="L611" s="22">
        <f>MONTH(Tabla1[[#This Row],[Fecha]])</f>
        <v>8</v>
      </c>
    </row>
    <row r="612" spans="2:12" hidden="1" x14ac:dyDescent="0.25">
      <c r="B612" s="5" t="s">
        <v>206</v>
      </c>
      <c r="C612" s="5" t="s">
        <v>207</v>
      </c>
      <c r="D612" s="5" t="s">
        <v>11</v>
      </c>
      <c r="E612" s="6">
        <v>45516</v>
      </c>
      <c r="F612" s="4" t="s">
        <v>91</v>
      </c>
      <c r="G612" s="4" t="s">
        <v>16</v>
      </c>
      <c r="H612" s="4" t="s">
        <v>34</v>
      </c>
      <c r="I612" s="5" t="s">
        <v>488</v>
      </c>
      <c r="J612" s="5"/>
      <c r="K612" s="22">
        <f>YEAR(Tabla1[[#This Row],[Fecha]])</f>
        <v>2024</v>
      </c>
      <c r="L612" s="22">
        <f>MONTH(Tabla1[[#This Row],[Fecha]])</f>
        <v>8</v>
      </c>
    </row>
    <row r="613" spans="2:12" hidden="1" x14ac:dyDescent="0.25">
      <c r="B613" s="5" t="s">
        <v>206</v>
      </c>
      <c r="C613" s="5" t="s">
        <v>207</v>
      </c>
      <c r="D613" s="5" t="s">
        <v>11</v>
      </c>
      <c r="E613" s="6">
        <v>45516</v>
      </c>
      <c r="F613" s="4" t="s">
        <v>15</v>
      </c>
      <c r="G613" s="4" t="s">
        <v>16</v>
      </c>
      <c r="H613" s="8" t="s">
        <v>34</v>
      </c>
      <c r="I613" s="5" t="s">
        <v>1813</v>
      </c>
      <c r="J613" s="5"/>
      <c r="K613" s="15">
        <f>YEAR(Tabla1[[#This Row],[Fecha]])</f>
        <v>2024</v>
      </c>
      <c r="L613" s="15">
        <f>MONTH(Tabla1[[#This Row],[Fecha]])</f>
        <v>8</v>
      </c>
    </row>
    <row r="614" spans="2:12" hidden="1" x14ac:dyDescent="0.25">
      <c r="B614" s="5" t="s">
        <v>206</v>
      </c>
      <c r="C614" s="5" t="s">
        <v>207</v>
      </c>
      <c r="D614" s="5" t="s">
        <v>11</v>
      </c>
      <c r="E614" s="6">
        <v>45516</v>
      </c>
      <c r="F614" s="4" t="s">
        <v>15</v>
      </c>
      <c r="G614" s="4" t="s">
        <v>16</v>
      </c>
      <c r="H614" s="4" t="s">
        <v>34</v>
      </c>
      <c r="I614" s="5" t="s">
        <v>695</v>
      </c>
      <c r="J614" s="5"/>
      <c r="K614" s="22">
        <f>YEAR(Tabla1[[#This Row],[Fecha]])</f>
        <v>2024</v>
      </c>
      <c r="L614" s="22">
        <f>MONTH(Tabla1[[#This Row],[Fecha]])</f>
        <v>8</v>
      </c>
    </row>
    <row r="615" spans="2:12" hidden="1" x14ac:dyDescent="0.25">
      <c r="B615" s="5" t="s">
        <v>309</v>
      </c>
      <c r="C615" s="5" t="s">
        <v>321</v>
      </c>
      <c r="D615" s="5" t="s">
        <v>131</v>
      </c>
      <c r="E615" s="6">
        <v>45513</v>
      </c>
      <c r="F615" s="4" t="s">
        <v>15</v>
      </c>
      <c r="G615" s="4" t="s">
        <v>47</v>
      </c>
      <c r="H615" s="29" t="s">
        <v>121</v>
      </c>
      <c r="I615" s="5" t="s">
        <v>506</v>
      </c>
      <c r="J615" s="5"/>
      <c r="K615" s="22">
        <f>YEAR(Tabla1[[#This Row],[Fecha]])</f>
        <v>2024</v>
      </c>
      <c r="L615" s="22">
        <f>MONTH(Tabla1[[#This Row],[Fecha]])</f>
        <v>8</v>
      </c>
    </row>
    <row r="616" spans="2:12" hidden="1" x14ac:dyDescent="0.25">
      <c r="B616" s="5" t="s">
        <v>381</v>
      </c>
      <c r="C616" s="5" t="s">
        <v>622</v>
      </c>
      <c r="D616" s="5" t="s">
        <v>131</v>
      </c>
      <c r="E616" s="6">
        <v>45513</v>
      </c>
      <c r="F616" s="4" t="s">
        <v>100</v>
      </c>
      <c r="G616" s="4"/>
      <c r="H616" s="4"/>
      <c r="I616" s="5" t="s">
        <v>623</v>
      </c>
      <c r="J616" s="5"/>
      <c r="K616" s="22">
        <f>YEAR(Tabla1[[#This Row],[Fecha]])</f>
        <v>2024</v>
      </c>
      <c r="L616" s="22">
        <f>MONTH(Tabla1[[#This Row],[Fecha]])</f>
        <v>8</v>
      </c>
    </row>
    <row r="617" spans="2:12" hidden="1" x14ac:dyDescent="0.25">
      <c r="B617" s="5" t="s">
        <v>32</v>
      </c>
      <c r="C617" s="5" t="s">
        <v>700</v>
      </c>
      <c r="D617" s="5" t="s">
        <v>11</v>
      </c>
      <c r="E617" s="6">
        <v>45512</v>
      </c>
      <c r="F617" s="4" t="s">
        <v>15</v>
      </c>
      <c r="G617" s="4" t="s">
        <v>24</v>
      </c>
      <c r="H617" s="4" t="s">
        <v>37</v>
      </c>
      <c r="I617" s="36" t="s">
        <v>701</v>
      </c>
      <c r="J617" s="5"/>
      <c r="K617" s="22">
        <f>YEAR(Tabla1[[#This Row],[Fecha]])</f>
        <v>2024</v>
      </c>
      <c r="L617" s="22">
        <f>MONTH(Tabla1[[#This Row],[Fecha]])</f>
        <v>8</v>
      </c>
    </row>
    <row r="618" spans="2:12" hidden="1" x14ac:dyDescent="0.25">
      <c r="B618" s="5" t="s">
        <v>309</v>
      </c>
      <c r="C618" s="5" t="s">
        <v>313</v>
      </c>
      <c r="D618" s="5" t="s">
        <v>11</v>
      </c>
      <c r="E618" s="6">
        <v>45511</v>
      </c>
      <c r="F618" s="4" t="s">
        <v>15</v>
      </c>
      <c r="G618" s="4" t="s">
        <v>47</v>
      </c>
      <c r="H618" s="4" t="s">
        <v>333</v>
      </c>
      <c r="I618" s="5" t="s">
        <v>713</v>
      </c>
      <c r="J618" s="5"/>
      <c r="K618" s="22">
        <f>YEAR(Tabla1[[#This Row],[Fecha]])</f>
        <v>2024</v>
      </c>
      <c r="L618" s="22">
        <f>MONTH(Tabla1[[#This Row],[Fecha]])</f>
        <v>8</v>
      </c>
    </row>
    <row r="619" spans="2:12" hidden="1" x14ac:dyDescent="0.25">
      <c r="B619" s="5" t="s">
        <v>9</v>
      </c>
      <c r="C619" s="5" t="s">
        <v>102</v>
      </c>
      <c r="D619" s="5" t="s">
        <v>131</v>
      </c>
      <c r="E619" s="6">
        <v>45511</v>
      </c>
      <c r="F619" s="4" t="s">
        <v>15</v>
      </c>
      <c r="G619" s="4" t="s">
        <v>16</v>
      </c>
      <c r="H619" s="4" t="s">
        <v>34</v>
      </c>
      <c r="I619" s="5" t="s">
        <v>724</v>
      </c>
      <c r="J619" s="5"/>
      <c r="K619" s="22">
        <f>YEAR(Tabla1[[#This Row],[Fecha]])</f>
        <v>2024</v>
      </c>
      <c r="L619" s="22">
        <f>MONTH(Tabla1[[#This Row],[Fecha]])</f>
        <v>8</v>
      </c>
    </row>
    <row r="620" spans="2:12" hidden="1" x14ac:dyDescent="0.25">
      <c r="B620" s="5" t="s">
        <v>309</v>
      </c>
      <c r="C620" s="5" t="s">
        <v>711</v>
      </c>
      <c r="D620" s="5" t="s">
        <v>11</v>
      </c>
      <c r="E620" s="6">
        <v>45511</v>
      </c>
      <c r="F620" s="4" t="s">
        <v>15</v>
      </c>
      <c r="G620" s="4" t="s">
        <v>47</v>
      </c>
      <c r="H620" s="4" t="s">
        <v>1793</v>
      </c>
      <c r="I620" s="5" t="s">
        <v>731</v>
      </c>
      <c r="J620" s="5"/>
      <c r="K620" s="22">
        <f>YEAR(Tabla1[[#This Row],[Fecha]])</f>
        <v>2024</v>
      </c>
      <c r="L620" s="22">
        <f>MONTH(Tabla1[[#This Row],[Fecha]])</f>
        <v>8</v>
      </c>
    </row>
    <row r="621" spans="2:12" hidden="1" x14ac:dyDescent="0.25">
      <c r="B621" s="5" t="s">
        <v>309</v>
      </c>
      <c r="C621" s="5" t="s">
        <v>728</v>
      </c>
      <c r="D621" s="5" t="s">
        <v>11</v>
      </c>
      <c r="E621" s="6">
        <v>45511</v>
      </c>
      <c r="F621" s="4" t="s">
        <v>15</v>
      </c>
      <c r="G621" s="4" t="s">
        <v>47</v>
      </c>
      <c r="H621" s="4" t="s">
        <v>333</v>
      </c>
      <c r="I621" s="5" t="s">
        <v>732</v>
      </c>
      <c r="J621" s="5"/>
      <c r="K621" s="22">
        <f>YEAR(Tabla1[[#This Row],[Fecha]])</f>
        <v>2024</v>
      </c>
      <c r="L621" s="22">
        <f>MONTH(Tabla1[[#This Row],[Fecha]])</f>
        <v>8</v>
      </c>
    </row>
    <row r="622" spans="2:12" hidden="1" x14ac:dyDescent="0.25">
      <c r="B622" s="5" t="s">
        <v>45</v>
      </c>
      <c r="C622" s="5" t="s">
        <v>46</v>
      </c>
      <c r="D622" s="5" t="s">
        <v>131</v>
      </c>
      <c r="E622" s="6">
        <v>45510</v>
      </c>
      <c r="F622" s="4" t="s">
        <v>100</v>
      </c>
      <c r="G622" s="4"/>
      <c r="H622" s="4"/>
      <c r="I622" s="5" t="s">
        <v>492</v>
      </c>
      <c r="J622" s="5"/>
      <c r="K622" s="22">
        <f>YEAR(Tabla1[[#This Row],[Fecha]])</f>
        <v>2024</v>
      </c>
      <c r="L622" s="22">
        <f>MONTH(Tabla1[[#This Row],[Fecha]])</f>
        <v>8</v>
      </c>
    </row>
    <row r="623" spans="2:12" hidden="1" x14ac:dyDescent="0.25">
      <c r="B623" s="5" t="s">
        <v>45</v>
      </c>
      <c r="C623" s="5" t="s">
        <v>46</v>
      </c>
      <c r="D623" s="5" t="s">
        <v>131</v>
      </c>
      <c r="E623" s="6">
        <v>45510</v>
      </c>
      <c r="F623" s="4" t="s">
        <v>100</v>
      </c>
      <c r="G623" s="4"/>
      <c r="H623" s="8"/>
      <c r="I623" s="5" t="s">
        <v>1801</v>
      </c>
      <c r="J623" s="5"/>
      <c r="K623" s="15">
        <f>YEAR(Tabla1[[#This Row],[Fecha]])</f>
        <v>2024</v>
      </c>
      <c r="L623" s="15">
        <f>MONTH(Tabla1[[#This Row],[Fecha]])</f>
        <v>8</v>
      </c>
    </row>
    <row r="624" spans="2:12" hidden="1" x14ac:dyDescent="0.25">
      <c r="B624" s="5" t="s">
        <v>309</v>
      </c>
      <c r="C624" s="5" t="s">
        <v>378</v>
      </c>
      <c r="D624" s="5" t="s">
        <v>11</v>
      </c>
      <c r="E624" s="6">
        <v>45510</v>
      </c>
      <c r="F624" s="4" t="s">
        <v>15</v>
      </c>
      <c r="G624" s="4" t="s">
        <v>16</v>
      </c>
      <c r="H624" s="4" t="s">
        <v>34</v>
      </c>
      <c r="I624" s="5" t="s">
        <v>727</v>
      </c>
      <c r="J624" s="5"/>
      <c r="K624" s="22">
        <f>YEAR(Tabla1[[#This Row],[Fecha]])</f>
        <v>2024</v>
      </c>
      <c r="L624" s="22">
        <f>MONTH(Tabla1[[#This Row],[Fecha]])</f>
        <v>8</v>
      </c>
    </row>
    <row r="625" spans="2:12" hidden="1" x14ac:dyDescent="0.25">
      <c r="B625" s="5" t="s">
        <v>181</v>
      </c>
      <c r="C625" s="5" t="s">
        <v>182</v>
      </c>
      <c r="D625" s="5" t="s">
        <v>131</v>
      </c>
      <c r="E625" s="6">
        <v>45509</v>
      </c>
      <c r="F625" s="4" t="s">
        <v>15</v>
      </c>
      <c r="G625" s="4" t="s">
        <v>36</v>
      </c>
      <c r="H625" s="29" t="s">
        <v>1795</v>
      </c>
      <c r="I625" s="5" t="s">
        <v>722</v>
      </c>
      <c r="J625" s="5"/>
      <c r="K625" s="22">
        <f>YEAR(Tabla1[[#This Row],[Fecha]])</f>
        <v>2024</v>
      </c>
      <c r="L625" s="22">
        <f>MONTH(Tabla1[[#This Row],[Fecha]])</f>
        <v>8</v>
      </c>
    </row>
    <row r="626" spans="2:12" hidden="1" x14ac:dyDescent="0.25">
      <c r="B626" s="5" t="s">
        <v>32</v>
      </c>
      <c r="C626" s="5" t="s">
        <v>33</v>
      </c>
      <c r="D626" s="5" t="s">
        <v>11</v>
      </c>
      <c r="E626" s="6">
        <v>45509</v>
      </c>
      <c r="F626" s="4" t="s">
        <v>15</v>
      </c>
      <c r="G626" s="4" t="s">
        <v>16</v>
      </c>
      <c r="H626" s="4" t="s">
        <v>17</v>
      </c>
      <c r="I626" s="5" t="s">
        <v>723</v>
      </c>
      <c r="J626" s="5"/>
      <c r="K626" s="22">
        <f>YEAR(Tabla1[[#This Row],[Fecha]])</f>
        <v>2024</v>
      </c>
      <c r="L626" s="22">
        <f>MONTH(Tabla1[[#This Row],[Fecha]])</f>
        <v>8</v>
      </c>
    </row>
    <row r="627" spans="2:12" hidden="1" x14ac:dyDescent="0.25">
      <c r="B627" s="5" t="s">
        <v>9</v>
      </c>
      <c r="C627" s="5" t="s">
        <v>87</v>
      </c>
      <c r="D627" s="5" t="s">
        <v>131</v>
      </c>
      <c r="E627" s="6">
        <v>45508</v>
      </c>
      <c r="F627" s="4" t="s">
        <v>15</v>
      </c>
      <c r="G627" s="4" t="s">
        <v>16</v>
      </c>
      <c r="H627" s="4" t="s">
        <v>41</v>
      </c>
      <c r="I627" s="5" t="s">
        <v>725</v>
      </c>
      <c r="J627" s="5"/>
      <c r="K627" s="22">
        <f>YEAR(Tabla1[[#This Row],[Fecha]])</f>
        <v>2024</v>
      </c>
      <c r="L627" s="22">
        <f>MONTH(Tabla1[[#This Row],[Fecha]])</f>
        <v>8</v>
      </c>
    </row>
    <row r="628" spans="2:12" hidden="1" x14ac:dyDescent="0.25">
      <c r="B628" s="5" t="s">
        <v>9</v>
      </c>
      <c r="C628" s="5" t="s">
        <v>93</v>
      </c>
      <c r="D628" s="5" t="s">
        <v>131</v>
      </c>
      <c r="E628" s="6">
        <v>45508</v>
      </c>
      <c r="F628" s="4" t="s">
        <v>15</v>
      </c>
      <c r="G628" s="4" t="s">
        <v>16</v>
      </c>
      <c r="H628" s="4" t="s">
        <v>41</v>
      </c>
      <c r="I628" s="5" t="s">
        <v>725</v>
      </c>
      <c r="J628" s="5"/>
      <c r="K628" s="22">
        <f>YEAR(Tabla1[[#This Row],[Fecha]])</f>
        <v>2024</v>
      </c>
      <c r="L628" s="22">
        <f>MONTH(Tabla1[[#This Row],[Fecha]])</f>
        <v>8</v>
      </c>
    </row>
    <row r="629" spans="2:12" hidden="1" x14ac:dyDescent="0.25">
      <c r="B629" s="5" t="s">
        <v>9</v>
      </c>
      <c r="C629" s="5" t="s">
        <v>14</v>
      </c>
      <c r="D629" s="5" t="s">
        <v>131</v>
      </c>
      <c r="E629" s="6">
        <v>45508</v>
      </c>
      <c r="F629" s="4" t="s">
        <v>15</v>
      </c>
      <c r="G629" s="4" t="s">
        <v>16</v>
      </c>
      <c r="H629" s="4" t="s">
        <v>41</v>
      </c>
      <c r="I629" s="5" t="s">
        <v>725</v>
      </c>
      <c r="J629" s="5"/>
      <c r="K629" s="22">
        <f>YEAR(Tabla1[[#This Row],[Fecha]])</f>
        <v>2024</v>
      </c>
      <c r="L629" s="22">
        <f>MONTH(Tabla1[[#This Row],[Fecha]])</f>
        <v>8</v>
      </c>
    </row>
    <row r="630" spans="2:12" hidden="1" x14ac:dyDescent="0.25">
      <c r="B630" s="5" t="s">
        <v>206</v>
      </c>
      <c r="C630" s="5" t="s">
        <v>207</v>
      </c>
      <c r="D630" s="5" t="s">
        <v>131</v>
      </c>
      <c r="E630" s="6">
        <v>45504</v>
      </c>
      <c r="F630" s="4" t="s">
        <v>15</v>
      </c>
      <c r="G630" s="4" t="s">
        <v>24</v>
      </c>
      <c r="H630" s="4" t="s">
        <v>1773</v>
      </c>
      <c r="I630" s="5" t="s">
        <v>721</v>
      </c>
      <c r="J630" s="5"/>
      <c r="K630" s="22">
        <f>YEAR(Tabla1[[#This Row],[Fecha]])</f>
        <v>2024</v>
      </c>
      <c r="L630" s="22">
        <f>MONTH(Tabla1[[#This Row],[Fecha]])</f>
        <v>7</v>
      </c>
    </row>
    <row r="631" spans="2:12" hidden="1" x14ac:dyDescent="0.25">
      <c r="B631" s="5" t="s">
        <v>309</v>
      </c>
      <c r="C631" s="5" t="s">
        <v>532</v>
      </c>
      <c r="D631" s="5" t="s">
        <v>11</v>
      </c>
      <c r="E631" s="6">
        <v>45503</v>
      </c>
      <c r="F631" s="4" t="s">
        <v>15</v>
      </c>
      <c r="G631" s="4" t="s">
        <v>36</v>
      </c>
      <c r="H631" s="4" t="s">
        <v>145</v>
      </c>
      <c r="I631" s="5" t="s">
        <v>726</v>
      </c>
      <c r="J631" s="5"/>
      <c r="K631" s="22">
        <f>YEAR(Tabla1[[#This Row],[Fecha]])</f>
        <v>2024</v>
      </c>
      <c r="L631" s="22">
        <f>MONTH(Tabla1[[#This Row],[Fecha]])</f>
        <v>7</v>
      </c>
    </row>
    <row r="632" spans="2:12" hidden="1" x14ac:dyDescent="0.25">
      <c r="B632" s="5" t="s">
        <v>309</v>
      </c>
      <c r="C632" s="5" t="s">
        <v>728</v>
      </c>
      <c r="D632" s="5" t="s">
        <v>131</v>
      </c>
      <c r="E632" s="6">
        <v>45503</v>
      </c>
      <c r="F632" s="4" t="s">
        <v>15</v>
      </c>
      <c r="G632" s="4" t="s">
        <v>47</v>
      </c>
      <c r="H632" s="4" t="s">
        <v>121</v>
      </c>
      <c r="I632" s="5" t="s">
        <v>729</v>
      </c>
      <c r="J632" s="5"/>
      <c r="K632" s="22">
        <f>YEAR(Tabla1[[#This Row],[Fecha]])</f>
        <v>2024</v>
      </c>
      <c r="L632" s="22">
        <f>MONTH(Tabla1[[#This Row],[Fecha]])</f>
        <v>7</v>
      </c>
    </row>
    <row r="633" spans="2:12" hidden="1" x14ac:dyDescent="0.25">
      <c r="B633" s="5" t="s">
        <v>309</v>
      </c>
      <c r="C633" s="5" t="s">
        <v>728</v>
      </c>
      <c r="D633" s="5" t="s">
        <v>131</v>
      </c>
      <c r="E633" s="6">
        <v>45503</v>
      </c>
      <c r="F633" s="4" t="s">
        <v>15</v>
      </c>
      <c r="G633" s="4" t="s">
        <v>47</v>
      </c>
      <c r="H633" s="4" t="s">
        <v>121</v>
      </c>
      <c r="I633" s="5" t="s">
        <v>729</v>
      </c>
      <c r="J633" s="5"/>
      <c r="K633" s="22">
        <f>YEAR(Tabla1[[#This Row],[Fecha]])</f>
        <v>2024</v>
      </c>
      <c r="L633" s="22">
        <f>MONTH(Tabla1[[#This Row],[Fecha]])</f>
        <v>7</v>
      </c>
    </row>
    <row r="634" spans="2:12" hidden="1" x14ac:dyDescent="0.25">
      <c r="B634" s="5" t="s">
        <v>309</v>
      </c>
      <c r="C634" s="5" t="s">
        <v>711</v>
      </c>
      <c r="D634" s="5" t="s">
        <v>11</v>
      </c>
      <c r="E634" s="6">
        <v>45503</v>
      </c>
      <c r="F634" s="4" t="s">
        <v>15</v>
      </c>
      <c r="G634" s="4" t="s">
        <v>47</v>
      </c>
      <c r="H634" s="4" t="s">
        <v>1793</v>
      </c>
      <c r="I634" s="5" t="s">
        <v>730</v>
      </c>
      <c r="J634" s="5"/>
      <c r="K634" s="22">
        <f>YEAR(Tabla1[[#This Row],[Fecha]])</f>
        <v>2024</v>
      </c>
      <c r="L634" s="22">
        <f>MONTH(Tabla1[[#This Row],[Fecha]])</f>
        <v>7</v>
      </c>
    </row>
    <row r="635" spans="2:12" hidden="1" x14ac:dyDescent="0.25">
      <c r="B635" s="5" t="s">
        <v>32</v>
      </c>
      <c r="C635" s="5" t="s">
        <v>142</v>
      </c>
      <c r="D635" s="5" t="s">
        <v>11</v>
      </c>
      <c r="E635" s="6">
        <v>45499</v>
      </c>
      <c r="F635" s="4" t="s">
        <v>15</v>
      </c>
      <c r="G635" s="4" t="s">
        <v>36</v>
      </c>
      <c r="H635" s="4" t="s">
        <v>37</v>
      </c>
      <c r="I635" s="36" t="s">
        <v>702</v>
      </c>
      <c r="J635" s="5"/>
      <c r="K635" s="22">
        <f>YEAR(Tabla1[[#This Row],[Fecha]])</f>
        <v>2024</v>
      </c>
      <c r="L635" s="22">
        <f>MONTH(Tabla1[[#This Row],[Fecha]])</f>
        <v>7</v>
      </c>
    </row>
    <row r="636" spans="2:12" hidden="1" x14ac:dyDescent="0.25">
      <c r="B636" s="5" t="s">
        <v>32</v>
      </c>
      <c r="C636" s="5" t="s">
        <v>142</v>
      </c>
      <c r="D636" s="5" t="s">
        <v>11</v>
      </c>
      <c r="E636" s="6">
        <v>45499</v>
      </c>
      <c r="F636" s="4" t="s">
        <v>15</v>
      </c>
      <c r="G636" s="4" t="s">
        <v>36</v>
      </c>
      <c r="H636" s="4" t="s">
        <v>37</v>
      </c>
      <c r="I636" s="36" t="s">
        <v>702</v>
      </c>
      <c r="J636" s="5"/>
      <c r="K636" s="22">
        <f>YEAR(Tabla1[[#This Row],[Fecha]])</f>
        <v>2024</v>
      </c>
      <c r="L636" s="22">
        <f>MONTH(Tabla1[[#This Row],[Fecha]])</f>
        <v>7</v>
      </c>
    </row>
    <row r="637" spans="2:12" hidden="1" x14ac:dyDescent="0.25">
      <c r="B637" s="5" t="s">
        <v>32</v>
      </c>
      <c r="C637" s="5" t="s">
        <v>33</v>
      </c>
      <c r="D637" s="5" t="s">
        <v>11</v>
      </c>
      <c r="E637" s="6">
        <v>45499</v>
      </c>
      <c r="F637" s="4" t="s">
        <v>15</v>
      </c>
      <c r="G637" s="4" t="s">
        <v>24</v>
      </c>
      <c r="H637" s="4" t="s">
        <v>1784</v>
      </c>
      <c r="I637" s="5" t="s">
        <v>703</v>
      </c>
      <c r="J637" s="5"/>
      <c r="K637" s="22">
        <f>YEAR(Tabla1[[#This Row],[Fecha]])</f>
        <v>2024</v>
      </c>
      <c r="L637" s="22">
        <f>MONTH(Tabla1[[#This Row],[Fecha]])</f>
        <v>7</v>
      </c>
    </row>
    <row r="638" spans="2:12" hidden="1" x14ac:dyDescent="0.25">
      <c r="B638" s="5" t="s">
        <v>309</v>
      </c>
      <c r="C638" s="5" t="s">
        <v>320</v>
      </c>
      <c r="D638" s="5" t="s">
        <v>11</v>
      </c>
      <c r="E638" s="6">
        <v>45499</v>
      </c>
      <c r="F638" s="4" t="s">
        <v>15</v>
      </c>
      <c r="G638" s="4" t="s">
        <v>16</v>
      </c>
      <c r="H638" s="4" t="s">
        <v>97</v>
      </c>
      <c r="I638" s="5" t="s">
        <v>715</v>
      </c>
      <c r="J638" s="5"/>
      <c r="K638" s="22">
        <f>YEAR(Tabla1[[#This Row],[Fecha]])</f>
        <v>2024</v>
      </c>
      <c r="L638" s="22">
        <f>MONTH(Tabla1[[#This Row],[Fecha]])</f>
        <v>7</v>
      </c>
    </row>
    <row r="639" spans="2:12" hidden="1" x14ac:dyDescent="0.25">
      <c r="B639" s="5" t="s">
        <v>309</v>
      </c>
      <c r="C639" s="5" t="s">
        <v>320</v>
      </c>
      <c r="D639" s="5" t="s">
        <v>11</v>
      </c>
      <c r="E639" s="6">
        <v>45499</v>
      </c>
      <c r="F639" s="4" t="s">
        <v>15</v>
      </c>
      <c r="G639" s="4" t="s">
        <v>16</v>
      </c>
      <c r="H639" s="4" t="s">
        <v>17</v>
      </c>
      <c r="I639" s="5" t="s">
        <v>716</v>
      </c>
      <c r="J639" s="5"/>
      <c r="K639" s="22">
        <f>YEAR(Tabla1[[#This Row],[Fecha]])</f>
        <v>2024</v>
      </c>
      <c r="L639" s="22">
        <f>MONTH(Tabla1[[#This Row],[Fecha]])</f>
        <v>7</v>
      </c>
    </row>
    <row r="640" spans="2:12" hidden="1" x14ac:dyDescent="0.25">
      <c r="B640" s="5" t="s">
        <v>309</v>
      </c>
      <c r="C640" s="5" t="s">
        <v>320</v>
      </c>
      <c r="D640" s="5" t="s">
        <v>131</v>
      </c>
      <c r="E640" s="6">
        <v>45496</v>
      </c>
      <c r="F640" s="4" t="s">
        <v>15</v>
      </c>
      <c r="G640" s="4" t="s">
        <v>16</v>
      </c>
      <c r="H640" s="4" t="s">
        <v>17</v>
      </c>
      <c r="I640" s="5" t="s">
        <v>733</v>
      </c>
      <c r="J640" s="15"/>
      <c r="K640" s="22">
        <f>YEAR(Tabla1[[#This Row],[Fecha]])</f>
        <v>2024</v>
      </c>
      <c r="L640" s="22">
        <f>MONTH(Tabla1[[#This Row],[Fecha]])</f>
        <v>7</v>
      </c>
    </row>
    <row r="641" spans="2:12" hidden="1" x14ac:dyDescent="0.25">
      <c r="B641" s="5" t="s">
        <v>309</v>
      </c>
      <c r="C641" s="5" t="s">
        <v>320</v>
      </c>
      <c r="D641" s="5" t="s">
        <v>11</v>
      </c>
      <c r="E641" s="6">
        <v>45484</v>
      </c>
      <c r="F641" s="4" t="s">
        <v>15</v>
      </c>
      <c r="G641" s="4" t="s">
        <v>16</v>
      </c>
      <c r="H641" s="4" t="s">
        <v>41</v>
      </c>
      <c r="I641" s="5" t="s">
        <v>714</v>
      </c>
      <c r="J641" s="5"/>
      <c r="K641" s="22">
        <f>YEAR(Tabla1[[#This Row],[Fecha]])</f>
        <v>2024</v>
      </c>
      <c r="L641" s="22">
        <f>MONTH(Tabla1[[#This Row],[Fecha]])</f>
        <v>7</v>
      </c>
    </row>
    <row r="642" spans="2:12" hidden="1" x14ac:dyDescent="0.25">
      <c r="B642" s="5" t="s">
        <v>9</v>
      </c>
      <c r="C642" s="5" t="s">
        <v>87</v>
      </c>
      <c r="D642" s="5" t="s">
        <v>11</v>
      </c>
      <c r="E642" s="6">
        <v>45483</v>
      </c>
      <c r="F642" s="4" t="s">
        <v>91</v>
      </c>
      <c r="G642" s="4" t="s">
        <v>303</v>
      </c>
      <c r="H642" s="4" t="s">
        <v>431</v>
      </c>
      <c r="I642" s="5" t="s">
        <v>706</v>
      </c>
      <c r="J642" s="5"/>
      <c r="K642" s="22">
        <f>YEAR(Tabla1[[#This Row],[Fecha]])</f>
        <v>2024</v>
      </c>
      <c r="L642" s="22">
        <f>MONTH(Tabla1[[#This Row],[Fecha]])</f>
        <v>7</v>
      </c>
    </row>
    <row r="643" spans="2:12" hidden="1" x14ac:dyDescent="0.25">
      <c r="B643" s="5" t="s">
        <v>49</v>
      </c>
      <c r="C643" s="5" t="s">
        <v>111</v>
      </c>
      <c r="D643" s="5" t="s">
        <v>11</v>
      </c>
      <c r="E643" s="6">
        <v>45482</v>
      </c>
      <c r="F643" s="4" t="s">
        <v>15</v>
      </c>
      <c r="G643" s="4" t="s">
        <v>16</v>
      </c>
      <c r="H643" s="4" t="s">
        <v>34</v>
      </c>
      <c r="I643" s="5" t="s">
        <v>696</v>
      </c>
      <c r="J643" s="5"/>
      <c r="K643" s="22">
        <f>YEAR(Tabla1[[#This Row],[Fecha]])</f>
        <v>2024</v>
      </c>
      <c r="L643" s="22">
        <f>MONTH(Tabla1[[#This Row],[Fecha]])</f>
        <v>7</v>
      </c>
    </row>
    <row r="644" spans="2:12" hidden="1" x14ac:dyDescent="0.25">
      <c r="B644" s="5" t="s">
        <v>9</v>
      </c>
      <c r="C644" s="5" t="s">
        <v>87</v>
      </c>
      <c r="D644" s="5" t="s">
        <v>11</v>
      </c>
      <c r="E644" s="6">
        <v>45482</v>
      </c>
      <c r="F644" s="4" t="s">
        <v>15</v>
      </c>
      <c r="G644" s="4" t="s">
        <v>47</v>
      </c>
      <c r="H644" s="4" t="s">
        <v>333</v>
      </c>
      <c r="I644" s="5" t="s">
        <v>704</v>
      </c>
      <c r="J644" s="5"/>
      <c r="K644" s="22">
        <f>YEAR(Tabla1[[#This Row],[Fecha]])</f>
        <v>2024</v>
      </c>
      <c r="L644" s="22">
        <f>MONTH(Tabla1[[#This Row],[Fecha]])</f>
        <v>7</v>
      </c>
    </row>
    <row r="645" spans="2:12" hidden="1" x14ac:dyDescent="0.25">
      <c r="B645" s="5" t="s">
        <v>9</v>
      </c>
      <c r="C645" s="5" t="s">
        <v>93</v>
      </c>
      <c r="D645" s="5" t="s">
        <v>11</v>
      </c>
      <c r="E645" s="6">
        <v>45482</v>
      </c>
      <c r="F645" s="4" t="s">
        <v>15</v>
      </c>
      <c r="G645" s="4" t="s">
        <v>16</v>
      </c>
      <c r="H645" s="4" t="s">
        <v>41</v>
      </c>
      <c r="I645" s="5" t="s">
        <v>705</v>
      </c>
      <c r="J645" s="5"/>
      <c r="K645" s="22">
        <f>YEAR(Tabla1[[#This Row],[Fecha]])</f>
        <v>2024</v>
      </c>
      <c r="L645" s="22">
        <f>MONTH(Tabla1[[#This Row],[Fecha]])</f>
        <v>7</v>
      </c>
    </row>
    <row r="646" spans="2:12" hidden="1" x14ac:dyDescent="0.25">
      <c r="B646" s="5" t="s">
        <v>9</v>
      </c>
      <c r="C646" s="5" t="s">
        <v>82</v>
      </c>
      <c r="D646" s="5" t="s">
        <v>11</v>
      </c>
      <c r="E646" s="6">
        <v>45482</v>
      </c>
      <c r="F646" s="4" t="s">
        <v>15</v>
      </c>
      <c r="G646" s="4" t="s">
        <v>16</v>
      </c>
      <c r="H646" s="4" t="s">
        <v>97</v>
      </c>
      <c r="I646" s="5" t="s">
        <v>709</v>
      </c>
      <c r="J646" s="5"/>
      <c r="K646" s="22">
        <f>YEAR(Tabla1[[#This Row],[Fecha]])</f>
        <v>2024</v>
      </c>
      <c r="L646" s="22">
        <f>MONTH(Tabla1[[#This Row],[Fecha]])</f>
        <v>7</v>
      </c>
    </row>
    <row r="647" spans="2:12" hidden="1" x14ac:dyDescent="0.25">
      <c r="B647" s="5" t="s">
        <v>49</v>
      </c>
      <c r="C647" s="5" t="s">
        <v>60</v>
      </c>
      <c r="D647" s="5" t="s">
        <v>11</v>
      </c>
      <c r="E647" s="6">
        <v>45481</v>
      </c>
      <c r="F647" s="4" t="s">
        <v>15</v>
      </c>
      <c r="G647" s="4" t="s">
        <v>36</v>
      </c>
      <c r="H647" s="4" t="s">
        <v>37</v>
      </c>
      <c r="I647" s="5" t="s">
        <v>697</v>
      </c>
      <c r="J647" s="5"/>
      <c r="K647" s="22">
        <f>YEAR(Tabla1[[#This Row],[Fecha]])</f>
        <v>2024</v>
      </c>
      <c r="L647" s="22">
        <f>MONTH(Tabla1[[#This Row],[Fecha]])</f>
        <v>7</v>
      </c>
    </row>
    <row r="648" spans="2:12" hidden="1" x14ac:dyDescent="0.25">
      <c r="B648" s="5" t="s">
        <v>9</v>
      </c>
      <c r="C648" s="5" t="s">
        <v>87</v>
      </c>
      <c r="D648" s="5" t="s">
        <v>11</v>
      </c>
      <c r="E648" s="6">
        <v>45481</v>
      </c>
      <c r="F648" s="4" t="s">
        <v>91</v>
      </c>
      <c r="G648" s="4" t="s">
        <v>303</v>
      </c>
      <c r="H648" s="20" t="s">
        <v>434</v>
      </c>
      <c r="I648" s="5" t="s">
        <v>707</v>
      </c>
      <c r="J648" s="5"/>
      <c r="K648" s="22">
        <f>YEAR(Tabla1[[#This Row],[Fecha]])</f>
        <v>2024</v>
      </c>
      <c r="L648" s="22">
        <f>MONTH(Tabla1[[#This Row],[Fecha]])</f>
        <v>7</v>
      </c>
    </row>
    <row r="649" spans="2:12" hidden="1" x14ac:dyDescent="0.25">
      <c r="B649" s="5" t="s">
        <v>9</v>
      </c>
      <c r="C649" s="5" t="s">
        <v>87</v>
      </c>
      <c r="D649" s="5" t="s">
        <v>11</v>
      </c>
      <c r="E649" s="6">
        <v>45481</v>
      </c>
      <c r="F649" s="4" t="s">
        <v>91</v>
      </c>
      <c r="G649" s="4" t="s">
        <v>303</v>
      </c>
      <c r="H649" s="20" t="s">
        <v>434</v>
      </c>
      <c r="I649" s="5" t="s">
        <v>707</v>
      </c>
      <c r="J649" s="5"/>
      <c r="K649" s="22">
        <f>YEAR(Tabla1[[#This Row],[Fecha]])</f>
        <v>2024</v>
      </c>
      <c r="L649" s="22">
        <f>MONTH(Tabla1[[#This Row],[Fecha]])</f>
        <v>7</v>
      </c>
    </row>
    <row r="650" spans="2:12" hidden="1" x14ac:dyDescent="0.25">
      <c r="B650" s="5" t="s">
        <v>9</v>
      </c>
      <c r="C650" s="5" t="s">
        <v>87</v>
      </c>
      <c r="D650" s="5" t="s">
        <v>11</v>
      </c>
      <c r="E650" s="6">
        <v>45481</v>
      </c>
      <c r="F650" s="4" t="s">
        <v>91</v>
      </c>
      <c r="G650" s="4" t="s">
        <v>303</v>
      </c>
      <c r="H650" s="4" t="s">
        <v>431</v>
      </c>
      <c r="I650" s="5" t="s">
        <v>708</v>
      </c>
      <c r="J650" s="5"/>
      <c r="K650" s="22">
        <f>YEAR(Tabla1[[#This Row],[Fecha]])</f>
        <v>2024</v>
      </c>
      <c r="L650" s="22">
        <f>MONTH(Tabla1[[#This Row],[Fecha]])</f>
        <v>7</v>
      </c>
    </row>
    <row r="651" spans="2:12" hidden="1" x14ac:dyDescent="0.25">
      <c r="B651" s="5" t="s">
        <v>309</v>
      </c>
      <c r="C651" s="5" t="s">
        <v>371</v>
      </c>
      <c r="D651" s="5" t="s">
        <v>11</v>
      </c>
      <c r="E651" s="6">
        <v>45478</v>
      </c>
      <c r="F651" s="4" t="s">
        <v>15</v>
      </c>
      <c r="G651" s="4" t="s">
        <v>24</v>
      </c>
      <c r="H651" s="4" t="s">
        <v>1773</v>
      </c>
      <c r="I651" s="5" t="s">
        <v>710</v>
      </c>
      <c r="J651" s="5"/>
      <c r="K651" s="22">
        <f>YEAR(Tabla1[[#This Row],[Fecha]])</f>
        <v>2024</v>
      </c>
      <c r="L651" s="22">
        <f>MONTH(Tabla1[[#This Row],[Fecha]])</f>
        <v>7</v>
      </c>
    </row>
    <row r="652" spans="2:12" hidden="1" x14ac:dyDescent="0.25">
      <c r="B652" s="5" t="s">
        <v>309</v>
      </c>
      <c r="C652" s="5" t="s">
        <v>318</v>
      </c>
      <c r="D652" s="5" t="s">
        <v>11</v>
      </c>
      <c r="E652" s="6">
        <v>45476</v>
      </c>
      <c r="F652" s="4" t="s">
        <v>15</v>
      </c>
      <c r="G652" s="4" t="s">
        <v>47</v>
      </c>
      <c r="H652" s="4" t="s">
        <v>121</v>
      </c>
      <c r="I652" s="5" t="s">
        <v>717</v>
      </c>
      <c r="J652" s="5"/>
      <c r="K652" s="22">
        <f>YEAR(Tabla1[[#This Row],[Fecha]])</f>
        <v>2024</v>
      </c>
      <c r="L652" s="22">
        <f>MONTH(Tabla1[[#This Row],[Fecha]])</f>
        <v>7</v>
      </c>
    </row>
    <row r="653" spans="2:12" hidden="1" x14ac:dyDescent="0.25">
      <c r="B653" s="5" t="s">
        <v>309</v>
      </c>
      <c r="C653" s="5" t="s">
        <v>310</v>
      </c>
      <c r="D653" s="5" t="s">
        <v>11</v>
      </c>
      <c r="E653" s="6">
        <v>45476</v>
      </c>
      <c r="F653" s="4" t="s">
        <v>15</v>
      </c>
      <c r="G653" s="4" t="s">
        <v>16</v>
      </c>
      <c r="H653" s="4" t="s">
        <v>34</v>
      </c>
      <c r="I653" s="5" t="s">
        <v>734</v>
      </c>
      <c r="J653" s="5"/>
      <c r="K653" s="22">
        <f>YEAR(Tabla1[[#This Row],[Fecha]])</f>
        <v>2024</v>
      </c>
      <c r="L653" s="22">
        <f>MONTH(Tabla1[[#This Row],[Fecha]])</f>
        <v>7</v>
      </c>
    </row>
    <row r="654" spans="2:12" hidden="1" x14ac:dyDescent="0.25">
      <c r="B654" s="5" t="s">
        <v>248</v>
      </c>
      <c r="C654" s="5" t="s">
        <v>698</v>
      </c>
      <c r="D654" s="5" t="s">
        <v>11</v>
      </c>
      <c r="E654" s="6">
        <v>45476</v>
      </c>
      <c r="F654" s="4" t="s">
        <v>15</v>
      </c>
      <c r="G654" s="4" t="s">
        <v>36</v>
      </c>
      <c r="H654" s="4" t="s">
        <v>145</v>
      </c>
      <c r="I654" s="36" t="s">
        <v>699</v>
      </c>
      <c r="J654" s="5"/>
      <c r="K654" s="22">
        <f>YEAR(Tabla1[[#This Row],[Fecha]])</f>
        <v>2024</v>
      </c>
      <c r="L654" s="22">
        <f>MONTH(Tabla1[[#This Row],[Fecha]])</f>
        <v>7</v>
      </c>
    </row>
    <row r="655" spans="2:12" hidden="1" x14ac:dyDescent="0.25">
      <c r="B655" s="5" t="s">
        <v>309</v>
      </c>
      <c r="C655" s="5" t="s">
        <v>315</v>
      </c>
      <c r="D655" s="5" t="s">
        <v>11</v>
      </c>
      <c r="E655" s="6">
        <v>45475</v>
      </c>
      <c r="F655" s="4" t="s">
        <v>15</v>
      </c>
      <c r="G655" s="4" t="s">
        <v>47</v>
      </c>
      <c r="H655" s="4" t="s">
        <v>121</v>
      </c>
      <c r="I655" s="5" t="s">
        <v>718</v>
      </c>
      <c r="J655" s="5"/>
      <c r="K655" s="22">
        <f>YEAR(Tabla1[[#This Row],[Fecha]])</f>
        <v>2024</v>
      </c>
      <c r="L655" s="22">
        <f>MONTH(Tabla1[[#This Row],[Fecha]])</f>
        <v>7</v>
      </c>
    </row>
    <row r="656" spans="2:12" hidden="1" x14ac:dyDescent="0.25">
      <c r="B656" s="5" t="s">
        <v>190</v>
      </c>
      <c r="C656" s="5" t="s">
        <v>287</v>
      </c>
      <c r="D656" s="5" t="s">
        <v>131</v>
      </c>
      <c r="E656" s="6">
        <v>45473</v>
      </c>
      <c r="F656" s="4" t="s">
        <v>15</v>
      </c>
      <c r="G656" s="4" t="s">
        <v>16</v>
      </c>
      <c r="H656" s="4" t="s">
        <v>97</v>
      </c>
      <c r="I656" s="5" t="s">
        <v>502</v>
      </c>
      <c r="J656" s="5"/>
      <c r="K656" s="22">
        <f>YEAR(Tabla1[[#This Row],[Fecha]])</f>
        <v>2024</v>
      </c>
      <c r="L656" s="22">
        <f>MONTH(Tabla1[[#This Row],[Fecha]])</f>
        <v>6</v>
      </c>
    </row>
    <row r="657" spans="2:12" hidden="1" x14ac:dyDescent="0.25">
      <c r="B657" s="5" t="s">
        <v>190</v>
      </c>
      <c r="C657" s="5" t="s">
        <v>287</v>
      </c>
      <c r="D657" s="5" t="s">
        <v>11</v>
      </c>
      <c r="E657" s="6">
        <v>45473</v>
      </c>
      <c r="F657" s="4" t="s">
        <v>15</v>
      </c>
      <c r="G657" s="4" t="s">
        <v>16</v>
      </c>
      <c r="H657" s="8" t="s">
        <v>97</v>
      </c>
      <c r="I657" s="5" t="s">
        <v>1814</v>
      </c>
      <c r="J657" s="5"/>
      <c r="K657" s="15">
        <f>YEAR(Tabla1[[#This Row],[Fecha]])</f>
        <v>2024</v>
      </c>
      <c r="L657" s="15">
        <f>MONTH(Tabla1[[#This Row],[Fecha]])</f>
        <v>6</v>
      </c>
    </row>
    <row r="658" spans="2:12" hidden="1" x14ac:dyDescent="0.25">
      <c r="B658" s="5" t="s">
        <v>309</v>
      </c>
      <c r="C658" s="5" t="s">
        <v>711</v>
      </c>
      <c r="D658" s="5" t="s">
        <v>11</v>
      </c>
      <c r="E658" s="6">
        <v>45469</v>
      </c>
      <c r="F658" s="4" t="s">
        <v>15</v>
      </c>
      <c r="G658" s="4" t="s">
        <v>16</v>
      </c>
      <c r="H658" s="4" t="s">
        <v>97</v>
      </c>
      <c r="I658" s="5" t="s">
        <v>712</v>
      </c>
      <c r="J658" s="5"/>
      <c r="K658" s="22">
        <f>YEAR(Tabla1[[#This Row],[Fecha]])</f>
        <v>2024</v>
      </c>
      <c r="L658" s="22">
        <f>MONTH(Tabla1[[#This Row],[Fecha]])</f>
        <v>6</v>
      </c>
    </row>
    <row r="659" spans="2:12" hidden="1" x14ac:dyDescent="0.25">
      <c r="B659" s="5" t="s">
        <v>32</v>
      </c>
      <c r="C659" s="5" t="s">
        <v>740</v>
      </c>
      <c r="D659" s="5" t="s">
        <v>11</v>
      </c>
      <c r="E659" s="6">
        <v>45462</v>
      </c>
      <c r="F659" s="4" t="s">
        <v>15</v>
      </c>
      <c r="G659" s="4" t="s">
        <v>16</v>
      </c>
      <c r="H659" s="4" t="s">
        <v>41</v>
      </c>
      <c r="I659" s="5" t="s">
        <v>741</v>
      </c>
      <c r="J659" s="5"/>
      <c r="K659" s="22">
        <f>YEAR(Tabla1[[#This Row],[Fecha]])</f>
        <v>2024</v>
      </c>
      <c r="L659" s="22">
        <f>MONTH(Tabla1[[#This Row],[Fecha]])</f>
        <v>6</v>
      </c>
    </row>
    <row r="660" spans="2:12" hidden="1" x14ac:dyDescent="0.25">
      <c r="B660" s="5" t="s">
        <v>32</v>
      </c>
      <c r="C660" s="5" t="s">
        <v>144</v>
      </c>
      <c r="D660" s="5" t="s">
        <v>11</v>
      </c>
      <c r="E660" s="6">
        <v>45462</v>
      </c>
      <c r="F660" s="4" t="s">
        <v>15</v>
      </c>
      <c r="G660" s="4" t="s">
        <v>24</v>
      </c>
      <c r="H660" s="4" t="s">
        <v>1784</v>
      </c>
      <c r="I660" s="5" t="s">
        <v>742</v>
      </c>
      <c r="J660" s="5"/>
      <c r="K660" s="22">
        <f>YEAR(Tabla1[[#This Row],[Fecha]])</f>
        <v>2024</v>
      </c>
      <c r="L660" s="22">
        <f>MONTH(Tabla1[[#This Row],[Fecha]])</f>
        <v>6</v>
      </c>
    </row>
    <row r="661" spans="2:12" hidden="1" x14ac:dyDescent="0.25">
      <c r="B661" s="5" t="s">
        <v>45</v>
      </c>
      <c r="C661" s="5" t="s">
        <v>130</v>
      </c>
      <c r="D661" s="5" t="s">
        <v>11</v>
      </c>
      <c r="E661" s="6">
        <v>45460</v>
      </c>
      <c r="F661" s="4" t="s">
        <v>100</v>
      </c>
      <c r="G661" s="4"/>
      <c r="H661" s="4"/>
      <c r="I661" s="36" t="s">
        <v>738</v>
      </c>
      <c r="J661" s="5"/>
      <c r="K661" s="22">
        <f>YEAR(Tabla1[[#This Row],[Fecha]])</f>
        <v>2024</v>
      </c>
      <c r="L661" s="22">
        <f>MONTH(Tabla1[[#This Row],[Fecha]])</f>
        <v>6</v>
      </c>
    </row>
    <row r="662" spans="2:12" hidden="1" x14ac:dyDescent="0.25">
      <c r="B662" s="5" t="s">
        <v>309</v>
      </c>
      <c r="C662" s="5" t="s">
        <v>310</v>
      </c>
      <c r="D662" s="5" t="s">
        <v>11</v>
      </c>
      <c r="E662" s="6">
        <v>45460</v>
      </c>
      <c r="F662" s="4" t="s">
        <v>15</v>
      </c>
      <c r="G662" s="4" t="s">
        <v>24</v>
      </c>
      <c r="H662" s="4" t="s">
        <v>1773</v>
      </c>
      <c r="I662" s="5" t="s">
        <v>739</v>
      </c>
      <c r="J662" s="5"/>
      <c r="K662" s="22">
        <f>YEAR(Tabla1[[#This Row],[Fecha]])</f>
        <v>2024</v>
      </c>
      <c r="L662" s="22">
        <f>MONTH(Tabla1[[#This Row],[Fecha]])</f>
        <v>6</v>
      </c>
    </row>
    <row r="663" spans="2:12" hidden="1" x14ac:dyDescent="0.25">
      <c r="B663" s="5" t="s">
        <v>248</v>
      </c>
      <c r="C663" s="5" t="s">
        <v>735</v>
      </c>
      <c r="D663" s="5" t="s">
        <v>11</v>
      </c>
      <c r="E663" s="6">
        <v>45457</v>
      </c>
      <c r="F663" s="4" t="s">
        <v>15</v>
      </c>
      <c r="G663" s="4" t="s">
        <v>16</v>
      </c>
      <c r="H663" s="4" t="s">
        <v>74</v>
      </c>
      <c r="I663" s="5" t="s">
        <v>736</v>
      </c>
      <c r="J663" s="5"/>
      <c r="K663" s="22">
        <f>YEAR(Tabla1[[#This Row],[Fecha]])</f>
        <v>2024</v>
      </c>
      <c r="L663" s="22">
        <f>MONTH(Tabla1[[#This Row],[Fecha]])</f>
        <v>6</v>
      </c>
    </row>
    <row r="664" spans="2:12" hidden="1" x14ac:dyDescent="0.25">
      <c r="B664" s="5" t="s">
        <v>248</v>
      </c>
      <c r="C664" s="5" t="s">
        <v>499</v>
      </c>
      <c r="D664" s="5" t="s">
        <v>11</v>
      </c>
      <c r="E664" s="6">
        <v>45457</v>
      </c>
      <c r="F664" s="4" t="s">
        <v>15</v>
      </c>
      <c r="G664" s="4" t="s">
        <v>16</v>
      </c>
      <c r="H664" s="4" t="s">
        <v>41</v>
      </c>
      <c r="I664" s="5" t="s">
        <v>737</v>
      </c>
      <c r="J664" s="5"/>
      <c r="K664" s="22">
        <f>YEAR(Tabla1[[#This Row],[Fecha]])</f>
        <v>2024</v>
      </c>
      <c r="L664" s="22">
        <f>MONTH(Tabla1[[#This Row],[Fecha]])</f>
        <v>6</v>
      </c>
    </row>
    <row r="665" spans="2:12" hidden="1" x14ac:dyDescent="0.25">
      <c r="B665" s="5" t="s">
        <v>248</v>
      </c>
      <c r="C665" s="5" t="s">
        <v>499</v>
      </c>
      <c r="D665" s="5" t="s">
        <v>11</v>
      </c>
      <c r="E665" s="6">
        <v>45457</v>
      </c>
      <c r="F665" s="4" t="s">
        <v>15</v>
      </c>
      <c r="G665" s="4" t="s">
        <v>16</v>
      </c>
      <c r="H665" s="4" t="s">
        <v>41</v>
      </c>
      <c r="I665" s="5" t="s">
        <v>737</v>
      </c>
      <c r="J665" s="5"/>
      <c r="K665" s="22">
        <f>YEAR(Tabla1[[#This Row],[Fecha]])</f>
        <v>2024</v>
      </c>
      <c r="L665" s="22">
        <f>MONTH(Tabla1[[#This Row],[Fecha]])</f>
        <v>6</v>
      </c>
    </row>
    <row r="666" spans="2:12" hidden="1" x14ac:dyDescent="0.25">
      <c r="B666" s="5" t="s">
        <v>309</v>
      </c>
      <c r="C666" s="5" t="s">
        <v>317</v>
      </c>
      <c r="D666" s="5" t="s">
        <v>11</v>
      </c>
      <c r="E666" s="6">
        <v>45450</v>
      </c>
      <c r="F666" s="4" t="s">
        <v>15</v>
      </c>
      <c r="G666" s="4" t="s">
        <v>36</v>
      </c>
      <c r="H666" s="4" t="s">
        <v>37</v>
      </c>
      <c r="I666" s="5" t="s">
        <v>749</v>
      </c>
      <c r="J666" s="5"/>
      <c r="K666" s="22">
        <f>YEAR(Tabla1[[#This Row],[Fecha]])</f>
        <v>2024</v>
      </c>
      <c r="L666" s="22">
        <f>MONTH(Tabla1[[#This Row],[Fecha]])</f>
        <v>6</v>
      </c>
    </row>
    <row r="667" spans="2:12" hidden="1" x14ac:dyDescent="0.25">
      <c r="B667" s="5" t="s">
        <v>309</v>
      </c>
      <c r="C667" s="5" t="s">
        <v>315</v>
      </c>
      <c r="D667" s="5" t="s">
        <v>11</v>
      </c>
      <c r="E667" s="6">
        <v>45450</v>
      </c>
      <c r="F667" s="4" t="s">
        <v>15</v>
      </c>
      <c r="G667" s="4" t="s">
        <v>36</v>
      </c>
      <c r="H667" s="4" t="s">
        <v>37</v>
      </c>
      <c r="I667" s="5" t="s">
        <v>749</v>
      </c>
      <c r="J667" s="5"/>
      <c r="K667" s="22">
        <f>YEAR(Tabla1[[#This Row],[Fecha]])</f>
        <v>2024</v>
      </c>
      <c r="L667" s="22">
        <f>MONTH(Tabla1[[#This Row],[Fecha]])</f>
        <v>6</v>
      </c>
    </row>
    <row r="668" spans="2:12" hidden="1" x14ac:dyDescent="0.25">
      <c r="B668" s="5" t="s">
        <v>309</v>
      </c>
      <c r="C668" s="5" t="s">
        <v>310</v>
      </c>
      <c r="D668" s="5" t="s">
        <v>11</v>
      </c>
      <c r="E668" s="6">
        <v>45449</v>
      </c>
      <c r="F668" s="4" t="s">
        <v>15</v>
      </c>
      <c r="G668" s="4" t="s">
        <v>16</v>
      </c>
      <c r="H668" s="4" t="s">
        <v>34</v>
      </c>
      <c r="I668" s="5" t="s">
        <v>748</v>
      </c>
      <c r="J668" s="5"/>
      <c r="K668" s="22">
        <f>YEAR(Tabla1[[#This Row],[Fecha]])</f>
        <v>2024</v>
      </c>
      <c r="L668" s="22">
        <f>MONTH(Tabla1[[#This Row],[Fecha]])</f>
        <v>6</v>
      </c>
    </row>
    <row r="669" spans="2:12" hidden="1" x14ac:dyDescent="0.25">
      <c r="B669" s="5" t="s">
        <v>206</v>
      </c>
      <c r="C669" s="5" t="s">
        <v>719</v>
      </c>
      <c r="D669" s="5" t="s">
        <v>131</v>
      </c>
      <c r="E669" s="6">
        <v>45428</v>
      </c>
      <c r="F669" s="4" t="s">
        <v>15</v>
      </c>
      <c r="G669" s="4" t="s">
        <v>135</v>
      </c>
      <c r="H669" s="4" t="s">
        <v>245</v>
      </c>
      <c r="I669" s="5" t="s">
        <v>720</v>
      </c>
      <c r="J669" s="5"/>
      <c r="K669" s="22">
        <f>YEAR(Tabla1[[#This Row],[Fecha]])</f>
        <v>2024</v>
      </c>
      <c r="L669" s="22">
        <f>MONTH(Tabla1[[#This Row],[Fecha]])</f>
        <v>5</v>
      </c>
    </row>
    <row r="670" spans="2:12" hidden="1" x14ac:dyDescent="0.25">
      <c r="B670" s="5" t="s">
        <v>32</v>
      </c>
      <c r="C670" s="5" t="s">
        <v>33</v>
      </c>
      <c r="D670" s="5" t="s">
        <v>131</v>
      </c>
      <c r="E670" s="6">
        <v>45426</v>
      </c>
      <c r="F670" s="4" t="s">
        <v>91</v>
      </c>
      <c r="G670" s="4" t="s">
        <v>16</v>
      </c>
      <c r="H670" s="4" t="s">
        <v>34</v>
      </c>
      <c r="I670" s="5" t="s">
        <v>744</v>
      </c>
      <c r="J670" s="5"/>
      <c r="K670" s="22">
        <f>YEAR(Tabla1[[#This Row],[Fecha]])</f>
        <v>2024</v>
      </c>
      <c r="L670" s="22">
        <f>MONTH(Tabla1[[#This Row],[Fecha]])</f>
        <v>5</v>
      </c>
    </row>
    <row r="671" spans="2:12" hidden="1" x14ac:dyDescent="0.25">
      <c r="B671" s="5" t="s">
        <v>32</v>
      </c>
      <c r="C671" s="5" t="s">
        <v>33</v>
      </c>
      <c r="D671" s="5" t="s">
        <v>11</v>
      </c>
      <c r="E671" s="6">
        <v>45415</v>
      </c>
      <c r="F671" s="4" t="s">
        <v>15</v>
      </c>
      <c r="G671" s="4" t="s">
        <v>36</v>
      </c>
      <c r="H671" s="4" t="s">
        <v>37</v>
      </c>
      <c r="I671" s="5" t="s">
        <v>743</v>
      </c>
      <c r="J671" s="5"/>
      <c r="K671" s="22">
        <f>YEAR(Tabla1[[#This Row],[Fecha]])</f>
        <v>2024</v>
      </c>
      <c r="L671" s="22">
        <f>MONTH(Tabla1[[#This Row],[Fecha]])</f>
        <v>5</v>
      </c>
    </row>
    <row r="672" spans="2:12" hidden="1" x14ac:dyDescent="0.25">
      <c r="B672" s="5" t="s">
        <v>309</v>
      </c>
      <c r="C672" s="5" t="s">
        <v>318</v>
      </c>
      <c r="D672" s="5" t="s">
        <v>131</v>
      </c>
      <c r="E672" s="6">
        <v>45415</v>
      </c>
      <c r="F672" s="4" t="s">
        <v>15</v>
      </c>
      <c r="G672" s="4" t="s">
        <v>16</v>
      </c>
      <c r="H672" s="4" t="s">
        <v>17</v>
      </c>
      <c r="I672" s="5" t="s">
        <v>747</v>
      </c>
      <c r="J672" s="5"/>
      <c r="K672" s="22">
        <f>YEAR(Tabla1[[#This Row],[Fecha]])</f>
        <v>2024</v>
      </c>
      <c r="L672" s="22">
        <f>MONTH(Tabla1[[#This Row],[Fecha]])</f>
        <v>5</v>
      </c>
    </row>
    <row r="673" spans="2:12" hidden="1" x14ac:dyDescent="0.25">
      <c r="B673" s="5" t="s">
        <v>309</v>
      </c>
      <c r="C673" s="5" t="s">
        <v>318</v>
      </c>
      <c r="D673" s="5" t="s">
        <v>131</v>
      </c>
      <c r="E673" s="6">
        <v>45412</v>
      </c>
      <c r="F673" s="4" t="s">
        <v>15</v>
      </c>
      <c r="G673" s="4" t="s">
        <v>16</v>
      </c>
      <c r="H673" s="4" t="s">
        <v>17</v>
      </c>
      <c r="I673" s="5" t="s">
        <v>746</v>
      </c>
      <c r="J673" s="5"/>
      <c r="K673" s="22">
        <f>YEAR(Tabla1[[#This Row],[Fecha]])</f>
        <v>2024</v>
      </c>
      <c r="L673" s="22">
        <f>MONTH(Tabla1[[#This Row],[Fecha]])</f>
        <v>4</v>
      </c>
    </row>
    <row r="674" spans="2:12" hidden="1" x14ac:dyDescent="0.25">
      <c r="B674" s="5" t="s">
        <v>309</v>
      </c>
      <c r="C674" s="5" t="s">
        <v>318</v>
      </c>
      <c r="D674" s="5" t="s">
        <v>131</v>
      </c>
      <c r="E674" s="6">
        <v>45406</v>
      </c>
      <c r="F674" s="4" t="s">
        <v>15</v>
      </c>
      <c r="G674" s="4" t="s">
        <v>24</v>
      </c>
      <c r="H674" s="4" t="s">
        <v>12</v>
      </c>
      <c r="I674" s="5" t="s">
        <v>745</v>
      </c>
      <c r="J674" s="5"/>
      <c r="K674" s="22">
        <f>YEAR(Tabla1[[#This Row],[Fecha]])</f>
        <v>2024</v>
      </c>
      <c r="L674" s="22">
        <f>MONTH(Tabla1[[#This Row],[Fecha]])</f>
        <v>4</v>
      </c>
    </row>
    <row r="675" spans="2:12" hidden="1" x14ac:dyDescent="0.25">
      <c r="B675" s="5" t="s">
        <v>9</v>
      </c>
      <c r="C675" s="5" t="s">
        <v>62</v>
      </c>
      <c r="D675" s="5" t="s">
        <v>11</v>
      </c>
      <c r="E675" s="6">
        <v>45393</v>
      </c>
      <c r="F675" s="4" t="s">
        <v>15</v>
      </c>
      <c r="G675" s="4" t="s">
        <v>16</v>
      </c>
      <c r="H675" s="8" t="s">
        <v>41</v>
      </c>
      <c r="I675" s="5" t="s">
        <v>690</v>
      </c>
      <c r="J675" s="7"/>
      <c r="K675" s="15">
        <f>YEAR(Tabla1[[#This Row],[Fecha]])</f>
        <v>2024</v>
      </c>
      <c r="L675" s="15">
        <f>MONTH(Tabla1[[#This Row],[Fecha]])</f>
        <v>4</v>
      </c>
    </row>
    <row r="676" spans="2:12" hidden="1" x14ac:dyDescent="0.25">
      <c r="B676" s="5" t="s">
        <v>309</v>
      </c>
      <c r="C676" s="5" t="s">
        <v>317</v>
      </c>
      <c r="D676" s="5" t="s">
        <v>11</v>
      </c>
      <c r="E676" s="6">
        <v>45393</v>
      </c>
      <c r="F676" s="4" t="s">
        <v>15</v>
      </c>
      <c r="G676" s="4" t="s">
        <v>36</v>
      </c>
      <c r="H676" s="4" t="s">
        <v>37</v>
      </c>
      <c r="I676" s="5" t="s">
        <v>750</v>
      </c>
      <c r="J676" s="5"/>
      <c r="K676" s="22">
        <f>YEAR(Tabla1[[#This Row],[Fecha]])</f>
        <v>2024</v>
      </c>
      <c r="L676" s="22">
        <f>MONTH(Tabla1[[#This Row],[Fecha]])</f>
        <v>4</v>
      </c>
    </row>
    <row r="677" spans="2:12" hidden="1" x14ac:dyDescent="0.25">
      <c r="B677" s="5" t="s">
        <v>309</v>
      </c>
      <c r="C677" s="5" t="s">
        <v>315</v>
      </c>
      <c r="D677" s="5" t="s">
        <v>11</v>
      </c>
      <c r="E677" s="6">
        <v>45393</v>
      </c>
      <c r="F677" s="4" t="s">
        <v>15</v>
      </c>
      <c r="G677" s="4" t="s">
        <v>16</v>
      </c>
      <c r="H677" s="4" t="s">
        <v>74</v>
      </c>
      <c r="I677" s="5" t="s">
        <v>751</v>
      </c>
      <c r="J677" s="5"/>
      <c r="K677" s="22">
        <f>YEAR(Tabla1[[#This Row],[Fecha]])</f>
        <v>2024</v>
      </c>
      <c r="L677" s="22">
        <f>MONTH(Tabla1[[#This Row],[Fecha]])</f>
        <v>4</v>
      </c>
    </row>
    <row r="678" spans="2:12" hidden="1" x14ac:dyDescent="0.25">
      <c r="B678" s="5" t="s">
        <v>9</v>
      </c>
      <c r="C678" s="5" t="s">
        <v>93</v>
      </c>
      <c r="D678" s="5" t="s">
        <v>11</v>
      </c>
      <c r="E678" s="6">
        <v>45390</v>
      </c>
      <c r="F678" s="4" t="s">
        <v>15</v>
      </c>
      <c r="G678" s="4" t="s">
        <v>16</v>
      </c>
      <c r="H678" s="4" t="s">
        <v>1796</v>
      </c>
      <c r="I678" s="5" t="s">
        <v>758</v>
      </c>
      <c r="J678" s="5"/>
      <c r="K678" s="22">
        <f>YEAR(Tabla1[[#This Row],[Fecha]])</f>
        <v>2024</v>
      </c>
      <c r="L678" s="22">
        <f>MONTH(Tabla1[[#This Row],[Fecha]])</f>
        <v>4</v>
      </c>
    </row>
    <row r="679" spans="2:12" hidden="1" x14ac:dyDescent="0.25">
      <c r="B679" s="5" t="s">
        <v>309</v>
      </c>
      <c r="C679" s="5" t="s">
        <v>315</v>
      </c>
      <c r="D679" s="5" t="s">
        <v>11</v>
      </c>
      <c r="E679" s="6">
        <v>45387</v>
      </c>
      <c r="F679" s="4" t="s">
        <v>15</v>
      </c>
      <c r="G679" s="4" t="s">
        <v>16</v>
      </c>
      <c r="H679" s="4" t="s">
        <v>34</v>
      </c>
      <c r="I679" s="5" t="s">
        <v>800</v>
      </c>
      <c r="J679" s="5"/>
      <c r="K679" s="22">
        <f>YEAR(Tabla1[[#This Row],[Fecha]])</f>
        <v>2024</v>
      </c>
      <c r="L679" s="22">
        <f>MONTH(Tabla1[[#This Row],[Fecha]])</f>
        <v>4</v>
      </c>
    </row>
    <row r="680" spans="2:12" hidden="1" x14ac:dyDescent="0.25">
      <c r="B680" s="5" t="s">
        <v>309</v>
      </c>
      <c r="C680" s="5" t="s">
        <v>532</v>
      </c>
      <c r="D680" s="5" t="s">
        <v>11</v>
      </c>
      <c r="E680" s="6">
        <v>45384</v>
      </c>
      <c r="F680" s="4" t="s">
        <v>15</v>
      </c>
      <c r="G680" s="4" t="s">
        <v>36</v>
      </c>
      <c r="H680" s="4" t="s">
        <v>1785</v>
      </c>
      <c r="I680" s="5" t="s">
        <v>801</v>
      </c>
      <c r="J680" s="5"/>
      <c r="K680" s="22">
        <f>YEAR(Tabla1[[#This Row],[Fecha]])</f>
        <v>2024</v>
      </c>
      <c r="L680" s="22">
        <f>MONTH(Tabla1[[#This Row],[Fecha]])</f>
        <v>4</v>
      </c>
    </row>
    <row r="681" spans="2:12" hidden="1" x14ac:dyDescent="0.25">
      <c r="B681" s="5" t="s">
        <v>309</v>
      </c>
      <c r="C681" s="5" t="s">
        <v>60</v>
      </c>
      <c r="D681" s="5" t="s">
        <v>11</v>
      </c>
      <c r="E681" s="6">
        <v>45383</v>
      </c>
      <c r="F681" s="4" t="s">
        <v>15</v>
      </c>
      <c r="G681" s="4" t="s">
        <v>16</v>
      </c>
      <c r="H681" s="4" t="s">
        <v>1775</v>
      </c>
      <c r="I681" s="5" t="s">
        <v>802</v>
      </c>
      <c r="J681" s="5"/>
      <c r="K681" s="22">
        <f>YEAR(Tabla1[[#This Row],[Fecha]])</f>
        <v>2024</v>
      </c>
      <c r="L681" s="22">
        <f>MONTH(Tabla1[[#This Row],[Fecha]])</f>
        <v>4</v>
      </c>
    </row>
    <row r="682" spans="2:12" hidden="1" x14ac:dyDescent="0.25">
      <c r="B682" s="5" t="s">
        <v>49</v>
      </c>
      <c r="C682" s="5" t="s">
        <v>60</v>
      </c>
      <c r="D682" s="5" t="s">
        <v>11</v>
      </c>
      <c r="E682" s="6">
        <v>45372</v>
      </c>
      <c r="F682" s="4" t="s">
        <v>15</v>
      </c>
      <c r="G682" s="4" t="s">
        <v>24</v>
      </c>
      <c r="H682" s="4" t="s">
        <v>1773</v>
      </c>
      <c r="I682" s="5" t="s">
        <v>803</v>
      </c>
      <c r="J682" s="5"/>
      <c r="K682" s="22">
        <f>YEAR(Tabla1[[#This Row],[Fecha]])</f>
        <v>2024</v>
      </c>
      <c r="L682" s="22">
        <f>MONTH(Tabla1[[#This Row],[Fecha]])</f>
        <v>3</v>
      </c>
    </row>
    <row r="683" spans="2:12" hidden="1" x14ac:dyDescent="0.25">
      <c r="B683" s="5" t="s">
        <v>49</v>
      </c>
      <c r="C683" s="5" t="s">
        <v>111</v>
      </c>
      <c r="D683" s="5" t="s">
        <v>11</v>
      </c>
      <c r="E683" s="6">
        <v>45372</v>
      </c>
      <c r="F683" s="4" t="s">
        <v>15</v>
      </c>
      <c r="G683" s="4" t="s">
        <v>16</v>
      </c>
      <c r="H683" s="4" t="s">
        <v>34</v>
      </c>
      <c r="I683" s="5" t="s">
        <v>804</v>
      </c>
      <c r="J683" s="5"/>
      <c r="K683" s="22">
        <f>YEAR(Tabla1[[#This Row],[Fecha]])</f>
        <v>2024</v>
      </c>
      <c r="L683" s="22">
        <f>MONTH(Tabla1[[#This Row],[Fecha]])</f>
        <v>3</v>
      </c>
    </row>
    <row r="684" spans="2:12" hidden="1" x14ac:dyDescent="0.25">
      <c r="B684" s="5" t="s">
        <v>248</v>
      </c>
      <c r="C684" s="5" t="s">
        <v>264</v>
      </c>
      <c r="D684" s="5" t="s">
        <v>11</v>
      </c>
      <c r="E684" s="6">
        <v>45372</v>
      </c>
      <c r="F684" s="11" t="s">
        <v>15</v>
      </c>
      <c r="G684" s="11" t="s">
        <v>24</v>
      </c>
      <c r="H684" s="11" t="s">
        <v>12</v>
      </c>
      <c r="I684" s="11" t="s">
        <v>805</v>
      </c>
      <c r="J684" s="5"/>
      <c r="K684" s="22">
        <f>YEAR(Tabla1[[#This Row],[Fecha]])</f>
        <v>2024</v>
      </c>
      <c r="L684" s="22">
        <f>MONTH(Tabla1[[#This Row],[Fecha]])</f>
        <v>3</v>
      </c>
    </row>
    <row r="685" spans="2:12" hidden="1" x14ac:dyDescent="0.25">
      <c r="B685" s="5" t="s">
        <v>49</v>
      </c>
      <c r="C685" s="5" t="s">
        <v>123</v>
      </c>
      <c r="D685" s="5" t="s">
        <v>11</v>
      </c>
      <c r="E685" s="6">
        <v>45371</v>
      </c>
      <c r="F685" s="4" t="s">
        <v>15</v>
      </c>
      <c r="G685" s="4" t="s">
        <v>16</v>
      </c>
      <c r="H685" s="4" t="s">
        <v>41</v>
      </c>
      <c r="I685" s="5" t="s">
        <v>818</v>
      </c>
      <c r="J685" s="15"/>
      <c r="K685" s="22">
        <f>YEAR(Tabla1[[#This Row],[Fecha]])</f>
        <v>2024</v>
      </c>
      <c r="L685" s="22">
        <f>MONTH(Tabla1[[#This Row],[Fecha]])</f>
        <v>3</v>
      </c>
    </row>
    <row r="686" spans="2:12" hidden="1" x14ac:dyDescent="0.25">
      <c r="B686" s="5" t="s">
        <v>9</v>
      </c>
      <c r="C686" s="5" t="s">
        <v>102</v>
      </c>
      <c r="D686" s="5" t="s">
        <v>11</v>
      </c>
      <c r="E686" s="6">
        <v>45371</v>
      </c>
      <c r="F686" s="4" t="s">
        <v>15</v>
      </c>
      <c r="G686" s="4" t="s">
        <v>24</v>
      </c>
      <c r="H686" s="4" t="s">
        <v>34</v>
      </c>
      <c r="I686" s="36" t="s">
        <v>823</v>
      </c>
      <c r="J686" s="5"/>
      <c r="K686" s="22">
        <f>YEAR(Tabla1[[#This Row],[Fecha]])</f>
        <v>2024</v>
      </c>
      <c r="L686" s="22">
        <f>MONTH(Tabla1[[#This Row],[Fecha]])</f>
        <v>3</v>
      </c>
    </row>
    <row r="687" spans="2:12" hidden="1" x14ac:dyDescent="0.25">
      <c r="B687" s="5" t="s">
        <v>9</v>
      </c>
      <c r="C687" s="5" t="s">
        <v>93</v>
      </c>
      <c r="D687" s="5" t="s">
        <v>11</v>
      </c>
      <c r="E687" s="6">
        <v>45371</v>
      </c>
      <c r="F687" s="4" t="s">
        <v>15</v>
      </c>
      <c r="G687" s="4" t="s">
        <v>24</v>
      </c>
      <c r="H687" s="4" t="s">
        <v>34</v>
      </c>
      <c r="I687" s="36" t="s">
        <v>824</v>
      </c>
      <c r="J687" s="5"/>
      <c r="K687" s="22">
        <f>YEAR(Tabla1[[#This Row],[Fecha]])</f>
        <v>2024</v>
      </c>
      <c r="L687" s="22">
        <f>MONTH(Tabla1[[#This Row],[Fecha]])</f>
        <v>3</v>
      </c>
    </row>
    <row r="688" spans="2:12" hidden="1" x14ac:dyDescent="0.25">
      <c r="B688" s="5" t="s">
        <v>32</v>
      </c>
      <c r="C688" s="5" t="s">
        <v>628</v>
      </c>
      <c r="D688" s="5" t="s">
        <v>11</v>
      </c>
      <c r="E688" s="6">
        <v>45370</v>
      </c>
      <c r="F688" s="4" t="s">
        <v>15</v>
      </c>
      <c r="G688" s="4" t="s">
        <v>16</v>
      </c>
      <c r="H688" s="4" t="s">
        <v>41</v>
      </c>
      <c r="I688" s="5" t="s">
        <v>793</v>
      </c>
      <c r="J688" s="5"/>
      <c r="K688" s="22">
        <f>YEAR(Tabla1[[#This Row],[Fecha]])</f>
        <v>2024</v>
      </c>
      <c r="L688" s="22">
        <f>MONTH(Tabla1[[#This Row],[Fecha]])</f>
        <v>3</v>
      </c>
    </row>
    <row r="689" spans="2:12" hidden="1" x14ac:dyDescent="0.25">
      <c r="B689" s="5" t="s">
        <v>32</v>
      </c>
      <c r="C689" s="5" t="s">
        <v>628</v>
      </c>
      <c r="D689" s="5" t="s">
        <v>11</v>
      </c>
      <c r="E689" s="6">
        <v>45370</v>
      </c>
      <c r="F689" s="4" t="s">
        <v>15</v>
      </c>
      <c r="G689" s="4" t="s">
        <v>16</v>
      </c>
      <c r="H689" s="4" t="s">
        <v>41</v>
      </c>
      <c r="I689" s="5" t="s">
        <v>794</v>
      </c>
      <c r="J689" s="5"/>
      <c r="K689" s="22">
        <f>YEAR(Tabla1[[#This Row],[Fecha]])</f>
        <v>2024</v>
      </c>
      <c r="L689" s="22">
        <f>MONTH(Tabla1[[#This Row],[Fecha]])</f>
        <v>3</v>
      </c>
    </row>
    <row r="690" spans="2:12" hidden="1" x14ac:dyDescent="0.25">
      <c r="B690" s="5" t="s">
        <v>32</v>
      </c>
      <c r="C690" s="5" t="s">
        <v>33</v>
      </c>
      <c r="D690" s="5" t="s">
        <v>11</v>
      </c>
      <c r="E690" s="6">
        <v>45370</v>
      </c>
      <c r="F690" s="4" t="s">
        <v>15</v>
      </c>
      <c r="G690" s="4" t="s">
        <v>16</v>
      </c>
      <c r="H690" s="4" t="s">
        <v>34</v>
      </c>
      <c r="I690" s="5" t="s">
        <v>828</v>
      </c>
      <c r="J690" s="5"/>
      <c r="K690" s="22">
        <f>YEAR(Tabla1[[#This Row],[Fecha]])</f>
        <v>2024</v>
      </c>
      <c r="L690" s="22">
        <f>MONTH(Tabla1[[#This Row],[Fecha]])</f>
        <v>3</v>
      </c>
    </row>
    <row r="691" spans="2:12" hidden="1" x14ac:dyDescent="0.25">
      <c r="B691" s="5" t="s">
        <v>193</v>
      </c>
      <c r="C691" s="5" t="s">
        <v>752</v>
      </c>
      <c r="D691" s="5" t="s">
        <v>131</v>
      </c>
      <c r="E691" s="6">
        <v>45369</v>
      </c>
      <c r="F691" s="4" t="s">
        <v>91</v>
      </c>
      <c r="G691" s="4" t="s">
        <v>16</v>
      </c>
      <c r="H691" s="29" t="s">
        <v>1704</v>
      </c>
      <c r="I691" s="5" t="s">
        <v>753</v>
      </c>
      <c r="J691" s="7"/>
      <c r="K691" s="15">
        <f>YEAR(Tabla1[[#This Row],[Fecha]])</f>
        <v>2024</v>
      </c>
      <c r="L691" s="15">
        <f>MONTH(Tabla1[[#This Row],[Fecha]])</f>
        <v>3</v>
      </c>
    </row>
    <row r="692" spans="2:12" hidden="1" x14ac:dyDescent="0.25">
      <c r="B692" s="5" t="s">
        <v>193</v>
      </c>
      <c r="C692" s="5" t="s">
        <v>752</v>
      </c>
      <c r="D692" s="5" t="s">
        <v>131</v>
      </c>
      <c r="E692" s="6">
        <v>45369</v>
      </c>
      <c r="F692" s="4" t="s">
        <v>15</v>
      </c>
      <c r="G692" s="4" t="s">
        <v>47</v>
      </c>
      <c r="H692" s="4" t="s">
        <v>121</v>
      </c>
      <c r="I692" s="5" t="s">
        <v>754</v>
      </c>
      <c r="J692" s="5"/>
      <c r="K692" s="22">
        <f>YEAR(Tabla1[[#This Row],[Fecha]])</f>
        <v>2024</v>
      </c>
      <c r="L692" s="22">
        <f>MONTH(Tabla1[[#This Row],[Fecha]])</f>
        <v>3</v>
      </c>
    </row>
    <row r="693" spans="2:12" hidden="1" x14ac:dyDescent="0.25">
      <c r="B693" s="5" t="s">
        <v>309</v>
      </c>
      <c r="C693" s="5" t="s">
        <v>318</v>
      </c>
      <c r="D693" s="5" t="s">
        <v>11</v>
      </c>
      <c r="E693" s="6">
        <v>45369</v>
      </c>
      <c r="F693" s="4" t="s">
        <v>15</v>
      </c>
      <c r="G693" s="4" t="s">
        <v>47</v>
      </c>
      <c r="H693" s="4" t="s">
        <v>333</v>
      </c>
      <c r="I693" s="5" t="s">
        <v>825</v>
      </c>
      <c r="J693" s="5"/>
      <c r="K693" s="22">
        <f>YEAR(Tabla1[[#This Row],[Fecha]])</f>
        <v>2024</v>
      </c>
      <c r="L693" s="22">
        <f>MONTH(Tabla1[[#This Row],[Fecha]])</f>
        <v>3</v>
      </c>
    </row>
    <row r="694" spans="2:12" hidden="1" x14ac:dyDescent="0.25">
      <c r="B694" s="5" t="s">
        <v>32</v>
      </c>
      <c r="C694" s="5" t="s">
        <v>33</v>
      </c>
      <c r="D694" s="5" t="s">
        <v>11</v>
      </c>
      <c r="E694" s="6">
        <v>45369</v>
      </c>
      <c r="F694" s="4" t="s">
        <v>15</v>
      </c>
      <c r="G694" s="4" t="s">
        <v>16</v>
      </c>
      <c r="H694" s="4" t="s">
        <v>34</v>
      </c>
      <c r="I694" s="5" t="s">
        <v>829</v>
      </c>
      <c r="J694" s="5"/>
      <c r="K694" s="22">
        <f>YEAR(Tabla1[[#This Row],[Fecha]])</f>
        <v>2024</v>
      </c>
      <c r="L694" s="22">
        <f>MONTH(Tabla1[[#This Row],[Fecha]])</f>
        <v>3</v>
      </c>
    </row>
    <row r="695" spans="2:12" hidden="1" x14ac:dyDescent="0.25">
      <c r="B695" s="5" t="s">
        <v>309</v>
      </c>
      <c r="C695" s="5" t="s">
        <v>313</v>
      </c>
      <c r="D695" s="5" t="s">
        <v>11</v>
      </c>
      <c r="E695" s="6">
        <v>45369</v>
      </c>
      <c r="F695" s="4" t="s">
        <v>15</v>
      </c>
      <c r="G695" s="4" t="s">
        <v>16</v>
      </c>
      <c r="H695" s="4" t="s">
        <v>41</v>
      </c>
      <c r="I695" s="5" t="s">
        <v>835</v>
      </c>
      <c r="J695" s="5"/>
      <c r="K695" s="22">
        <f>YEAR(Tabla1[[#This Row],[Fecha]])</f>
        <v>2024</v>
      </c>
      <c r="L695" s="22">
        <f>MONTH(Tabla1[[#This Row],[Fecha]])</f>
        <v>3</v>
      </c>
    </row>
    <row r="696" spans="2:12" hidden="1" x14ac:dyDescent="0.25">
      <c r="B696" s="5" t="s">
        <v>9</v>
      </c>
      <c r="C696" s="5" t="s">
        <v>102</v>
      </c>
      <c r="D696" s="5" t="s">
        <v>11</v>
      </c>
      <c r="E696" s="6">
        <v>45365</v>
      </c>
      <c r="F696" s="4" t="s">
        <v>15</v>
      </c>
      <c r="G696" s="4" t="s">
        <v>16</v>
      </c>
      <c r="H696" s="4" t="s">
        <v>34</v>
      </c>
      <c r="I696" s="5" t="s">
        <v>820</v>
      </c>
      <c r="J696" s="5"/>
      <c r="K696" s="22">
        <f>YEAR(Tabla1[[#This Row],[Fecha]])</f>
        <v>2024</v>
      </c>
      <c r="L696" s="22">
        <f>MONTH(Tabla1[[#This Row],[Fecha]])</f>
        <v>3</v>
      </c>
    </row>
    <row r="697" spans="2:12" hidden="1" x14ac:dyDescent="0.25">
      <c r="B697" s="5" t="s">
        <v>9</v>
      </c>
      <c r="C697" s="5" t="s">
        <v>82</v>
      </c>
      <c r="D697" s="5" t="s">
        <v>11</v>
      </c>
      <c r="E697" s="6">
        <v>45365</v>
      </c>
      <c r="F697" s="4" t="s">
        <v>15</v>
      </c>
      <c r="G697" s="4" t="s">
        <v>16</v>
      </c>
      <c r="H697" s="4" t="s">
        <v>34</v>
      </c>
      <c r="I697" s="5" t="s">
        <v>821</v>
      </c>
      <c r="J697" s="5"/>
      <c r="K697" s="22">
        <f>YEAR(Tabla1[[#This Row],[Fecha]])</f>
        <v>2024</v>
      </c>
      <c r="L697" s="22">
        <f>MONTH(Tabla1[[#This Row],[Fecha]])</f>
        <v>3</v>
      </c>
    </row>
    <row r="698" spans="2:12" hidden="1" x14ac:dyDescent="0.25">
      <c r="B698" s="5" t="s">
        <v>9</v>
      </c>
      <c r="C698" s="5" t="s">
        <v>62</v>
      </c>
      <c r="D698" s="5" t="s">
        <v>11</v>
      </c>
      <c r="E698" s="6">
        <v>45365</v>
      </c>
      <c r="F698" s="4" t="s">
        <v>15</v>
      </c>
      <c r="G698" s="4" t="s">
        <v>16</v>
      </c>
      <c r="H698" s="4" t="s">
        <v>34</v>
      </c>
      <c r="I698" s="5" t="s">
        <v>822</v>
      </c>
      <c r="J698" s="5"/>
      <c r="K698" s="22">
        <f>YEAR(Tabla1[[#This Row],[Fecha]])</f>
        <v>2024</v>
      </c>
      <c r="L698" s="22">
        <f>MONTH(Tabla1[[#This Row],[Fecha]])</f>
        <v>3</v>
      </c>
    </row>
    <row r="699" spans="2:12" hidden="1" x14ac:dyDescent="0.25">
      <c r="B699" s="5" t="s">
        <v>49</v>
      </c>
      <c r="C699" s="5" t="s">
        <v>50</v>
      </c>
      <c r="D699" s="5" t="s">
        <v>11</v>
      </c>
      <c r="E699" s="6">
        <v>45358</v>
      </c>
      <c r="F699" s="4" t="s">
        <v>15</v>
      </c>
      <c r="G699" s="4" t="s">
        <v>47</v>
      </c>
      <c r="H699" s="4" t="s">
        <v>1776</v>
      </c>
      <c r="I699" s="5" t="s">
        <v>755</v>
      </c>
      <c r="J699" s="5"/>
      <c r="K699" s="22">
        <f>YEAR(Tabla1[[#This Row],[Fecha]])</f>
        <v>2024</v>
      </c>
      <c r="L699" s="22">
        <f>MONTH(Tabla1[[#This Row],[Fecha]])</f>
        <v>3</v>
      </c>
    </row>
    <row r="700" spans="2:12" hidden="1" x14ac:dyDescent="0.25">
      <c r="B700" s="5" t="s">
        <v>181</v>
      </c>
      <c r="C700" s="5" t="s">
        <v>182</v>
      </c>
      <c r="D700" s="5" t="s">
        <v>11</v>
      </c>
      <c r="E700" s="6">
        <v>45358</v>
      </c>
      <c r="F700" s="4" t="s">
        <v>15</v>
      </c>
      <c r="G700" s="4" t="s">
        <v>16</v>
      </c>
      <c r="H700" s="4" t="s">
        <v>41</v>
      </c>
      <c r="I700" s="5" t="s">
        <v>759</v>
      </c>
      <c r="J700" s="5"/>
      <c r="K700" s="22">
        <f>YEAR(Tabla1[[#This Row],[Fecha]])</f>
        <v>2024</v>
      </c>
      <c r="L700" s="22">
        <f>MONTH(Tabla1[[#This Row],[Fecha]])</f>
        <v>3</v>
      </c>
    </row>
    <row r="701" spans="2:12" hidden="1" x14ac:dyDescent="0.25">
      <c r="B701" s="5" t="s">
        <v>9</v>
      </c>
      <c r="C701" s="5" t="s">
        <v>93</v>
      </c>
      <c r="D701" s="5" t="s">
        <v>11</v>
      </c>
      <c r="E701" s="6">
        <v>45357</v>
      </c>
      <c r="F701" s="4" t="s">
        <v>15</v>
      </c>
      <c r="G701" s="4" t="s">
        <v>16</v>
      </c>
      <c r="H701" s="4" t="s">
        <v>17</v>
      </c>
      <c r="I701" s="5" t="s">
        <v>756</v>
      </c>
      <c r="J701" s="5"/>
      <c r="K701" s="22">
        <f>YEAR(Tabla1[[#This Row],[Fecha]])</f>
        <v>2024</v>
      </c>
      <c r="L701" s="22">
        <f>MONTH(Tabla1[[#This Row],[Fecha]])</f>
        <v>3</v>
      </c>
    </row>
    <row r="702" spans="2:12" hidden="1" x14ac:dyDescent="0.25">
      <c r="B702" s="5" t="s">
        <v>9</v>
      </c>
      <c r="C702" s="5" t="s">
        <v>99</v>
      </c>
      <c r="D702" s="5" t="s">
        <v>11</v>
      </c>
      <c r="E702" s="6">
        <v>45357</v>
      </c>
      <c r="F702" s="4" t="s">
        <v>91</v>
      </c>
      <c r="G702" s="4" t="s">
        <v>1705</v>
      </c>
      <c r="H702" s="4" t="s">
        <v>1706</v>
      </c>
      <c r="I702" s="5" t="s">
        <v>757</v>
      </c>
      <c r="J702" s="5"/>
      <c r="K702" s="22">
        <f>YEAR(Tabla1[[#This Row],[Fecha]])</f>
        <v>2024</v>
      </c>
      <c r="L702" s="22">
        <f>MONTH(Tabla1[[#This Row],[Fecha]])</f>
        <v>3</v>
      </c>
    </row>
    <row r="703" spans="2:12" hidden="1" x14ac:dyDescent="0.25">
      <c r="B703" s="5" t="s">
        <v>309</v>
      </c>
      <c r="C703" s="5" t="s">
        <v>315</v>
      </c>
      <c r="D703" s="5" t="s">
        <v>131</v>
      </c>
      <c r="E703" s="6">
        <v>45356</v>
      </c>
      <c r="F703" s="4" t="s">
        <v>15</v>
      </c>
      <c r="G703" s="4" t="s">
        <v>16</v>
      </c>
      <c r="H703" s="4" t="s">
        <v>41</v>
      </c>
      <c r="I703" s="5" t="s">
        <v>797</v>
      </c>
      <c r="J703" s="5"/>
      <c r="K703" s="22">
        <f>YEAR(Tabla1[[#This Row],[Fecha]])</f>
        <v>2024</v>
      </c>
      <c r="L703" s="22">
        <f>MONTH(Tabla1[[#This Row],[Fecha]])</f>
        <v>3</v>
      </c>
    </row>
    <row r="704" spans="2:12" hidden="1" x14ac:dyDescent="0.25">
      <c r="B704" s="5" t="s">
        <v>32</v>
      </c>
      <c r="C704" s="5" t="s">
        <v>33</v>
      </c>
      <c r="D704" s="5" t="s">
        <v>11</v>
      </c>
      <c r="E704" s="6">
        <v>45356</v>
      </c>
      <c r="F704" s="4" t="s">
        <v>15</v>
      </c>
      <c r="G704" s="4" t="s">
        <v>16</v>
      </c>
      <c r="H704" s="4" t="s">
        <v>41</v>
      </c>
      <c r="I704" s="5" t="s">
        <v>808</v>
      </c>
      <c r="J704" s="5"/>
      <c r="K704" s="22">
        <f>YEAR(Tabla1[[#This Row],[Fecha]])</f>
        <v>2024</v>
      </c>
      <c r="L704" s="22">
        <f>MONTH(Tabla1[[#This Row],[Fecha]])</f>
        <v>3</v>
      </c>
    </row>
    <row r="705" spans="2:12" hidden="1" x14ac:dyDescent="0.25">
      <c r="B705" s="5" t="s">
        <v>309</v>
      </c>
      <c r="C705" s="5" t="s">
        <v>320</v>
      </c>
      <c r="D705" s="5" t="s">
        <v>11</v>
      </c>
      <c r="E705" s="6">
        <v>45355</v>
      </c>
      <c r="F705" s="4" t="s">
        <v>15</v>
      </c>
      <c r="G705" s="4" t="s">
        <v>16</v>
      </c>
      <c r="H705" s="4" t="s">
        <v>17</v>
      </c>
      <c r="I705" s="5" t="s">
        <v>838</v>
      </c>
      <c r="J705" s="5"/>
      <c r="K705" s="22">
        <f>YEAR(Tabla1[[#This Row],[Fecha]])</f>
        <v>2024</v>
      </c>
      <c r="L705" s="22">
        <f>MONTH(Tabla1[[#This Row],[Fecha]])</f>
        <v>3</v>
      </c>
    </row>
    <row r="706" spans="2:12" hidden="1" x14ac:dyDescent="0.25">
      <c r="B706" s="5" t="s">
        <v>9</v>
      </c>
      <c r="C706" s="5" t="s">
        <v>10</v>
      </c>
      <c r="D706" s="5" t="s">
        <v>11</v>
      </c>
      <c r="E706" s="6">
        <v>45352</v>
      </c>
      <c r="F706" s="4" t="s">
        <v>15</v>
      </c>
      <c r="G706" s="4" t="s">
        <v>24</v>
      </c>
      <c r="H706" s="4" t="s">
        <v>51</v>
      </c>
      <c r="I706" s="36" t="s">
        <v>836</v>
      </c>
      <c r="J706" s="5"/>
      <c r="K706" s="22">
        <f>YEAR(Tabla1[[#This Row],[Fecha]])</f>
        <v>2024</v>
      </c>
      <c r="L706" s="22">
        <f>MONTH(Tabla1[[#This Row],[Fecha]])</f>
        <v>3</v>
      </c>
    </row>
    <row r="707" spans="2:12" hidden="1" x14ac:dyDescent="0.25">
      <c r="B707" s="5" t="s">
        <v>9</v>
      </c>
      <c r="C707" s="5" t="s">
        <v>80</v>
      </c>
      <c r="D707" s="5" t="s">
        <v>11</v>
      </c>
      <c r="E707" s="6">
        <v>45352</v>
      </c>
      <c r="F707" s="4" t="s">
        <v>15</v>
      </c>
      <c r="G707" s="4" t="s">
        <v>47</v>
      </c>
      <c r="H707" s="4" t="s">
        <v>51</v>
      </c>
      <c r="I707" s="5" t="s">
        <v>837</v>
      </c>
      <c r="J707" s="5"/>
      <c r="K707" s="22">
        <f>YEAR(Tabla1[[#This Row],[Fecha]])</f>
        <v>2024</v>
      </c>
      <c r="L707" s="22">
        <f>MONTH(Tabla1[[#This Row],[Fecha]])</f>
        <v>3</v>
      </c>
    </row>
    <row r="708" spans="2:12" hidden="1" x14ac:dyDescent="0.25">
      <c r="B708" s="5" t="s">
        <v>248</v>
      </c>
      <c r="C708" s="5" t="s">
        <v>249</v>
      </c>
      <c r="D708" s="5" t="s">
        <v>11</v>
      </c>
      <c r="E708" s="6">
        <v>45352</v>
      </c>
      <c r="F708" s="4" t="s">
        <v>15</v>
      </c>
      <c r="G708" s="4" t="s">
        <v>24</v>
      </c>
      <c r="H708" s="4" t="s">
        <v>1773</v>
      </c>
      <c r="I708" s="5" t="s">
        <v>826</v>
      </c>
      <c r="J708" s="5"/>
      <c r="K708" s="22">
        <f>YEAR(Tabla1[[#This Row],[Fecha]])</f>
        <v>2024</v>
      </c>
      <c r="L708" s="22">
        <f>MONTH(Tabla1[[#This Row],[Fecha]])</f>
        <v>3</v>
      </c>
    </row>
    <row r="709" spans="2:12" hidden="1" x14ac:dyDescent="0.25">
      <c r="B709" s="5" t="s">
        <v>248</v>
      </c>
      <c r="C709" s="5" t="s">
        <v>249</v>
      </c>
      <c r="D709" s="5" t="s">
        <v>11</v>
      </c>
      <c r="E709" s="6">
        <v>45352</v>
      </c>
      <c r="F709" s="4" t="s">
        <v>15</v>
      </c>
      <c r="G709" s="4" t="s">
        <v>24</v>
      </c>
      <c r="H709" s="4" t="s">
        <v>12</v>
      </c>
      <c r="I709" s="5" t="s">
        <v>827</v>
      </c>
      <c r="J709" s="5"/>
      <c r="K709" s="22">
        <f>YEAR(Tabla1[[#This Row],[Fecha]])</f>
        <v>2024</v>
      </c>
      <c r="L709" s="22">
        <f>MONTH(Tabla1[[#This Row],[Fecha]])</f>
        <v>3</v>
      </c>
    </row>
    <row r="710" spans="2:12" hidden="1" x14ac:dyDescent="0.25">
      <c r="B710" s="5" t="s">
        <v>49</v>
      </c>
      <c r="C710" s="5" t="s">
        <v>60</v>
      </c>
      <c r="D710" s="5" t="s">
        <v>11</v>
      </c>
      <c r="E710" s="6">
        <v>45351</v>
      </c>
      <c r="F710" s="4" t="s">
        <v>15</v>
      </c>
      <c r="G710" s="4" t="s">
        <v>16</v>
      </c>
      <c r="H710" s="4" t="s">
        <v>41</v>
      </c>
      <c r="I710" s="5" t="s">
        <v>819</v>
      </c>
      <c r="J710" s="5"/>
      <c r="K710" s="22">
        <f>YEAR(Tabla1[[#This Row],[Fecha]])</f>
        <v>2024</v>
      </c>
      <c r="L710" s="22">
        <f>MONTH(Tabla1[[#This Row],[Fecha]])</f>
        <v>2</v>
      </c>
    </row>
    <row r="711" spans="2:12" ht="30" hidden="1" x14ac:dyDescent="0.25">
      <c r="B711" s="5" t="s">
        <v>309</v>
      </c>
      <c r="C711" s="5" t="s">
        <v>310</v>
      </c>
      <c r="D711" s="5" t="s">
        <v>11</v>
      </c>
      <c r="E711" s="6">
        <v>45350</v>
      </c>
      <c r="F711" s="4" t="s">
        <v>15</v>
      </c>
      <c r="G711" s="4" t="s">
        <v>16</v>
      </c>
      <c r="H711" s="4" t="s">
        <v>74</v>
      </c>
      <c r="I711" s="23" t="s">
        <v>1707</v>
      </c>
      <c r="J711" s="5"/>
      <c r="K711" s="22">
        <f>YEAR(Tabla1[[#This Row],[Fecha]])</f>
        <v>2024</v>
      </c>
      <c r="L711" s="22">
        <f>MONTH(Tabla1[[#This Row],[Fecha]])</f>
        <v>2</v>
      </c>
    </row>
    <row r="712" spans="2:12" hidden="1" x14ac:dyDescent="0.25">
      <c r="B712" s="5" t="s">
        <v>9</v>
      </c>
      <c r="C712" s="5" t="s">
        <v>68</v>
      </c>
      <c r="D712" s="5" t="s">
        <v>11</v>
      </c>
      <c r="E712" s="6">
        <v>45350</v>
      </c>
      <c r="F712" s="4" t="s">
        <v>91</v>
      </c>
      <c r="G712" s="31" t="s">
        <v>47</v>
      </c>
      <c r="H712" s="8" t="s">
        <v>118</v>
      </c>
      <c r="I712" s="5" t="s">
        <v>782</v>
      </c>
      <c r="J712" s="7"/>
      <c r="K712" s="15">
        <f>YEAR(Tabla1[[#This Row],[Fecha]])</f>
        <v>2024</v>
      </c>
      <c r="L712" s="15">
        <f>MONTH(Tabla1[[#This Row],[Fecha]])</f>
        <v>2</v>
      </c>
    </row>
    <row r="713" spans="2:12" hidden="1" x14ac:dyDescent="0.25">
      <c r="B713" s="5" t="s">
        <v>9</v>
      </c>
      <c r="C713" s="5" t="s">
        <v>102</v>
      </c>
      <c r="D713" s="5" t="s">
        <v>11</v>
      </c>
      <c r="E713" s="6">
        <v>45350</v>
      </c>
      <c r="F713" s="4" t="s">
        <v>15</v>
      </c>
      <c r="G713" s="4" t="s">
        <v>24</v>
      </c>
      <c r="H713" s="8" t="s">
        <v>118</v>
      </c>
      <c r="I713" s="5" t="s">
        <v>783</v>
      </c>
      <c r="J713" s="7"/>
      <c r="K713" s="15">
        <f>YEAR(Tabla1[[#This Row],[Fecha]])</f>
        <v>2024</v>
      </c>
      <c r="L713" s="15">
        <f>MONTH(Tabla1[[#This Row],[Fecha]])</f>
        <v>2</v>
      </c>
    </row>
    <row r="714" spans="2:12" hidden="1" x14ac:dyDescent="0.25">
      <c r="B714" s="5" t="s">
        <v>9</v>
      </c>
      <c r="C714" s="5" t="s">
        <v>87</v>
      </c>
      <c r="D714" s="5" t="s">
        <v>11</v>
      </c>
      <c r="E714" s="6">
        <v>45350</v>
      </c>
      <c r="F714" s="4" t="s">
        <v>91</v>
      </c>
      <c r="G714" s="4" t="s">
        <v>24</v>
      </c>
      <c r="H714" s="8" t="s">
        <v>118</v>
      </c>
      <c r="I714" s="5" t="s">
        <v>784</v>
      </c>
      <c r="J714" s="7"/>
      <c r="K714" s="15">
        <f>YEAR(Tabla1[[#This Row],[Fecha]])</f>
        <v>2024</v>
      </c>
      <c r="L714" s="15">
        <f>MONTH(Tabla1[[#This Row],[Fecha]])</f>
        <v>2</v>
      </c>
    </row>
    <row r="715" spans="2:12" hidden="1" x14ac:dyDescent="0.25">
      <c r="B715" s="5" t="s">
        <v>32</v>
      </c>
      <c r="C715" s="5" t="s">
        <v>628</v>
      </c>
      <c r="D715" s="5" t="s">
        <v>11</v>
      </c>
      <c r="E715" s="6">
        <v>45350</v>
      </c>
      <c r="F715" s="4" t="s">
        <v>15</v>
      </c>
      <c r="G715" s="4" t="s">
        <v>16</v>
      </c>
      <c r="H715" s="4" t="s">
        <v>41</v>
      </c>
      <c r="I715" s="5" t="s">
        <v>794</v>
      </c>
      <c r="J715" s="5"/>
      <c r="K715" s="22">
        <f>YEAR(Tabla1[[#This Row],[Fecha]])</f>
        <v>2024</v>
      </c>
      <c r="L715" s="22">
        <f>MONTH(Tabla1[[#This Row],[Fecha]])</f>
        <v>2</v>
      </c>
    </row>
    <row r="716" spans="2:12" hidden="1" x14ac:dyDescent="0.25">
      <c r="B716" s="5" t="s">
        <v>32</v>
      </c>
      <c r="C716" s="5" t="s">
        <v>628</v>
      </c>
      <c r="D716" s="5" t="s">
        <v>11</v>
      </c>
      <c r="E716" s="6">
        <v>45350</v>
      </c>
      <c r="F716" s="4" t="s">
        <v>15</v>
      </c>
      <c r="G716" s="4" t="s">
        <v>16</v>
      </c>
      <c r="H716" s="4" t="s">
        <v>74</v>
      </c>
      <c r="I716" s="5" t="s">
        <v>795</v>
      </c>
      <c r="J716" s="5"/>
      <c r="K716" s="22">
        <f>YEAR(Tabla1[[#This Row],[Fecha]])</f>
        <v>2024</v>
      </c>
      <c r="L716" s="22">
        <f>MONTH(Tabla1[[#This Row],[Fecha]])</f>
        <v>2</v>
      </c>
    </row>
    <row r="717" spans="2:12" hidden="1" x14ac:dyDescent="0.25">
      <c r="B717" s="5" t="s">
        <v>32</v>
      </c>
      <c r="C717" s="5" t="s">
        <v>33</v>
      </c>
      <c r="D717" s="5" t="s">
        <v>11</v>
      </c>
      <c r="E717" s="6">
        <v>45350</v>
      </c>
      <c r="F717" s="4" t="s">
        <v>15</v>
      </c>
      <c r="G717" s="4" t="s">
        <v>16</v>
      </c>
      <c r="H717" s="4" t="s">
        <v>41</v>
      </c>
      <c r="I717" s="5" t="s">
        <v>796</v>
      </c>
      <c r="J717" s="5"/>
      <c r="K717" s="22">
        <f>YEAR(Tabla1[[#This Row],[Fecha]])</f>
        <v>2024</v>
      </c>
      <c r="L717" s="22">
        <f>MONTH(Tabla1[[#This Row],[Fecha]])</f>
        <v>2</v>
      </c>
    </row>
    <row r="718" spans="2:12" hidden="1" x14ac:dyDescent="0.25">
      <c r="B718" s="5" t="s">
        <v>9</v>
      </c>
      <c r="C718" s="5" t="s">
        <v>93</v>
      </c>
      <c r="D718" s="5" t="s">
        <v>11</v>
      </c>
      <c r="E718" s="6">
        <v>45350</v>
      </c>
      <c r="F718" s="4" t="s">
        <v>15</v>
      </c>
      <c r="G718" s="4" t="s">
        <v>16</v>
      </c>
      <c r="H718" s="4" t="s">
        <v>34</v>
      </c>
      <c r="I718" s="5" t="s">
        <v>806</v>
      </c>
      <c r="J718" s="5"/>
      <c r="K718" s="22">
        <f>YEAR(Tabla1[[#This Row],[Fecha]])</f>
        <v>2024</v>
      </c>
      <c r="L718" s="22">
        <f>MONTH(Tabla1[[#This Row],[Fecha]])</f>
        <v>2</v>
      </c>
    </row>
    <row r="719" spans="2:12" hidden="1" x14ac:dyDescent="0.25">
      <c r="B719" s="5" t="s">
        <v>32</v>
      </c>
      <c r="C719" s="5" t="s">
        <v>33</v>
      </c>
      <c r="D719" s="5" t="s">
        <v>11</v>
      </c>
      <c r="E719" s="6">
        <v>45350</v>
      </c>
      <c r="F719" s="4" t="s">
        <v>15</v>
      </c>
      <c r="G719" s="4" t="s">
        <v>16</v>
      </c>
      <c r="H719" s="4" t="s">
        <v>41</v>
      </c>
      <c r="I719" s="5" t="s">
        <v>807</v>
      </c>
      <c r="J719" s="5"/>
      <c r="K719" s="22">
        <f>YEAR(Tabla1[[#This Row],[Fecha]])</f>
        <v>2024</v>
      </c>
      <c r="L719" s="22">
        <f>MONTH(Tabla1[[#This Row],[Fecha]])</f>
        <v>2</v>
      </c>
    </row>
    <row r="720" spans="2:12" hidden="1" x14ac:dyDescent="0.25">
      <c r="B720" s="5" t="s">
        <v>9</v>
      </c>
      <c r="C720" s="5" t="s">
        <v>80</v>
      </c>
      <c r="D720" s="5" t="s">
        <v>11</v>
      </c>
      <c r="E720" s="6">
        <v>45349</v>
      </c>
      <c r="F720" s="4" t="s">
        <v>15</v>
      </c>
      <c r="G720" s="4" t="s">
        <v>47</v>
      </c>
      <c r="H720" s="8" t="s">
        <v>333</v>
      </c>
      <c r="I720" s="5" t="s">
        <v>776</v>
      </c>
      <c r="J720" s="7"/>
      <c r="K720" s="15">
        <f>YEAR(Tabla1[[#This Row],[Fecha]])</f>
        <v>2024</v>
      </c>
      <c r="L720" s="15">
        <f>MONTH(Tabla1[[#This Row],[Fecha]])</f>
        <v>2</v>
      </c>
    </row>
    <row r="721" spans="2:12" hidden="1" x14ac:dyDescent="0.25">
      <c r="B721" s="5" t="s">
        <v>9</v>
      </c>
      <c r="C721" s="5" t="s">
        <v>10</v>
      </c>
      <c r="D721" s="5" t="s">
        <v>11</v>
      </c>
      <c r="E721" s="6">
        <v>45349</v>
      </c>
      <c r="F721" s="4" t="s">
        <v>91</v>
      </c>
      <c r="G721" s="4" t="s">
        <v>24</v>
      </c>
      <c r="H721" s="8" t="s">
        <v>118</v>
      </c>
      <c r="I721" s="5" t="s">
        <v>777</v>
      </c>
      <c r="J721" s="7"/>
      <c r="K721" s="15">
        <f>YEAR(Tabla1[[#This Row],[Fecha]])</f>
        <v>2024</v>
      </c>
      <c r="L721" s="15">
        <f>MONTH(Tabla1[[#This Row],[Fecha]])</f>
        <v>2</v>
      </c>
    </row>
    <row r="722" spans="2:12" hidden="1" x14ac:dyDescent="0.25">
      <c r="B722" s="5" t="s">
        <v>9</v>
      </c>
      <c r="C722" s="5" t="s">
        <v>99</v>
      </c>
      <c r="D722" s="5" t="s">
        <v>11</v>
      </c>
      <c r="E722" s="6">
        <v>45349</v>
      </c>
      <c r="F722" s="4" t="s">
        <v>91</v>
      </c>
      <c r="G722" s="4" t="s">
        <v>24</v>
      </c>
      <c r="H722" s="8" t="s">
        <v>118</v>
      </c>
      <c r="I722" s="5" t="s">
        <v>778</v>
      </c>
      <c r="J722" s="7"/>
      <c r="K722" s="15">
        <f>YEAR(Tabla1[[#This Row],[Fecha]])</f>
        <v>2024</v>
      </c>
      <c r="L722" s="15">
        <f>MONTH(Tabla1[[#This Row],[Fecha]])</f>
        <v>2</v>
      </c>
    </row>
    <row r="723" spans="2:12" hidden="1" x14ac:dyDescent="0.25">
      <c r="B723" s="5" t="s">
        <v>9</v>
      </c>
      <c r="C723" s="5" t="s">
        <v>99</v>
      </c>
      <c r="D723" s="5" t="s">
        <v>11</v>
      </c>
      <c r="E723" s="6">
        <v>45349</v>
      </c>
      <c r="F723" s="4" t="s">
        <v>91</v>
      </c>
      <c r="G723" s="4" t="s">
        <v>24</v>
      </c>
      <c r="H723" s="8" t="s">
        <v>118</v>
      </c>
      <c r="I723" s="5" t="s">
        <v>779</v>
      </c>
      <c r="J723" s="7"/>
      <c r="K723" s="15">
        <f>YEAR(Tabla1[[#This Row],[Fecha]])</f>
        <v>2024</v>
      </c>
      <c r="L723" s="15">
        <f>MONTH(Tabla1[[#This Row],[Fecha]])</f>
        <v>2</v>
      </c>
    </row>
    <row r="724" spans="2:12" hidden="1" x14ac:dyDescent="0.25">
      <c r="B724" s="5" t="s">
        <v>45</v>
      </c>
      <c r="C724" s="5" t="s">
        <v>130</v>
      </c>
      <c r="D724" s="5" t="s">
        <v>11</v>
      </c>
      <c r="E724" s="6">
        <v>45349</v>
      </c>
      <c r="F724" s="4" t="s">
        <v>91</v>
      </c>
      <c r="G724" s="4" t="s">
        <v>24</v>
      </c>
      <c r="H724" s="8" t="s">
        <v>118</v>
      </c>
      <c r="I724" s="5" t="s">
        <v>779</v>
      </c>
      <c r="J724" s="7"/>
      <c r="K724" s="15">
        <f>YEAR(Tabla1[[#This Row],[Fecha]])</f>
        <v>2024</v>
      </c>
      <c r="L724" s="15">
        <f>MONTH(Tabla1[[#This Row],[Fecha]])</f>
        <v>2</v>
      </c>
    </row>
    <row r="725" spans="2:12" hidden="1" x14ac:dyDescent="0.25">
      <c r="B725" s="5" t="s">
        <v>9</v>
      </c>
      <c r="C725" s="5" t="s">
        <v>153</v>
      </c>
      <c r="D725" s="5" t="s">
        <v>11</v>
      </c>
      <c r="E725" s="6">
        <v>45349</v>
      </c>
      <c r="F725" s="4" t="s">
        <v>91</v>
      </c>
      <c r="G725" s="4" t="s">
        <v>24</v>
      </c>
      <c r="H725" s="8" t="s">
        <v>118</v>
      </c>
      <c r="I725" s="5" t="s">
        <v>780</v>
      </c>
      <c r="J725" s="7"/>
      <c r="K725" s="15">
        <f>YEAR(Tabla1[[#This Row],[Fecha]])</f>
        <v>2024</v>
      </c>
      <c r="L725" s="15">
        <f>MONTH(Tabla1[[#This Row],[Fecha]])</f>
        <v>2</v>
      </c>
    </row>
    <row r="726" spans="2:12" hidden="1" x14ac:dyDescent="0.25">
      <c r="B726" s="5" t="s">
        <v>9</v>
      </c>
      <c r="C726" s="5" t="s">
        <v>14</v>
      </c>
      <c r="D726" s="5" t="s">
        <v>11</v>
      </c>
      <c r="E726" s="6">
        <v>45349</v>
      </c>
      <c r="F726" s="4" t="s">
        <v>91</v>
      </c>
      <c r="G726" s="4" t="s">
        <v>16</v>
      </c>
      <c r="H726" s="8" t="s">
        <v>1713</v>
      </c>
      <c r="I726" s="5" t="s">
        <v>781</v>
      </c>
      <c r="J726" s="7"/>
      <c r="K726" s="15">
        <f>YEAR(Tabla1[[#This Row],[Fecha]])</f>
        <v>2024</v>
      </c>
      <c r="L726" s="15">
        <f>MONTH(Tabla1[[#This Row],[Fecha]])</f>
        <v>2</v>
      </c>
    </row>
    <row r="727" spans="2:12" hidden="1" x14ac:dyDescent="0.25">
      <c r="B727" s="5" t="s">
        <v>9</v>
      </c>
      <c r="C727" s="5" t="s">
        <v>62</v>
      </c>
      <c r="D727" s="5" t="s">
        <v>11</v>
      </c>
      <c r="E727" s="6">
        <v>45349</v>
      </c>
      <c r="F727" s="4" t="s">
        <v>91</v>
      </c>
      <c r="G727" s="31" t="s">
        <v>47</v>
      </c>
      <c r="H727" s="8" t="s">
        <v>118</v>
      </c>
      <c r="I727" s="5" t="s">
        <v>782</v>
      </c>
      <c r="J727" s="7"/>
      <c r="K727" s="15">
        <f>YEAR(Tabla1[[#This Row],[Fecha]])</f>
        <v>2024</v>
      </c>
      <c r="L727" s="15">
        <f>MONTH(Tabla1[[#This Row],[Fecha]])</f>
        <v>2</v>
      </c>
    </row>
    <row r="728" spans="2:12" hidden="1" x14ac:dyDescent="0.25">
      <c r="B728" s="5" t="s">
        <v>9</v>
      </c>
      <c r="C728" s="5" t="s">
        <v>82</v>
      </c>
      <c r="D728" s="5" t="s">
        <v>11</v>
      </c>
      <c r="E728" s="6">
        <v>45349</v>
      </c>
      <c r="F728" s="4" t="s">
        <v>15</v>
      </c>
      <c r="G728" s="4" t="s">
        <v>47</v>
      </c>
      <c r="H728" s="4" t="s">
        <v>121</v>
      </c>
      <c r="I728" s="5" t="s">
        <v>785</v>
      </c>
      <c r="J728" s="5"/>
      <c r="K728" s="22">
        <f>YEAR(Tabla1[[#This Row],[Fecha]])</f>
        <v>2024</v>
      </c>
      <c r="L728" s="22">
        <f>MONTH(Tabla1[[#This Row],[Fecha]])</f>
        <v>2</v>
      </c>
    </row>
    <row r="729" spans="2:12" hidden="1" x14ac:dyDescent="0.25">
      <c r="B729" s="5" t="s">
        <v>9</v>
      </c>
      <c r="C729" s="5" t="s">
        <v>93</v>
      </c>
      <c r="D729" s="5" t="s">
        <v>11</v>
      </c>
      <c r="E729" s="6">
        <v>45349</v>
      </c>
      <c r="F729" s="4" t="s">
        <v>91</v>
      </c>
      <c r="G729" s="4" t="s">
        <v>24</v>
      </c>
      <c r="H729" s="4" t="s">
        <v>118</v>
      </c>
      <c r="I729" s="5" t="s">
        <v>787</v>
      </c>
      <c r="J729" s="5"/>
      <c r="K729" s="22">
        <f>YEAR(Tabla1[[#This Row],[Fecha]])</f>
        <v>2024</v>
      </c>
      <c r="L729" s="22">
        <f>MONTH(Tabla1[[#This Row],[Fecha]])</f>
        <v>2</v>
      </c>
    </row>
    <row r="730" spans="2:12" hidden="1" x14ac:dyDescent="0.25">
      <c r="B730" s="5" t="s">
        <v>309</v>
      </c>
      <c r="C730" s="5" t="s">
        <v>310</v>
      </c>
      <c r="D730" s="5" t="s">
        <v>131</v>
      </c>
      <c r="E730" s="6">
        <v>45349</v>
      </c>
      <c r="F730" s="4" t="s">
        <v>91</v>
      </c>
      <c r="G730" s="4" t="s">
        <v>16</v>
      </c>
      <c r="H730" s="4" t="s">
        <v>431</v>
      </c>
      <c r="I730" s="5" t="s">
        <v>815</v>
      </c>
      <c r="J730" s="15"/>
      <c r="K730" s="22">
        <f>YEAR(Tabla1[[#This Row],[Fecha]])</f>
        <v>2024</v>
      </c>
      <c r="L730" s="22">
        <f>MONTH(Tabla1[[#This Row],[Fecha]])</f>
        <v>2</v>
      </c>
    </row>
    <row r="731" spans="2:12" ht="30" hidden="1" x14ac:dyDescent="0.25">
      <c r="B731" s="5" t="s">
        <v>49</v>
      </c>
      <c r="C731" s="5" t="s">
        <v>50</v>
      </c>
      <c r="D731" s="5" t="s">
        <v>11</v>
      </c>
      <c r="E731" s="6">
        <v>45348</v>
      </c>
      <c r="F731" s="4" t="s">
        <v>15</v>
      </c>
      <c r="G731" s="31" t="s">
        <v>47</v>
      </c>
      <c r="H731" s="31" t="s">
        <v>333</v>
      </c>
      <c r="I731" s="23" t="s">
        <v>1772</v>
      </c>
      <c r="J731" s="7"/>
      <c r="K731" s="15">
        <f>YEAR(Tabla1[[#This Row],[Fecha]])</f>
        <v>2024</v>
      </c>
      <c r="L731" s="15">
        <f>MONTH(Tabla1[[#This Row],[Fecha]])</f>
        <v>2</v>
      </c>
    </row>
    <row r="732" spans="2:12" hidden="1" x14ac:dyDescent="0.25">
      <c r="B732" s="5" t="s">
        <v>49</v>
      </c>
      <c r="C732" s="5" t="s">
        <v>115</v>
      </c>
      <c r="D732" s="5" t="s">
        <v>11</v>
      </c>
      <c r="E732" s="6">
        <v>45348</v>
      </c>
      <c r="F732" s="4" t="s">
        <v>91</v>
      </c>
      <c r="G732" s="4" t="s">
        <v>16</v>
      </c>
      <c r="H732" s="8" t="s">
        <v>118</v>
      </c>
      <c r="I732" s="5" t="s">
        <v>768</v>
      </c>
      <c r="J732" s="7"/>
      <c r="K732" s="15">
        <f>YEAR(Tabla1[[#This Row],[Fecha]])</f>
        <v>2024</v>
      </c>
      <c r="L732" s="15">
        <f>MONTH(Tabla1[[#This Row],[Fecha]])</f>
        <v>2</v>
      </c>
    </row>
    <row r="733" spans="2:12" hidden="1" x14ac:dyDescent="0.25">
      <c r="B733" s="5" t="s">
        <v>49</v>
      </c>
      <c r="C733" s="5" t="s">
        <v>117</v>
      </c>
      <c r="D733" s="5" t="s">
        <v>11</v>
      </c>
      <c r="E733" s="6">
        <v>45348</v>
      </c>
      <c r="F733" s="4" t="s">
        <v>91</v>
      </c>
      <c r="G733" s="4" t="s">
        <v>16</v>
      </c>
      <c r="H733" s="8" t="s">
        <v>118</v>
      </c>
      <c r="I733" s="5" t="s">
        <v>769</v>
      </c>
      <c r="J733" s="7"/>
      <c r="K733" s="15">
        <f>YEAR(Tabla1[[#This Row],[Fecha]])</f>
        <v>2024</v>
      </c>
      <c r="L733" s="15">
        <f>MONTH(Tabla1[[#This Row],[Fecha]])</f>
        <v>2</v>
      </c>
    </row>
    <row r="734" spans="2:12" hidden="1" x14ac:dyDescent="0.25">
      <c r="B734" s="5" t="s">
        <v>49</v>
      </c>
      <c r="C734" s="5" t="s">
        <v>57</v>
      </c>
      <c r="D734" s="5" t="s">
        <v>11</v>
      </c>
      <c r="E734" s="6">
        <v>45348</v>
      </c>
      <c r="F734" s="4" t="s">
        <v>91</v>
      </c>
      <c r="G734" s="4" t="s">
        <v>24</v>
      </c>
      <c r="H734" s="8" t="s">
        <v>118</v>
      </c>
      <c r="I734" s="5" t="s">
        <v>770</v>
      </c>
      <c r="J734" s="7"/>
      <c r="K734" s="15">
        <f>YEAR(Tabla1[[#This Row],[Fecha]])</f>
        <v>2024</v>
      </c>
      <c r="L734" s="15">
        <f>MONTH(Tabla1[[#This Row],[Fecha]])</f>
        <v>2</v>
      </c>
    </row>
    <row r="735" spans="2:12" hidden="1" x14ac:dyDescent="0.25">
      <c r="B735" s="5" t="s">
        <v>49</v>
      </c>
      <c r="C735" s="5" t="s">
        <v>56</v>
      </c>
      <c r="D735" s="5" t="s">
        <v>11</v>
      </c>
      <c r="E735" s="6">
        <v>45348</v>
      </c>
      <c r="F735" s="4" t="s">
        <v>15</v>
      </c>
      <c r="G735" s="4" t="s">
        <v>24</v>
      </c>
      <c r="H735" s="8" t="s">
        <v>333</v>
      </c>
      <c r="I735" s="5" t="s">
        <v>771</v>
      </c>
      <c r="J735" s="7"/>
      <c r="K735" s="15">
        <f>YEAR(Tabla1[[#This Row],[Fecha]])</f>
        <v>2024</v>
      </c>
      <c r="L735" s="15">
        <f>MONTH(Tabla1[[#This Row],[Fecha]])</f>
        <v>2</v>
      </c>
    </row>
    <row r="736" spans="2:12" hidden="1" x14ac:dyDescent="0.25">
      <c r="B736" s="5" t="s">
        <v>49</v>
      </c>
      <c r="C736" s="5" t="s">
        <v>176</v>
      </c>
      <c r="D736" s="5" t="s">
        <v>11</v>
      </c>
      <c r="E736" s="6">
        <v>45348</v>
      </c>
      <c r="F736" s="4" t="s">
        <v>15</v>
      </c>
      <c r="G736" s="4" t="s">
        <v>47</v>
      </c>
      <c r="H736" s="8" t="s">
        <v>333</v>
      </c>
      <c r="I736" s="5" t="s">
        <v>772</v>
      </c>
      <c r="J736" s="7"/>
      <c r="K736" s="15">
        <f>YEAR(Tabla1[[#This Row],[Fecha]])</f>
        <v>2024</v>
      </c>
      <c r="L736" s="15">
        <f>MONTH(Tabla1[[#This Row],[Fecha]])</f>
        <v>2</v>
      </c>
    </row>
    <row r="737" spans="2:12" hidden="1" x14ac:dyDescent="0.25">
      <c r="B737" s="5" t="s">
        <v>49</v>
      </c>
      <c r="C737" s="5" t="s">
        <v>111</v>
      </c>
      <c r="D737" s="5" t="s">
        <v>11</v>
      </c>
      <c r="E737" s="6">
        <v>45348</v>
      </c>
      <c r="F737" s="4" t="s">
        <v>15</v>
      </c>
      <c r="G737" s="4" t="s">
        <v>24</v>
      </c>
      <c r="H737" s="8" t="s">
        <v>118</v>
      </c>
      <c r="I737" s="5" t="s">
        <v>773</v>
      </c>
      <c r="J737" s="7"/>
      <c r="K737" s="15">
        <f>YEAR(Tabla1[[#This Row],[Fecha]])</f>
        <v>2024</v>
      </c>
      <c r="L737" s="15">
        <f>MONTH(Tabla1[[#This Row],[Fecha]])</f>
        <v>2</v>
      </c>
    </row>
    <row r="738" spans="2:12" hidden="1" x14ac:dyDescent="0.25">
      <c r="B738" s="5" t="s">
        <v>49</v>
      </c>
      <c r="C738" s="5" t="s">
        <v>60</v>
      </c>
      <c r="D738" s="5" t="s">
        <v>11</v>
      </c>
      <c r="E738" s="6">
        <v>45348</v>
      </c>
      <c r="F738" s="4" t="s">
        <v>15</v>
      </c>
      <c r="G738" s="4" t="s">
        <v>24</v>
      </c>
      <c r="H738" s="8" t="s">
        <v>118</v>
      </c>
      <c r="I738" s="5" t="s">
        <v>774</v>
      </c>
      <c r="J738" s="7"/>
      <c r="K738" s="15">
        <f>YEAR(Tabla1[[#This Row],[Fecha]])</f>
        <v>2024</v>
      </c>
      <c r="L738" s="15">
        <f>MONTH(Tabla1[[#This Row],[Fecha]])</f>
        <v>2</v>
      </c>
    </row>
    <row r="739" spans="2:12" hidden="1" x14ac:dyDescent="0.25">
      <c r="B739" s="5" t="s">
        <v>49</v>
      </c>
      <c r="C739" s="5" t="s">
        <v>53</v>
      </c>
      <c r="D739" s="5" t="s">
        <v>11</v>
      </c>
      <c r="E739" s="6">
        <v>45348</v>
      </c>
      <c r="F739" s="4" t="s">
        <v>15</v>
      </c>
      <c r="G739" s="4" t="s">
        <v>24</v>
      </c>
      <c r="H739" s="8" t="s">
        <v>1773</v>
      </c>
      <c r="I739" s="5" t="s">
        <v>775</v>
      </c>
      <c r="J739" s="7"/>
      <c r="K739" s="15">
        <f>YEAR(Tabla1[[#This Row],[Fecha]])</f>
        <v>2024</v>
      </c>
      <c r="L739" s="15">
        <f>MONTH(Tabla1[[#This Row],[Fecha]])</f>
        <v>2</v>
      </c>
    </row>
    <row r="740" spans="2:12" hidden="1" x14ac:dyDescent="0.25">
      <c r="B740" s="5" t="s">
        <v>309</v>
      </c>
      <c r="C740" s="5" t="s">
        <v>310</v>
      </c>
      <c r="D740" s="5" t="s">
        <v>11</v>
      </c>
      <c r="E740" s="6">
        <v>45344</v>
      </c>
      <c r="F740" s="4" t="s">
        <v>91</v>
      </c>
      <c r="G740" s="31" t="s">
        <v>1705</v>
      </c>
      <c r="H740" s="31" t="s">
        <v>1706</v>
      </c>
      <c r="I740" s="5" t="s">
        <v>767</v>
      </c>
      <c r="J740" s="7"/>
      <c r="K740" s="15">
        <f>YEAR(Tabla1[[#This Row],[Fecha]])</f>
        <v>2024</v>
      </c>
      <c r="L740" s="15">
        <f>MONTH(Tabla1[[#This Row],[Fecha]])</f>
        <v>2</v>
      </c>
    </row>
    <row r="741" spans="2:12" hidden="1" x14ac:dyDescent="0.25">
      <c r="B741" s="5" t="s">
        <v>248</v>
      </c>
      <c r="C741" s="5" t="s">
        <v>278</v>
      </c>
      <c r="D741" s="5" t="s">
        <v>11</v>
      </c>
      <c r="E741" s="6">
        <v>45344</v>
      </c>
      <c r="F741" s="4" t="s">
        <v>15</v>
      </c>
      <c r="G741" s="4" t="s">
        <v>36</v>
      </c>
      <c r="H741" s="2" t="s">
        <v>1788</v>
      </c>
      <c r="I741" s="5" t="s">
        <v>765</v>
      </c>
      <c r="J741" s="5"/>
      <c r="K741" s="22">
        <f>YEAR(Tabla1[[#This Row],[Fecha]])</f>
        <v>2024</v>
      </c>
      <c r="L741" s="22">
        <f>MONTH(Tabla1[[#This Row],[Fecha]])</f>
        <v>2</v>
      </c>
    </row>
    <row r="742" spans="2:12" hidden="1" x14ac:dyDescent="0.25">
      <c r="B742" s="5" t="s">
        <v>248</v>
      </c>
      <c r="C742" s="5" t="s">
        <v>266</v>
      </c>
      <c r="D742" s="5" t="s">
        <v>11</v>
      </c>
      <c r="E742" s="6">
        <v>45344</v>
      </c>
      <c r="F742" s="4" t="s">
        <v>15</v>
      </c>
      <c r="G742" s="4" t="s">
        <v>24</v>
      </c>
      <c r="H742" s="4" t="s">
        <v>1773</v>
      </c>
      <c r="I742" s="5" t="s">
        <v>766</v>
      </c>
      <c r="J742" s="5"/>
      <c r="K742" s="22">
        <f>YEAR(Tabla1[[#This Row],[Fecha]])</f>
        <v>2024</v>
      </c>
      <c r="L742" s="22">
        <f>MONTH(Tabla1[[#This Row],[Fecha]])</f>
        <v>2</v>
      </c>
    </row>
    <row r="743" spans="2:12" hidden="1" x14ac:dyDescent="0.25">
      <c r="B743" s="5" t="s">
        <v>309</v>
      </c>
      <c r="C743" s="5" t="s">
        <v>378</v>
      </c>
      <c r="D743" s="5" t="s">
        <v>11</v>
      </c>
      <c r="E743" s="6">
        <v>45343</v>
      </c>
      <c r="F743" s="4" t="s">
        <v>91</v>
      </c>
      <c r="G743" s="4" t="s">
        <v>1705</v>
      </c>
      <c r="H743" s="4" t="s">
        <v>1706</v>
      </c>
      <c r="I743" s="5" t="s">
        <v>789</v>
      </c>
      <c r="J743" s="5"/>
      <c r="K743" s="22">
        <f>YEAR(Tabla1[[#This Row],[Fecha]])</f>
        <v>2024</v>
      </c>
      <c r="L743" s="22">
        <f>MONTH(Tabla1[[#This Row],[Fecha]])</f>
        <v>2</v>
      </c>
    </row>
    <row r="744" spans="2:12" hidden="1" x14ac:dyDescent="0.25">
      <c r="B744" s="5" t="s">
        <v>32</v>
      </c>
      <c r="C744" s="5" t="s">
        <v>740</v>
      </c>
      <c r="D744" s="5" t="s">
        <v>11</v>
      </c>
      <c r="E744" s="6">
        <v>45342</v>
      </c>
      <c r="F744" s="4" t="s">
        <v>15</v>
      </c>
      <c r="G744" s="4" t="s">
        <v>36</v>
      </c>
      <c r="H744" s="4" t="s">
        <v>37</v>
      </c>
      <c r="I744" s="5" t="s">
        <v>847</v>
      </c>
      <c r="J744" s="5"/>
      <c r="K744" s="22">
        <f>YEAR(Tabla1[[#This Row],[Fecha]])</f>
        <v>2024</v>
      </c>
      <c r="L744" s="22">
        <f>MONTH(Tabla1[[#This Row],[Fecha]])</f>
        <v>2</v>
      </c>
    </row>
    <row r="745" spans="2:12" hidden="1" x14ac:dyDescent="0.25">
      <c r="B745" s="5" t="s">
        <v>309</v>
      </c>
      <c r="C745" s="5" t="s">
        <v>322</v>
      </c>
      <c r="D745" s="5" t="s">
        <v>11</v>
      </c>
      <c r="E745" s="6">
        <v>45341</v>
      </c>
      <c r="F745" s="4" t="s">
        <v>15</v>
      </c>
      <c r="G745" s="4" t="s">
        <v>16</v>
      </c>
      <c r="H745" s="4" t="s">
        <v>34</v>
      </c>
      <c r="I745" s="5" t="s">
        <v>788</v>
      </c>
      <c r="J745" s="5"/>
      <c r="K745" s="22">
        <f>YEAR(Tabla1[[#This Row],[Fecha]])</f>
        <v>2024</v>
      </c>
      <c r="L745" s="22">
        <f>MONTH(Tabla1[[#This Row],[Fecha]])</f>
        <v>2</v>
      </c>
    </row>
    <row r="746" spans="2:12" hidden="1" x14ac:dyDescent="0.25">
      <c r="B746" s="5" t="s">
        <v>27</v>
      </c>
      <c r="C746" s="5" t="s">
        <v>28</v>
      </c>
      <c r="D746" s="5" t="s">
        <v>11</v>
      </c>
      <c r="E746" s="6">
        <v>45335</v>
      </c>
      <c r="F746" s="4" t="s">
        <v>15</v>
      </c>
      <c r="G746" s="4" t="s">
        <v>36</v>
      </c>
      <c r="H746" s="4" t="s">
        <v>37</v>
      </c>
      <c r="I746" s="5" t="s">
        <v>762</v>
      </c>
      <c r="J746" s="5"/>
      <c r="K746" s="22">
        <f>YEAR(Tabla1[[#This Row],[Fecha]])</f>
        <v>2024</v>
      </c>
      <c r="L746" s="22">
        <f>MONTH(Tabla1[[#This Row],[Fecha]])</f>
        <v>2</v>
      </c>
    </row>
    <row r="747" spans="2:12" hidden="1" x14ac:dyDescent="0.25">
      <c r="B747" s="5" t="s">
        <v>309</v>
      </c>
      <c r="C747" s="5" t="s">
        <v>321</v>
      </c>
      <c r="D747" s="5" t="s">
        <v>11</v>
      </c>
      <c r="E747" s="6">
        <v>45335</v>
      </c>
      <c r="F747" s="4" t="s">
        <v>15</v>
      </c>
      <c r="G747" s="4" t="s">
        <v>16</v>
      </c>
      <c r="H747" s="4" t="s">
        <v>17</v>
      </c>
      <c r="I747" s="5" t="s">
        <v>831</v>
      </c>
      <c r="J747" s="5"/>
      <c r="K747" s="22">
        <f>YEAR(Tabla1[[#This Row],[Fecha]])</f>
        <v>2024</v>
      </c>
      <c r="L747" s="22">
        <f>MONTH(Tabla1[[#This Row],[Fecha]])</f>
        <v>2</v>
      </c>
    </row>
    <row r="748" spans="2:12" hidden="1" x14ac:dyDescent="0.25">
      <c r="B748" s="5" t="s">
        <v>309</v>
      </c>
      <c r="C748" s="5" t="s">
        <v>320</v>
      </c>
      <c r="D748" s="5" t="s">
        <v>11</v>
      </c>
      <c r="E748" s="6">
        <v>45335</v>
      </c>
      <c r="F748" s="4" t="s">
        <v>15</v>
      </c>
      <c r="G748" s="4" t="s">
        <v>16</v>
      </c>
      <c r="H748" s="4" t="s">
        <v>41</v>
      </c>
      <c r="I748" s="5" t="s">
        <v>832</v>
      </c>
      <c r="J748" s="5"/>
      <c r="K748" s="22">
        <f>YEAR(Tabla1[[#This Row],[Fecha]])</f>
        <v>2024</v>
      </c>
      <c r="L748" s="22">
        <f>MONTH(Tabla1[[#This Row],[Fecha]])</f>
        <v>2</v>
      </c>
    </row>
    <row r="749" spans="2:12" hidden="1" x14ac:dyDescent="0.25">
      <c r="B749" s="5" t="s">
        <v>309</v>
      </c>
      <c r="C749" s="5" t="s">
        <v>320</v>
      </c>
      <c r="D749" s="5" t="s">
        <v>131</v>
      </c>
      <c r="E749" s="6">
        <v>45335</v>
      </c>
      <c r="F749" s="4" t="s">
        <v>15</v>
      </c>
      <c r="G749" s="4" t="s">
        <v>16</v>
      </c>
      <c r="H749" s="4" t="s">
        <v>41</v>
      </c>
      <c r="I749" s="5" t="s">
        <v>833</v>
      </c>
      <c r="J749" s="5"/>
      <c r="K749" s="22">
        <f>YEAR(Tabla1[[#This Row],[Fecha]])</f>
        <v>2024</v>
      </c>
      <c r="L749" s="22">
        <f>MONTH(Tabla1[[#This Row],[Fecha]])</f>
        <v>2</v>
      </c>
    </row>
    <row r="750" spans="2:12" hidden="1" x14ac:dyDescent="0.25">
      <c r="B750" s="5" t="s">
        <v>309</v>
      </c>
      <c r="C750" s="5" t="s">
        <v>321</v>
      </c>
      <c r="D750" s="5" t="s">
        <v>131</v>
      </c>
      <c r="E750" s="6">
        <v>45335</v>
      </c>
      <c r="F750" s="4" t="s">
        <v>15</v>
      </c>
      <c r="G750" s="4" t="s">
        <v>103</v>
      </c>
      <c r="H750" s="4" t="s">
        <v>1782</v>
      </c>
      <c r="I750" s="36" t="s">
        <v>834</v>
      </c>
      <c r="J750" s="5"/>
      <c r="K750" s="22">
        <f>YEAR(Tabla1[[#This Row],[Fecha]])</f>
        <v>2024</v>
      </c>
      <c r="L750" s="22">
        <f>MONTH(Tabla1[[#This Row],[Fecha]])</f>
        <v>2</v>
      </c>
    </row>
    <row r="751" spans="2:12" hidden="1" x14ac:dyDescent="0.25">
      <c r="B751" s="5" t="s">
        <v>181</v>
      </c>
      <c r="C751" s="5" t="s">
        <v>182</v>
      </c>
      <c r="D751" s="5" t="s">
        <v>11</v>
      </c>
      <c r="E751" s="6">
        <v>45334</v>
      </c>
      <c r="F751" s="4" t="s">
        <v>15</v>
      </c>
      <c r="G751" s="4" t="s">
        <v>16</v>
      </c>
      <c r="H751" s="4" t="s">
        <v>74</v>
      </c>
      <c r="I751" s="5" t="s">
        <v>760</v>
      </c>
      <c r="J751" s="5"/>
      <c r="K751" s="22">
        <f>YEAR(Tabla1[[#This Row],[Fecha]])</f>
        <v>2024</v>
      </c>
      <c r="L751" s="22">
        <f>MONTH(Tabla1[[#This Row],[Fecha]])</f>
        <v>2</v>
      </c>
    </row>
    <row r="752" spans="2:12" hidden="1" x14ac:dyDescent="0.25">
      <c r="B752" s="5" t="s">
        <v>309</v>
      </c>
      <c r="C752" s="5" t="s">
        <v>728</v>
      </c>
      <c r="D752" s="5" t="s">
        <v>11</v>
      </c>
      <c r="E752" s="6">
        <v>45334</v>
      </c>
      <c r="F752" s="4" t="s">
        <v>15</v>
      </c>
      <c r="G752" s="4" t="s">
        <v>47</v>
      </c>
      <c r="H752" s="4" t="s">
        <v>333</v>
      </c>
      <c r="I752" s="5" t="s">
        <v>761</v>
      </c>
      <c r="J752" s="5"/>
      <c r="K752" s="22">
        <f>YEAR(Tabla1[[#This Row],[Fecha]])</f>
        <v>2024</v>
      </c>
      <c r="L752" s="22">
        <f>MONTH(Tabla1[[#This Row],[Fecha]])</f>
        <v>2</v>
      </c>
    </row>
    <row r="753" spans="2:12" hidden="1" x14ac:dyDescent="0.25">
      <c r="B753" s="5" t="s">
        <v>32</v>
      </c>
      <c r="C753" s="5" t="s">
        <v>33</v>
      </c>
      <c r="D753" s="5" t="s">
        <v>131</v>
      </c>
      <c r="E753" s="6">
        <v>45333</v>
      </c>
      <c r="F753" s="4" t="s">
        <v>15</v>
      </c>
      <c r="G753" s="4" t="s">
        <v>16</v>
      </c>
      <c r="H753" s="4" t="s">
        <v>34</v>
      </c>
      <c r="I753" s="5" t="s">
        <v>830</v>
      </c>
      <c r="J753" s="5"/>
      <c r="K753" s="22">
        <f>YEAR(Tabla1[[#This Row],[Fecha]])</f>
        <v>2024</v>
      </c>
      <c r="L753" s="22">
        <f>MONTH(Tabla1[[#This Row],[Fecha]])</f>
        <v>2</v>
      </c>
    </row>
    <row r="754" spans="2:12" hidden="1" x14ac:dyDescent="0.25">
      <c r="B754" s="5" t="s">
        <v>309</v>
      </c>
      <c r="C754" s="5" t="s">
        <v>371</v>
      </c>
      <c r="D754" s="5" t="s">
        <v>11</v>
      </c>
      <c r="E754" s="6">
        <v>45331</v>
      </c>
      <c r="F754" s="4" t="s">
        <v>15</v>
      </c>
      <c r="G754" s="4" t="s">
        <v>16</v>
      </c>
      <c r="H754" s="4" t="s">
        <v>41</v>
      </c>
      <c r="I754" s="5" t="s">
        <v>817</v>
      </c>
      <c r="J754" s="15"/>
      <c r="K754" s="22">
        <f>YEAR(Tabla1[[#This Row],[Fecha]])</f>
        <v>2024</v>
      </c>
      <c r="L754" s="22">
        <f>MONTH(Tabla1[[#This Row],[Fecha]])</f>
        <v>2</v>
      </c>
    </row>
    <row r="755" spans="2:12" hidden="1" x14ac:dyDescent="0.25">
      <c r="B755" s="5" t="s">
        <v>32</v>
      </c>
      <c r="C755" s="5" t="s">
        <v>539</v>
      </c>
      <c r="D755" s="5" t="s">
        <v>11</v>
      </c>
      <c r="E755" s="6">
        <v>45331</v>
      </c>
      <c r="F755" s="4" t="s">
        <v>15</v>
      </c>
      <c r="G755" s="4" t="s">
        <v>47</v>
      </c>
      <c r="H755" s="4" t="s">
        <v>333</v>
      </c>
      <c r="I755" s="5" t="s">
        <v>844</v>
      </c>
      <c r="J755" s="5"/>
      <c r="K755" s="22">
        <f>YEAR(Tabla1[[#This Row],[Fecha]])</f>
        <v>2024</v>
      </c>
      <c r="L755" s="22">
        <f>MONTH(Tabla1[[#This Row],[Fecha]])</f>
        <v>2</v>
      </c>
    </row>
    <row r="756" spans="2:12" hidden="1" x14ac:dyDescent="0.25">
      <c r="B756" s="5" t="s">
        <v>32</v>
      </c>
      <c r="C756" s="5" t="s">
        <v>142</v>
      </c>
      <c r="D756" s="5" t="s">
        <v>11</v>
      </c>
      <c r="E756" s="6">
        <v>45331</v>
      </c>
      <c r="F756" s="4" t="s">
        <v>15</v>
      </c>
      <c r="G756" s="4" t="s">
        <v>24</v>
      </c>
      <c r="H756" s="4" t="s">
        <v>12</v>
      </c>
      <c r="I756" s="5" t="s">
        <v>846</v>
      </c>
      <c r="J756" s="5"/>
      <c r="K756" s="22">
        <f>YEAR(Tabla1[[#This Row],[Fecha]])</f>
        <v>2024</v>
      </c>
      <c r="L756" s="22">
        <f>MONTH(Tabla1[[#This Row],[Fecha]])</f>
        <v>2</v>
      </c>
    </row>
    <row r="757" spans="2:12" hidden="1" x14ac:dyDescent="0.25">
      <c r="B757" s="5" t="s">
        <v>248</v>
      </c>
      <c r="C757" s="5" t="s">
        <v>249</v>
      </c>
      <c r="D757" s="5" t="s">
        <v>11</v>
      </c>
      <c r="E757" s="6">
        <v>45331</v>
      </c>
      <c r="F757" s="4" t="s">
        <v>15</v>
      </c>
      <c r="G757" s="4" t="s">
        <v>24</v>
      </c>
      <c r="H757" s="4" t="s">
        <v>12</v>
      </c>
      <c r="I757" s="5" t="s">
        <v>850</v>
      </c>
      <c r="J757" s="5"/>
      <c r="K757" s="22">
        <f>YEAR(Tabla1[[#This Row],[Fecha]])</f>
        <v>2024</v>
      </c>
      <c r="L757" s="22">
        <f>MONTH(Tabla1[[#This Row],[Fecha]])</f>
        <v>2</v>
      </c>
    </row>
    <row r="758" spans="2:12" hidden="1" x14ac:dyDescent="0.25">
      <c r="B758" s="5" t="s">
        <v>248</v>
      </c>
      <c r="C758" s="5" t="s">
        <v>249</v>
      </c>
      <c r="D758" s="5" t="s">
        <v>11</v>
      </c>
      <c r="E758" s="6">
        <v>45331</v>
      </c>
      <c r="F758" s="4" t="s">
        <v>15</v>
      </c>
      <c r="G758" s="4" t="s">
        <v>47</v>
      </c>
      <c r="H758" s="4" t="s">
        <v>121</v>
      </c>
      <c r="I758" s="5" t="s">
        <v>851</v>
      </c>
      <c r="J758" s="5"/>
      <c r="K758" s="22">
        <f>YEAR(Tabla1[[#This Row],[Fecha]])</f>
        <v>2024</v>
      </c>
      <c r="L758" s="22">
        <f>MONTH(Tabla1[[#This Row],[Fecha]])</f>
        <v>2</v>
      </c>
    </row>
    <row r="759" spans="2:12" hidden="1" x14ac:dyDescent="0.25">
      <c r="B759" s="5" t="s">
        <v>309</v>
      </c>
      <c r="C759" s="5" t="s">
        <v>313</v>
      </c>
      <c r="D759" s="5" t="s">
        <v>131</v>
      </c>
      <c r="E759" s="6">
        <v>45322</v>
      </c>
      <c r="F759" s="4" t="s">
        <v>91</v>
      </c>
      <c r="G759" s="4" t="s">
        <v>16</v>
      </c>
      <c r="H759" s="4" t="s">
        <v>34</v>
      </c>
      <c r="I759" s="5" t="s">
        <v>810</v>
      </c>
      <c r="J759" s="5" t="s">
        <v>811</v>
      </c>
      <c r="K759" s="22">
        <f>YEAR(Tabla1[[#This Row],[Fecha]])</f>
        <v>2024</v>
      </c>
      <c r="L759" s="22">
        <f>MONTH(Tabla1[[#This Row],[Fecha]])</f>
        <v>1</v>
      </c>
    </row>
    <row r="760" spans="2:12" hidden="1" x14ac:dyDescent="0.25">
      <c r="B760" s="5" t="s">
        <v>841</v>
      </c>
      <c r="C760" s="5" t="s">
        <v>842</v>
      </c>
      <c r="D760" s="5" t="s">
        <v>131</v>
      </c>
      <c r="E760" s="6">
        <v>45321</v>
      </c>
      <c r="F760" s="4" t="s">
        <v>15</v>
      </c>
      <c r="G760" s="4" t="s">
        <v>135</v>
      </c>
      <c r="H760" s="4" t="s">
        <v>37</v>
      </c>
      <c r="I760" s="36" t="s">
        <v>843</v>
      </c>
      <c r="J760" s="5"/>
      <c r="K760" s="22">
        <f>YEAR(Tabla1[[#This Row],[Fecha]])</f>
        <v>2024</v>
      </c>
      <c r="L760" s="22">
        <f>MONTH(Tabla1[[#This Row],[Fecha]])</f>
        <v>1</v>
      </c>
    </row>
    <row r="761" spans="2:12" hidden="1" x14ac:dyDescent="0.25">
      <c r="B761" s="5" t="s">
        <v>309</v>
      </c>
      <c r="C761" s="5" t="s">
        <v>313</v>
      </c>
      <c r="D761" s="5" t="s">
        <v>131</v>
      </c>
      <c r="E761" s="6">
        <v>45320</v>
      </c>
      <c r="F761" s="4" t="s">
        <v>15</v>
      </c>
      <c r="G761" s="4" t="s">
        <v>16</v>
      </c>
      <c r="H761" s="4" t="s">
        <v>41</v>
      </c>
      <c r="I761" s="5" t="s">
        <v>798</v>
      </c>
      <c r="J761" s="5"/>
      <c r="K761" s="22">
        <f>YEAR(Tabla1[[#This Row],[Fecha]])</f>
        <v>2024</v>
      </c>
      <c r="L761" s="22">
        <f>MONTH(Tabla1[[#This Row],[Fecha]])</f>
        <v>1</v>
      </c>
    </row>
    <row r="762" spans="2:12" hidden="1" x14ac:dyDescent="0.25">
      <c r="B762" s="5" t="s">
        <v>309</v>
      </c>
      <c r="C762" s="5" t="s">
        <v>322</v>
      </c>
      <c r="D762" s="5" t="s">
        <v>131</v>
      </c>
      <c r="E762" s="6">
        <v>45320</v>
      </c>
      <c r="F762" s="4" t="s">
        <v>91</v>
      </c>
      <c r="G762" s="4" t="s">
        <v>303</v>
      </c>
      <c r="H762" s="4" t="s">
        <v>434</v>
      </c>
      <c r="I762" s="5" t="s">
        <v>809</v>
      </c>
      <c r="J762" s="5"/>
      <c r="K762" s="22">
        <f>YEAR(Tabla1[[#This Row],[Fecha]])</f>
        <v>2024</v>
      </c>
      <c r="L762" s="22">
        <f>MONTH(Tabla1[[#This Row],[Fecha]])</f>
        <v>1</v>
      </c>
    </row>
    <row r="763" spans="2:12" hidden="1" x14ac:dyDescent="0.25">
      <c r="B763" s="5" t="s">
        <v>309</v>
      </c>
      <c r="C763" s="5" t="s">
        <v>313</v>
      </c>
      <c r="D763" s="5" t="s">
        <v>131</v>
      </c>
      <c r="E763" s="6">
        <v>45316</v>
      </c>
      <c r="F763" s="4" t="s">
        <v>15</v>
      </c>
      <c r="G763" s="4" t="s">
        <v>16</v>
      </c>
      <c r="H763" s="4" t="s">
        <v>34</v>
      </c>
      <c r="I763" s="5" t="s">
        <v>799</v>
      </c>
      <c r="J763" s="5"/>
      <c r="K763" s="22">
        <f>YEAR(Tabla1[[#This Row],[Fecha]])</f>
        <v>2024</v>
      </c>
      <c r="L763" s="22">
        <f>MONTH(Tabla1[[#This Row],[Fecha]])</f>
        <v>1</v>
      </c>
    </row>
    <row r="764" spans="2:12" hidden="1" x14ac:dyDescent="0.25">
      <c r="B764" s="5" t="s">
        <v>32</v>
      </c>
      <c r="C764" s="5" t="s">
        <v>33</v>
      </c>
      <c r="D764" s="5" t="s">
        <v>11</v>
      </c>
      <c r="E764" s="6">
        <v>45313</v>
      </c>
      <c r="F764" s="4" t="s">
        <v>91</v>
      </c>
      <c r="G764" s="4" t="s">
        <v>303</v>
      </c>
      <c r="H764" s="20" t="s">
        <v>434</v>
      </c>
      <c r="I764" s="5" t="s">
        <v>845</v>
      </c>
      <c r="J764" s="5"/>
      <c r="K764" s="22">
        <f>YEAR(Tabla1[[#This Row],[Fecha]])</f>
        <v>2024</v>
      </c>
      <c r="L764" s="22">
        <f>MONTH(Tabla1[[#This Row],[Fecha]])</f>
        <v>1</v>
      </c>
    </row>
    <row r="765" spans="2:12" hidden="1" x14ac:dyDescent="0.25">
      <c r="B765" s="5" t="s">
        <v>309</v>
      </c>
      <c r="C765" s="5" t="s">
        <v>320</v>
      </c>
      <c r="D765" s="5" t="s">
        <v>11</v>
      </c>
      <c r="E765" s="6">
        <v>45311</v>
      </c>
      <c r="F765" s="4" t="s">
        <v>91</v>
      </c>
      <c r="G765" s="4" t="s">
        <v>16</v>
      </c>
      <c r="H765" s="4" t="s">
        <v>34</v>
      </c>
      <c r="I765" s="5" t="s">
        <v>481</v>
      </c>
      <c r="J765" s="5"/>
      <c r="K765" s="22">
        <f>YEAR(Tabla1[[#This Row],[Fecha]])</f>
        <v>2024</v>
      </c>
      <c r="L765" s="22">
        <f>MONTH(Tabla1[[#This Row],[Fecha]])</f>
        <v>1</v>
      </c>
    </row>
    <row r="766" spans="2:12" hidden="1" x14ac:dyDescent="0.25">
      <c r="B766" s="5" t="s">
        <v>32</v>
      </c>
      <c r="C766" s="5" t="s">
        <v>142</v>
      </c>
      <c r="D766" s="5" t="s">
        <v>131</v>
      </c>
      <c r="E766" s="6">
        <v>45300</v>
      </c>
      <c r="F766" s="4" t="s">
        <v>15</v>
      </c>
      <c r="G766" s="4" t="s">
        <v>24</v>
      </c>
      <c r="H766" s="4" t="s">
        <v>1773</v>
      </c>
      <c r="I766" s="5" t="s">
        <v>792</v>
      </c>
      <c r="J766" s="5"/>
      <c r="K766" s="22">
        <f>YEAR(Tabla1[[#This Row],[Fecha]])</f>
        <v>2024</v>
      </c>
      <c r="L766" s="22">
        <f>MONTH(Tabla1[[#This Row],[Fecha]])</f>
        <v>1</v>
      </c>
    </row>
    <row r="767" spans="2:12" hidden="1" x14ac:dyDescent="0.25">
      <c r="B767" s="5" t="s">
        <v>181</v>
      </c>
      <c r="C767" s="5" t="s">
        <v>182</v>
      </c>
      <c r="D767" s="5" t="s">
        <v>131</v>
      </c>
      <c r="E767" s="6">
        <v>45300</v>
      </c>
      <c r="F767" s="4" t="s">
        <v>15</v>
      </c>
      <c r="G767" s="4" t="s">
        <v>24</v>
      </c>
      <c r="H767" s="4" t="s">
        <v>1773</v>
      </c>
      <c r="I767" s="5" t="s">
        <v>840</v>
      </c>
      <c r="J767" s="5"/>
      <c r="K767" s="22">
        <f>YEAR(Tabla1[[#This Row],[Fecha]])</f>
        <v>2024</v>
      </c>
      <c r="L767" s="22">
        <f>MONTH(Tabla1[[#This Row],[Fecha]])</f>
        <v>1</v>
      </c>
    </row>
    <row r="768" spans="2:12" hidden="1" x14ac:dyDescent="0.25">
      <c r="B768" s="5" t="s">
        <v>32</v>
      </c>
      <c r="C768" s="5" t="s">
        <v>33</v>
      </c>
      <c r="D768" s="5" t="s">
        <v>131</v>
      </c>
      <c r="E768" s="6">
        <v>45300</v>
      </c>
      <c r="F768" s="4" t="s">
        <v>15</v>
      </c>
      <c r="G768" s="4" t="s">
        <v>24</v>
      </c>
      <c r="H768" s="4" t="s">
        <v>1773</v>
      </c>
      <c r="I768" s="5" t="s">
        <v>849</v>
      </c>
      <c r="J768" s="5"/>
      <c r="K768" s="22">
        <f>YEAR(Tabla1[[#This Row],[Fecha]])</f>
        <v>2024</v>
      </c>
      <c r="L768" s="22">
        <f>MONTH(Tabla1[[#This Row],[Fecha]])</f>
        <v>1</v>
      </c>
    </row>
    <row r="769" spans="2:12" hidden="1" x14ac:dyDescent="0.25">
      <c r="B769" s="5" t="s">
        <v>309</v>
      </c>
      <c r="C769" s="5" t="s">
        <v>321</v>
      </c>
      <c r="D769" s="5" t="s">
        <v>131</v>
      </c>
      <c r="E769" s="6">
        <v>45296</v>
      </c>
      <c r="F769" s="4" t="s">
        <v>15</v>
      </c>
      <c r="G769" s="4" t="s">
        <v>16</v>
      </c>
      <c r="H769" s="4" t="s">
        <v>34</v>
      </c>
      <c r="I769" s="5" t="s">
        <v>812</v>
      </c>
      <c r="J769" s="5"/>
      <c r="K769" s="22">
        <f>YEAR(Tabla1[[#This Row],[Fecha]])</f>
        <v>2024</v>
      </c>
      <c r="L769" s="22">
        <f>MONTH(Tabla1[[#This Row],[Fecha]])</f>
        <v>1</v>
      </c>
    </row>
    <row r="770" spans="2:12" hidden="1" x14ac:dyDescent="0.25">
      <c r="B770" s="5" t="s">
        <v>9</v>
      </c>
      <c r="C770" s="5" t="s">
        <v>93</v>
      </c>
      <c r="D770" s="5" t="s">
        <v>131</v>
      </c>
      <c r="E770" s="6">
        <v>45295</v>
      </c>
      <c r="F770" s="4" t="s">
        <v>91</v>
      </c>
      <c r="G770" s="4" t="s">
        <v>16</v>
      </c>
      <c r="H770" s="8" t="s">
        <v>34</v>
      </c>
      <c r="I770" s="5" t="s">
        <v>839</v>
      </c>
      <c r="J770" s="7"/>
      <c r="K770" s="15">
        <f>YEAR(Tabla1[[#This Row],[Fecha]])</f>
        <v>2024</v>
      </c>
      <c r="L770" s="15">
        <f>MONTH(Tabla1[[#This Row],[Fecha]])</f>
        <v>1</v>
      </c>
    </row>
    <row r="771" spans="2:12" hidden="1" x14ac:dyDescent="0.25">
      <c r="B771" s="5" t="s">
        <v>309</v>
      </c>
      <c r="C771" s="5" t="s">
        <v>321</v>
      </c>
      <c r="D771" s="5" t="s">
        <v>131</v>
      </c>
      <c r="E771" s="6">
        <v>45288</v>
      </c>
      <c r="F771" s="4" t="s">
        <v>15</v>
      </c>
      <c r="G771" s="4" t="s">
        <v>16</v>
      </c>
      <c r="H771" s="4" t="s">
        <v>41</v>
      </c>
      <c r="I771" s="5" t="s">
        <v>790</v>
      </c>
      <c r="J771" s="5"/>
      <c r="K771" s="22">
        <f>YEAR(Tabla1[[#This Row],[Fecha]])</f>
        <v>2023</v>
      </c>
      <c r="L771" s="22">
        <f>MONTH(Tabla1[[#This Row],[Fecha]])</f>
        <v>12</v>
      </c>
    </row>
    <row r="772" spans="2:12" hidden="1" x14ac:dyDescent="0.25">
      <c r="B772" s="5" t="s">
        <v>32</v>
      </c>
      <c r="C772" s="5" t="s">
        <v>33</v>
      </c>
      <c r="D772" s="5" t="s">
        <v>131</v>
      </c>
      <c r="E772" s="6">
        <v>45288</v>
      </c>
      <c r="F772" s="4" t="s">
        <v>15</v>
      </c>
      <c r="G772" s="4" t="s">
        <v>16</v>
      </c>
      <c r="H772" s="4" t="s">
        <v>34</v>
      </c>
      <c r="I772" s="5" t="s">
        <v>791</v>
      </c>
      <c r="J772" s="5"/>
      <c r="K772" s="22">
        <f>YEAR(Tabla1[[#This Row],[Fecha]])</f>
        <v>2023</v>
      </c>
      <c r="L772" s="22">
        <f>MONTH(Tabla1[[#This Row],[Fecha]])</f>
        <v>12</v>
      </c>
    </row>
    <row r="773" spans="2:12" hidden="1" x14ac:dyDescent="0.25">
      <c r="B773" s="5" t="s">
        <v>32</v>
      </c>
      <c r="C773" s="5" t="s">
        <v>33</v>
      </c>
      <c r="D773" s="5" t="s">
        <v>131</v>
      </c>
      <c r="E773" s="6">
        <v>45288</v>
      </c>
      <c r="F773" s="4" t="s">
        <v>15</v>
      </c>
      <c r="G773" s="4" t="s">
        <v>16</v>
      </c>
      <c r="H773" s="4" t="s">
        <v>34</v>
      </c>
      <c r="I773" s="5" t="s">
        <v>848</v>
      </c>
      <c r="J773" s="5"/>
      <c r="K773" s="22">
        <f>YEAR(Tabla1[[#This Row],[Fecha]])</f>
        <v>2023</v>
      </c>
      <c r="L773" s="22">
        <f>MONTH(Tabla1[[#This Row],[Fecha]])</f>
        <v>12</v>
      </c>
    </row>
    <row r="774" spans="2:12" hidden="1" x14ac:dyDescent="0.25">
      <c r="B774" s="5" t="s">
        <v>309</v>
      </c>
      <c r="C774" s="5" t="s">
        <v>321</v>
      </c>
      <c r="D774" s="5" t="s">
        <v>131</v>
      </c>
      <c r="E774" s="6">
        <v>45287</v>
      </c>
      <c r="F774" s="4" t="s">
        <v>15</v>
      </c>
      <c r="G774" s="4" t="s">
        <v>16</v>
      </c>
      <c r="H774" s="4" t="s">
        <v>34</v>
      </c>
      <c r="I774" s="5" t="s">
        <v>813</v>
      </c>
      <c r="J774" s="5"/>
      <c r="K774" s="22">
        <f>YEAR(Tabla1[[#This Row],[Fecha]])</f>
        <v>2023</v>
      </c>
      <c r="L774" s="22">
        <f>MONTH(Tabla1[[#This Row],[Fecha]])</f>
        <v>12</v>
      </c>
    </row>
    <row r="775" spans="2:12" hidden="1" x14ac:dyDescent="0.25">
      <c r="B775" s="5" t="s">
        <v>309</v>
      </c>
      <c r="C775" s="5" t="s">
        <v>322</v>
      </c>
      <c r="D775" s="5" t="s">
        <v>131</v>
      </c>
      <c r="E775" s="6">
        <v>45287</v>
      </c>
      <c r="F775" s="4" t="s">
        <v>15</v>
      </c>
      <c r="G775" s="4" t="s">
        <v>36</v>
      </c>
      <c r="H775" s="4" t="s">
        <v>1786</v>
      </c>
      <c r="I775" s="5" t="s">
        <v>814</v>
      </c>
      <c r="J775" s="5"/>
      <c r="K775" s="22">
        <f>YEAR(Tabla1[[#This Row],[Fecha]])</f>
        <v>2023</v>
      </c>
      <c r="L775" s="22">
        <f>MONTH(Tabla1[[#This Row],[Fecha]])</f>
        <v>12</v>
      </c>
    </row>
    <row r="776" spans="2:12" hidden="1" x14ac:dyDescent="0.25">
      <c r="B776" s="5" t="s">
        <v>32</v>
      </c>
      <c r="C776" s="5" t="s">
        <v>33</v>
      </c>
      <c r="D776" s="5" t="s">
        <v>11</v>
      </c>
      <c r="E776" s="6">
        <v>45281</v>
      </c>
      <c r="F776" s="4" t="s">
        <v>15</v>
      </c>
      <c r="G776" s="4" t="s">
        <v>16</v>
      </c>
      <c r="H776" s="4" t="s">
        <v>34</v>
      </c>
      <c r="I776" s="5" t="s">
        <v>786</v>
      </c>
      <c r="J776" s="5"/>
      <c r="K776" s="22">
        <f>YEAR(Tabla1[[#This Row],[Fecha]])</f>
        <v>2023</v>
      </c>
      <c r="L776" s="22">
        <f>MONTH(Tabla1[[#This Row],[Fecha]])</f>
        <v>12</v>
      </c>
    </row>
    <row r="777" spans="2:12" hidden="1" x14ac:dyDescent="0.25">
      <c r="B777" s="5" t="s">
        <v>309</v>
      </c>
      <c r="C777" s="5" t="s">
        <v>310</v>
      </c>
      <c r="D777" s="5" t="s">
        <v>131</v>
      </c>
      <c r="E777" s="6">
        <v>45279</v>
      </c>
      <c r="F777" s="4" t="s">
        <v>15</v>
      </c>
      <c r="G777" s="4" t="s">
        <v>16</v>
      </c>
      <c r="H777" s="4" t="s">
        <v>34</v>
      </c>
      <c r="I777" s="5" t="s">
        <v>816</v>
      </c>
      <c r="J777" s="15"/>
      <c r="K777" s="22">
        <f>YEAR(Tabla1[[#This Row],[Fecha]])</f>
        <v>2023</v>
      </c>
      <c r="L777" s="22">
        <f>MONTH(Tabla1[[#This Row],[Fecha]])</f>
        <v>12</v>
      </c>
    </row>
    <row r="778" spans="2:12" hidden="1" x14ac:dyDescent="0.25">
      <c r="B778" s="5" t="s">
        <v>309</v>
      </c>
      <c r="C778" s="5" t="s">
        <v>320</v>
      </c>
      <c r="D778" s="5" t="s">
        <v>11</v>
      </c>
      <c r="E778" s="6">
        <v>45275</v>
      </c>
      <c r="F778" s="4" t="s">
        <v>15</v>
      </c>
      <c r="G778" s="4" t="s">
        <v>16</v>
      </c>
      <c r="H778" s="4" t="s">
        <v>1775</v>
      </c>
      <c r="I778" s="5" t="s">
        <v>853</v>
      </c>
      <c r="J778" s="5"/>
      <c r="K778" s="22">
        <f>YEAR(Tabla1[[#This Row],[Fecha]])</f>
        <v>2023</v>
      </c>
      <c r="L778" s="22">
        <f>MONTH(Tabla1[[#This Row],[Fecha]])</f>
        <v>12</v>
      </c>
    </row>
    <row r="779" spans="2:12" hidden="1" x14ac:dyDescent="0.25">
      <c r="B779" s="5" t="s">
        <v>309</v>
      </c>
      <c r="C779" s="5" t="s">
        <v>320</v>
      </c>
      <c r="D779" s="5" t="s">
        <v>11</v>
      </c>
      <c r="E779" s="6">
        <v>45275</v>
      </c>
      <c r="F779" s="4" t="s">
        <v>15</v>
      </c>
      <c r="G779" s="4" t="s">
        <v>24</v>
      </c>
      <c r="H779" s="4" t="s">
        <v>1773</v>
      </c>
      <c r="I779" s="36" t="s">
        <v>854</v>
      </c>
      <c r="J779" s="5"/>
      <c r="K779" s="22">
        <f>YEAR(Tabla1[[#This Row],[Fecha]])</f>
        <v>2023</v>
      </c>
      <c r="L779" s="22">
        <f>MONTH(Tabla1[[#This Row],[Fecha]])</f>
        <v>12</v>
      </c>
    </row>
    <row r="780" spans="2:12" hidden="1" x14ac:dyDescent="0.25">
      <c r="B780" s="5" t="s">
        <v>248</v>
      </c>
      <c r="C780" s="5" t="s">
        <v>264</v>
      </c>
      <c r="D780" s="5" t="s">
        <v>11</v>
      </c>
      <c r="E780" s="6">
        <v>45275</v>
      </c>
      <c r="F780" s="4" t="s">
        <v>15</v>
      </c>
      <c r="G780" s="4" t="s">
        <v>47</v>
      </c>
      <c r="H780" s="4" t="s">
        <v>121</v>
      </c>
      <c r="I780" s="5" t="s">
        <v>852</v>
      </c>
      <c r="J780" s="5"/>
      <c r="K780" s="22">
        <f>YEAR(Tabla1[[#This Row],[Fecha]])</f>
        <v>2023</v>
      </c>
      <c r="L780" s="22">
        <f>MONTH(Tabla1[[#This Row],[Fecha]])</f>
        <v>12</v>
      </c>
    </row>
    <row r="781" spans="2:12" hidden="1" x14ac:dyDescent="0.25">
      <c r="B781" s="5" t="s">
        <v>49</v>
      </c>
      <c r="C781" s="5" t="s">
        <v>56</v>
      </c>
      <c r="D781" s="5" t="s">
        <v>11</v>
      </c>
      <c r="E781" s="6">
        <v>45274</v>
      </c>
      <c r="F781" s="4" t="s">
        <v>91</v>
      </c>
      <c r="G781" s="4" t="s">
        <v>16</v>
      </c>
      <c r="H781" s="4" t="s">
        <v>34</v>
      </c>
      <c r="I781" s="5" t="s">
        <v>856</v>
      </c>
      <c r="J781" s="5"/>
      <c r="K781" s="22">
        <f>YEAR(Tabla1[[#This Row],[Fecha]])</f>
        <v>2023</v>
      </c>
      <c r="L781" s="22">
        <f>MONTH(Tabla1[[#This Row],[Fecha]])</f>
        <v>12</v>
      </c>
    </row>
    <row r="782" spans="2:12" hidden="1" x14ac:dyDescent="0.25">
      <c r="B782" s="5" t="s">
        <v>49</v>
      </c>
      <c r="C782" s="5" t="s">
        <v>57</v>
      </c>
      <c r="D782" s="5" t="s">
        <v>11</v>
      </c>
      <c r="E782" s="6">
        <v>45274</v>
      </c>
      <c r="F782" s="4" t="s">
        <v>91</v>
      </c>
      <c r="G782" s="4" t="s">
        <v>16</v>
      </c>
      <c r="H782" s="4" t="s">
        <v>34</v>
      </c>
      <c r="I782" s="5" t="s">
        <v>856</v>
      </c>
      <c r="J782" s="5"/>
      <c r="K782" s="22">
        <f>YEAR(Tabla1[[#This Row],[Fecha]])</f>
        <v>2023</v>
      </c>
      <c r="L782" s="22">
        <f>MONTH(Tabla1[[#This Row],[Fecha]])</f>
        <v>12</v>
      </c>
    </row>
    <row r="783" spans="2:12" hidden="1" x14ac:dyDescent="0.25">
      <c r="B783" s="5" t="s">
        <v>49</v>
      </c>
      <c r="C783" s="5" t="s">
        <v>123</v>
      </c>
      <c r="D783" s="5" t="s">
        <v>11</v>
      </c>
      <c r="E783" s="6">
        <v>45274</v>
      </c>
      <c r="F783" s="4" t="s">
        <v>91</v>
      </c>
      <c r="G783" s="4" t="s">
        <v>16</v>
      </c>
      <c r="H783" s="4" t="s">
        <v>34</v>
      </c>
      <c r="I783" s="5" t="s">
        <v>856</v>
      </c>
      <c r="J783" s="5"/>
      <c r="K783" s="22">
        <f>YEAR(Tabla1[[#This Row],[Fecha]])</f>
        <v>2023</v>
      </c>
      <c r="L783" s="22">
        <f>MONTH(Tabla1[[#This Row],[Fecha]])</f>
        <v>12</v>
      </c>
    </row>
    <row r="784" spans="2:12" hidden="1" x14ac:dyDescent="0.25">
      <c r="B784" s="5" t="s">
        <v>49</v>
      </c>
      <c r="C784" s="5" t="s">
        <v>50</v>
      </c>
      <c r="D784" s="5" t="s">
        <v>11</v>
      </c>
      <c r="E784" s="6">
        <v>45274</v>
      </c>
      <c r="F784" s="4" t="s">
        <v>91</v>
      </c>
      <c r="G784" s="4" t="s">
        <v>16</v>
      </c>
      <c r="H784" s="4" t="s">
        <v>34</v>
      </c>
      <c r="I784" s="5" t="s">
        <v>856</v>
      </c>
      <c r="J784" s="5"/>
      <c r="K784" s="22">
        <f>YEAR(Tabla1[[#This Row],[Fecha]])</f>
        <v>2023</v>
      </c>
      <c r="L784" s="22">
        <f>MONTH(Tabla1[[#This Row],[Fecha]])</f>
        <v>12</v>
      </c>
    </row>
    <row r="785" spans="2:12" hidden="1" x14ac:dyDescent="0.25">
      <c r="B785" s="5" t="s">
        <v>49</v>
      </c>
      <c r="C785" s="5" t="s">
        <v>53</v>
      </c>
      <c r="D785" s="5" t="s">
        <v>11</v>
      </c>
      <c r="E785" s="6">
        <v>45274</v>
      </c>
      <c r="F785" s="4" t="s">
        <v>91</v>
      </c>
      <c r="G785" s="4" t="s">
        <v>16</v>
      </c>
      <c r="H785" s="4" t="s">
        <v>34</v>
      </c>
      <c r="I785" s="5" t="s">
        <v>856</v>
      </c>
      <c r="J785" s="5"/>
      <c r="K785" s="22">
        <f>YEAR(Tabla1[[#This Row],[Fecha]])</f>
        <v>2023</v>
      </c>
      <c r="L785" s="22">
        <f>MONTH(Tabla1[[#This Row],[Fecha]])</f>
        <v>12</v>
      </c>
    </row>
    <row r="786" spans="2:12" hidden="1" x14ac:dyDescent="0.25">
      <c r="B786" s="5" t="s">
        <v>49</v>
      </c>
      <c r="C786" s="5" t="s">
        <v>111</v>
      </c>
      <c r="D786" s="5" t="s">
        <v>11</v>
      </c>
      <c r="E786" s="6">
        <v>45274</v>
      </c>
      <c r="F786" s="4" t="s">
        <v>91</v>
      </c>
      <c r="G786" s="4" t="s">
        <v>16</v>
      </c>
      <c r="H786" s="4" t="s">
        <v>34</v>
      </c>
      <c r="I786" s="5" t="s">
        <v>856</v>
      </c>
      <c r="J786" s="5"/>
      <c r="K786" s="22">
        <f>YEAR(Tabla1[[#This Row],[Fecha]])</f>
        <v>2023</v>
      </c>
      <c r="L786" s="22">
        <f>MONTH(Tabla1[[#This Row],[Fecha]])</f>
        <v>12</v>
      </c>
    </row>
    <row r="787" spans="2:12" hidden="1" x14ac:dyDescent="0.25">
      <c r="B787" s="5" t="s">
        <v>49</v>
      </c>
      <c r="C787" s="5" t="s">
        <v>66</v>
      </c>
      <c r="D787" s="5" t="s">
        <v>11</v>
      </c>
      <c r="E787" s="6">
        <v>45274</v>
      </c>
      <c r="F787" s="4" t="s">
        <v>91</v>
      </c>
      <c r="G787" s="4" t="s">
        <v>16</v>
      </c>
      <c r="H787" s="4" t="s">
        <v>34</v>
      </c>
      <c r="I787" s="5" t="s">
        <v>856</v>
      </c>
      <c r="J787" s="5"/>
      <c r="K787" s="22">
        <f>YEAR(Tabla1[[#This Row],[Fecha]])</f>
        <v>2023</v>
      </c>
      <c r="L787" s="22">
        <f>MONTH(Tabla1[[#This Row],[Fecha]])</f>
        <v>12</v>
      </c>
    </row>
    <row r="788" spans="2:12" hidden="1" x14ac:dyDescent="0.25">
      <c r="B788" s="5" t="s">
        <v>49</v>
      </c>
      <c r="C788" s="5" t="s">
        <v>117</v>
      </c>
      <c r="D788" s="5" t="s">
        <v>11</v>
      </c>
      <c r="E788" s="6">
        <v>45274</v>
      </c>
      <c r="F788" s="4" t="s">
        <v>91</v>
      </c>
      <c r="G788" s="4" t="s">
        <v>16</v>
      </c>
      <c r="H788" s="4" t="s">
        <v>34</v>
      </c>
      <c r="I788" s="5" t="s">
        <v>857</v>
      </c>
      <c r="J788" s="5"/>
      <c r="K788" s="22">
        <f>YEAR(Tabla1[[#This Row],[Fecha]])</f>
        <v>2023</v>
      </c>
      <c r="L788" s="22">
        <f>MONTH(Tabla1[[#This Row],[Fecha]])</f>
        <v>12</v>
      </c>
    </row>
    <row r="789" spans="2:12" hidden="1" x14ac:dyDescent="0.25">
      <c r="B789" s="5" t="s">
        <v>49</v>
      </c>
      <c r="C789" s="5" t="s">
        <v>176</v>
      </c>
      <c r="D789" s="5" t="s">
        <v>11</v>
      </c>
      <c r="E789" s="6">
        <v>45274</v>
      </c>
      <c r="F789" s="4" t="s">
        <v>91</v>
      </c>
      <c r="G789" s="4" t="s">
        <v>16</v>
      </c>
      <c r="H789" s="4" t="s">
        <v>34</v>
      </c>
      <c r="I789" s="5" t="s">
        <v>856</v>
      </c>
      <c r="J789" s="5"/>
      <c r="K789" s="22">
        <f>YEAR(Tabla1[[#This Row],[Fecha]])</f>
        <v>2023</v>
      </c>
      <c r="L789" s="22">
        <f>MONTH(Tabla1[[#This Row],[Fecha]])</f>
        <v>12</v>
      </c>
    </row>
    <row r="790" spans="2:12" hidden="1" x14ac:dyDescent="0.25">
      <c r="B790" s="5" t="s">
        <v>49</v>
      </c>
      <c r="C790" s="5" t="s">
        <v>60</v>
      </c>
      <c r="D790" s="5" t="s">
        <v>11</v>
      </c>
      <c r="E790" s="6">
        <v>45274</v>
      </c>
      <c r="F790" s="4" t="s">
        <v>91</v>
      </c>
      <c r="G790" s="4" t="s">
        <v>16</v>
      </c>
      <c r="H790" s="4" t="s">
        <v>34</v>
      </c>
      <c r="I790" s="5" t="s">
        <v>856</v>
      </c>
      <c r="J790" s="5"/>
      <c r="K790" s="22">
        <f>YEAR(Tabla1[[#This Row],[Fecha]])</f>
        <v>2023</v>
      </c>
      <c r="L790" s="22">
        <f>MONTH(Tabla1[[#This Row],[Fecha]])</f>
        <v>12</v>
      </c>
    </row>
    <row r="791" spans="2:12" hidden="1" x14ac:dyDescent="0.25">
      <c r="B791" s="5" t="s">
        <v>49</v>
      </c>
      <c r="C791" s="5" t="s">
        <v>115</v>
      </c>
      <c r="D791" s="5" t="s">
        <v>11</v>
      </c>
      <c r="E791" s="6">
        <v>45274</v>
      </c>
      <c r="F791" s="4" t="s">
        <v>91</v>
      </c>
      <c r="G791" s="4" t="s">
        <v>16</v>
      </c>
      <c r="H791" s="4" t="s">
        <v>34</v>
      </c>
      <c r="I791" s="5" t="s">
        <v>856</v>
      </c>
      <c r="J791" s="5"/>
      <c r="K791" s="22">
        <f>YEAR(Tabla1[[#This Row],[Fecha]])</f>
        <v>2023</v>
      </c>
      <c r="L791" s="22">
        <f>MONTH(Tabla1[[#This Row],[Fecha]])</f>
        <v>12</v>
      </c>
    </row>
    <row r="792" spans="2:12" hidden="1" x14ac:dyDescent="0.25">
      <c r="B792" s="5" t="s">
        <v>9</v>
      </c>
      <c r="C792" s="5" t="s">
        <v>68</v>
      </c>
      <c r="D792" s="5" t="s">
        <v>11</v>
      </c>
      <c r="E792" s="6">
        <v>45273</v>
      </c>
      <c r="F792" s="4" t="s">
        <v>91</v>
      </c>
      <c r="G792" s="4" t="s">
        <v>16</v>
      </c>
      <c r="H792" s="4" t="s">
        <v>34</v>
      </c>
      <c r="I792" s="5" t="s">
        <v>855</v>
      </c>
      <c r="J792" s="5"/>
      <c r="K792" s="22">
        <f>YEAR(Tabla1[[#This Row],[Fecha]])</f>
        <v>2023</v>
      </c>
      <c r="L792" s="22">
        <f>MONTH(Tabla1[[#This Row],[Fecha]])</f>
        <v>12</v>
      </c>
    </row>
    <row r="793" spans="2:12" hidden="1" x14ac:dyDescent="0.25">
      <c r="B793" s="5" t="s">
        <v>9</v>
      </c>
      <c r="C793" s="5" t="s">
        <v>62</v>
      </c>
      <c r="D793" s="5" t="s">
        <v>11</v>
      </c>
      <c r="E793" s="6">
        <v>45273</v>
      </c>
      <c r="F793" s="4" t="s">
        <v>91</v>
      </c>
      <c r="G793" s="4" t="s">
        <v>16</v>
      </c>
      <c r="H793" s="4" t="s">
        <v>34</v>
      </c>
      <c r="I793" s="5" t="s">
        <v>855</v>
      </c>
      <c r="J793" s="5"/>
      <c r="K793" s="22">
        <f>YEAR(Tabla1[[#This Row],[Fecha]])</f>
        <v>2023</v>
      </c>
      <c r="L793" s="22">
        <f>MONTH(Tabla1[[#This Row],[Fecha]])</f>
        <v>12</v>
      </c>
    </row>
    <row r="794" spans="2:12" hidden="1" x14ac:dyDescent="0.25">
      <c r="B794" s="5" t="s">
        <v>9</v>
      </c>
      <c r="C794" s="5" t="s">
        <v>14</v>
      </c>
      <c r="D794" s="5" t="s">
        <v>11</v>
      </c>
      <c r="E794" s="6">
        <v>45273</v>
      </c>
      <c r="F794" s="4" t="s">
        <v>91</v>
      </c>
      <c r="G794" s="4" t="s">
        <v>16</v>
      </c>
      <c r="H794" s="4" t="s">
        <v>34</v>
      </c>
      <c r="I794" s="5" t="s">
        <v>855</v>
      </c>
      <c r="J794" s="5"/>
      <c r="K794" s="22">
        <f>YEAR(Tabla1[[#This Row],[Fecha]])</f>
        <v>2023</v>
      </c>
      <c r="L794" s="22">
        <f>MONTH(Tabla1[[#This Row],[Fecha]])</f>
        <v>12</v>
      </c>
    </row>
    <row r="795" spans="2:12" hidden="1" x14ac:dyDescent="0.25">
      <c r="B795" s="5" t="s">
        <v>9</v>
      </c>
      <c r="C795" s="5" t="s">
        <v>153</v>
      </c>
      <c r="D795" s="5" t="s">
        <v>11</v>
      </c>
      <c r="E795" s="6">
        <v>45273</v>
      </c>
      <c r="F795" s="4" t="s">
        <v>91</v>
      </c>
      <c r="G795" s="4" t="s">
        <v>16</v>
      </c>
      <c r="H795" s="4" t="s">
        <v>34</v>
      </c>
      <c r="I795" s="5" t="s">
        <v>855</v>
      </c>
      <c r="J795" s="5"/>
      <c r="K795" s="22">
        <f>YEAR(Tabla1[[#This Row],[Fecha]])</f>
        <v>2023</v>
      </c>
      <c r="L795" s="22">
        <f>MONTH(Tabla1[[#This Row],[Fecha]])</f>
        <v>12</v>
      </c>
    </row>
    <row r="796" spans="2:12" hidden="1" x14ac:dyDescent="0.25">
      <c r="B796" s="5" t="s">
        <v>9</v>
      </c>
      <c r="C796" s="5" t="s">
        <v>82</v>
      </c>
      <c r="D796" s="5" t="s">
        <v>11</v>
      </c>
      <c r="E796" s="6">
        <v>45273</v>
      </c>
      <c r="F796" s="4" t="s">
        <v>91</v>
      </c>
      <c r="G796" s="4" t="s">
        <v>16</v>
      </c>
      <c r="H796" s="4" t="s">
        <v>34</v>
      </c>
      <c r="I796" s="5" t="s">
        <v>855</v>
      </c>
      <c r="J796" s="5"/>
      <c r="K796" s="22">
        <f>YEAR(Tabla1[[#This Row],[Fecha]])</f>
        <v>2023</v>
      </c>
      <c r="L796" s="22">
        <f>MONTH(Tabla1[[#This Row],[Fecha]])</f>
        <v>12</v>
      </c>
    </row>
    <row r="797" spans="2:12" hidden="1" x14ac:dyDescent="0.25">
      <c r="B797" s="5" t="s">
        <v>9</v>
      </c>
      <c r="C797" s="5" t="s">
        <v>71</v>
      </c>
      <c r="D797" s="5" t="s">
        <v>11</v>
      </c>
      <c r="E797" s="6">
        <v>45273</v>
      </c>
      <c r="F797" s="4" t="s">
        <v>91</v>
      </c>
      <c r="G797" s="4" t="s">
        <v>16</v>
      </c>
      <c r="H797" s="4" t="s">
        <v>34</v>
      </c>
      <c r="I797" s="5" t="s">
        <v>855</v>
      </c>
      <c r="J797" s="5"/>
      <c r="K797" s="22">
        <f>YEAR(Tabla1[[#This Row],[Fecha]])</f>
        <v>2023</v>
      </c>
      <c r="L797" s="22">
        <f>MONTH(Tabla1[[#This Row],[Fecha]])</f>
        <v>12</v>
      </c>
    </row>
    <row r="798" spans="2:12" hidden="1" x14ac:dyDescent="0.25">
      <c r="B798" s="5" t="s">
        <v>9</v>
      </c>
      <c r="C798" s="5" t="s">
        <v>102</v>
      </c>
      <c r="D798" s="5" t="s">
        <v>11</v>
      </c>
      <c r="E798" s="6">
        <v>45273</v>
      </c>
      <c r="F798" s="4" t="s">
        <v>91</v>
      </c>
      <c r="G798" s="4" t="s">
        <v>16</v>
      </c>
      <c r="H798" s="4" t="s">
        <v>34</v>
      </c>
      <c r="I798" s="5" t="s">
        <v>855</v>
      </c>
      <c r="J798" s="5"/>
      <c r="K798" s="22">
        <f>YEAR(Tabla1[[#This Row],[Fecha]])</f>
        <v>2023</v>
      </c>
      <c r="L798" s="22">
        <f>MONTH(Tabla1[[#This Row],[Fecha]])</f>
        <v>12</v>
      </c>
    </row>
    <row r="799" spans="2:12" hidden="1" x14ac:dyDescent="0.25">
      <c r="B799" s="5" t="s">
        <v>9</v>
      </c>
      <c r="C799" s="5" t="s">
        <v>87</v>
      </c>
      <c r="D799" s="5" t="s">
        <v>11</v>
      </c>
      <c r="E799" s="6">
        <v>45273</v>
      </c>
      <c r="F799" s="4" t="s">
        <v>91</v>
      </c>
      <c r="G799" s="4" t="s">
        <v>16</v>
      </c>
      <c r="H799" s="4" t="s">
        <v>34</v>
      </c>
      <c r="I799" s="5" t="s">
        <v>855</v>
      </c>
      <c r="J799" s="5"/>
      <c r="K799" s="22">
        <f>YEAR(Tabla1[[#This Row],[Fecha]])</f>
        <v>2023</v>
      </c>
      <c r="L799" s="22">
        <f>MONTH(Tabla1[[#This Row],[Fecha]])</f>
        <v>12</v>
      </c>
    </row>
    <row r="800" spans="2:12" hidden="1" x14ac:dyDescent="0.25">
      <c r="B800" s="5" t="s">
        <v>9</v>
      </c>
      <c r="C800" s="5" t="s">
        <v>93</v>
      </c>
      <c r="D800" s="5" t="s">
        <v>11</v>
      </c>
      <c r="E800" s="6">
        <v>45273</v>
      </c>
      <c r="F800" s="4" t="s">
        <v>91</v>
      </c>
      <c r="G800" s="4" t="s">
        <v>16</v>
      </c>
      <c r="H800" s="4" t="s">
        <v>34</v>
      </c>
      <c r="I800" s="5" t="s">
        <v>855</v>
      </c>
      <c r="J800" s="5"/>
      <c r="K800" s="22">
        <f>YEAR(Tabla1[[#This Row],[Fecha]])</f>
        <v>2023</v>
      </c>
      <c r="L800" s="22">
        <f>MONTH(Tabla1[[#This Row],[Fecha]])</f>
        <v>12</v>
      </c>
    </row>
    <row r="801" spans="2:12" hidden="1" x14ac:dyDescent="0.25">
      <c r="B801" s="5" t="s">
        <v>9</v>
      </c>
      <c r="C801" s="5" t="s">
        <v>80</v>
      </c>
      <c r="D801" s="5" t="s">
        <v>11</v>
      </c>
      <c r="E801" s="6">
        <v>45273</v>
      </c>
      <c r="F801" s="4" t="s">
        <v>91</v>
      </c>
      <c r="G801" s="4" t="s">
        <v>16</v>
      </c>
      <c r="H801" s="4" t="s">
        <v>34</v>
      </c>
      <c r="I801" s="5" t="s">
        <v>855</v>
      </c>
      <c r="J801" s="5"/>
      <c r="K801" s="22">
        <f>YEAR(Tabla1[[#This Row],[Fecha]])</f>
        <v>2023</v>
      </c>
      <c r="L801" s="22">
        <f>MONTH(Tabla1[[#This Row],[Fecha]])</f>
        <v>12</v>
      </c>
    </row>
    <row r="802" spans="2:12" hidden="1" x14ac:dyDescent="0.25">
      <c r="B802" s="5" t="s">
        <v>181</v>
      </c>
      <c r="C802" s="5" t="s">
        <v>182</v>
      </c>
      <c r="D802" s="5" t="s">
        <v>11</v>
      </c>
      <c r="E802" s="6">
        <v>45272</v>
      </c>
      <c r="F802" s="4" t="s">
        <v>91</v>
      </c>
      <c r="G802" s="4" t="s">
        <v>303</v>
      </c>
      <c r="H802" s="4" t="s">
        <v>431</v>
      </c>
      <c r="I802" s="5" t="s">
        <v>858</v>
      </c>
      <c r="J802" s="5"/>
      <c r="K802" s="22">
        <f>YEAR(Tabla1[[#This Row],[Fecha]])</f>
        <v>2023</v>
      </c>
      <c r="L802" s="22">
        <f>MONTH(Tabla1[[#This Row],[Fecha]])</f>
        <v>12</v>
      </c>
    </row>
    <row r="803" spans="2:12" hidden="1" x14ac:dyDescent="0.25">
      <c r="B803" s="5" t="s">
        <v>32</v>
      </c>
      <c r="C803" s="5" t="s">
        <v>628</v>
      </c>
      <c r="D803" s="5" t="s">
        <v>11</v>
      </c>
      <c r="E803" s="6">
        <v>45272</v>
      </c>
      <c r="F803" s="4" t="s">
        <v>15</v>
      </c>
      <c r="G803" s="4" t="s">
        <v>24</v>
      </c>
      <c r="H803" s="4" t="s">
        <v>1784</v>
      </c>
      <c r="I803" s="5" t="s">
        <v>865</v>
      </c>
      <c r="J803" s="5"/>
      <c r="K803" s="22">
        <f>YEAR(Tabla1[[#This Row],[Fecha]])</f>
        <v>2023</v>
      </c>
      <c r="L803" s="22">
        <f>MONTH(Tabla1[[#This Row],[Fecha]])</f>
        <v>12</v>
      </c>
    </row>
    <row r="804" spans="2:12" hidden="1" x14ac:dyDescent="0.25">
      <c r="B804" s="5" t="s">
        <v>181</v>
      </c>
      <c r="C804" s="5" t="s">
        <v>182</v>
      </c>
      <c r="D804" s="5" t="s">
        <v>11</v>
      </c>
      <c r="E804" s="6">
        <v>45271</v>
      </c>
      <c r="F804" s="4" t="s">
        <v>91</v>
      </c>
      <c r="G804" s="4" t="s">
        <v>303</v>
      </c>
      <c r="H804" s="4" t="s">
        <v>431</v>
      </c>
      <c r="I804" s="5" t="s">
        <v>859</v>
      </c>
      <c r="J804" s="5"/>
      <c r="K804" s="22">
        <f>YEAR(Tabla1[[#This Row],[Fecha]])</f>
        <v>2023</v>
      </c>
      <c r="L804" s="22">
        <f>MONTH(Tabla1[[#This Row],[Fecha]])</f>
        <v>12</v>
      </c>
    </row>
    <row r="805" spans="2:12" hidden="1" x14ac:dyDescent="0.25">
      <c r="B805" s="5" t="s">
        <v>32</v>
      </c>
      <c r="C805" s="5" t="s">
        <v>866</v>
      </c>
      <c r="D805" s="5" t="s">
        <v>11</v>
      </c>
      <c r="E805" s="6">
        <v>45254</v>
      </c>
      <c r="F805" s="4" t="s">
        <v>15</v>
      </c>
      <c r="G805" s="4" t="s">
        <v>47</v>
      </c>
      <c r="H805" s="4" t="s">
        <v>121</v>
      </c>
      <c r="I805" s="36" t="s">
        <v>867</v>
      </c>
      <c r="J805" s="5"/>
      <c r="K805" s="22">
        <f>YEAR(Tabla1[[#This Row],[Fecha]])</f>
        <v>2023</v>
      </c>
      <c r="L805" s="22">
        <f>MONTH(Tabla1[[#This Row],[Fecha]])</f>
        <v>11</v>
      </c>
    </row>
    <row r="806" spans="2:12" hidden="1" x14ac:dyDescent="0.25">
      <c r="B806" s="5" t="s">
        <v>32</v>
      </c>
      <c r="C806" s="5" t="s">
        <v>700</v>
      </c>
      <c r="D806" s="5" t="s">
        <v>11</v>
      </c>
      <c r="E806" s="6">
        <v>45254</v>
      </c>
      <c r="F806" s="4" t="s">
        <v>15</v>
      </c>
      <c r="G806" s="4" t="s">
        <v>24</v>
      </c>
      <c r="H806" s="4" t="s">
        <v>12</v>
      </c>
      <c r="I806" s="5" t="s">
        <v>868</v>
      </c>
      <c r="J806" s="5"/>
      <c r="K806" s="22">
        <f>YEAR(Tabla1[[#This Row],[Fecha]])</f>
        <v>2023</v>
      </c>
      <c r="L806" s="22">
        <f>MONTH(Tabla1[[#This Row],[Fecha]])</f>
        <v>11</v>
      </c>
    </row>
    <row r="807" spans="2:12" hidden="1" x14ac:dyDescent="0.25">
      <c r="B807" s="5" t="s">
        <v>181</v>
      </c>
      <c r="C807" s="5" t="s">
        <v>182</v>
      </c>
      <c r="D807" s="5" t="s">
        <v>11</v>
      </c>
      <c r="E807" s="6">
        <v>45251</v>
      </c>
      <c r="F807" s="4" t="s">
        <v>15</v>
      </c>
      <c r="G807" s="4" t="s">
        <v>16</v>
      </c>
      <c r="H807" s="4" t="s">
        <v>34</v>
      </c>
      <c r="I807" s="5" t="s">
        <v>860</v>
      </c>
      <c r="J807" s="5"/>
      <c r="K807" s="22">
        <f>YEAR(Tabla1[[#This Row],[Fecha]])</f>
        <v>2023</v>
      </c>
      <c r="L807" s="22">
        <f>MONTH(Tabla1[[#This Row],[Fecha]])</f>
        <v>11</v>
      </c>
    </row>
    <row r="808" spans="2:12" hidden="1" x14ac:dyDescent="0.25">
      <c r="B808" s="5" t="s">
        <v>309</v>
      </c>
      <c r="C808" s="5" t="s">
        <v>371</v>
      </c>
      <c r="D808" s="5" t="s">
        <v>11</v>
      </c>
      <c r="E808" s="6">
        <v>45250</v>
      </c>
      <c r="F808" s="4" t="s">
        <v>15</v>
      </c>
      <c r="G808" s="4" t="s">
        <v>36</v>
      </c>
      <c r="H808" s="4" t="s">
        <v>37</v>
      </c>
      <c r="I808" s="5" t="s">
        <v>871</v>
      </c>
      <c r="J808" s="5"/>
      <c r="K808" s="22">
        <f>YEAR(Tabla1[[#This Row],[Fecha]])</f>
        <v>2023</v>
      </c>
      <c r="L808" s="22">
        <f>MONTH(Tabla1[[#This Row],[Fecha]])</f>
        <v>11</v>
      </c>
    </row>
    <row r="809" spans="2:12" hidden="1" x14ac:dyDescent="0.25">
      <c r="B809" s="5" t="s">
        <v>106</v>
      </c>
      <c r="C809" s="5" t="s">
        <v>110</v>
      </c>
      <c r="D809" s="5" t="s">
        <v>11</v>
      </c>
      <c r="E809" s="6">
        <v>45250</v>
      </c>
      <c r="F809" s="4" t="s">
        <v>91</v>
      </c>
      <c r="G809" s="4" t="s">
        <v>303</v>
      </c>
      <c r="H809" s="20" t="s">
        <v>434</v>
      </c>
      <c r="I809" s="5" t="s">
        <v>872</v>
      </c>
      <c r="J809" s="5"/>
      <c r="K809" s="22">
        <f>YEAR(Tabla1[[#This Row],[Fecha]])</f>
        <v>2023</v>
      </c>
      <c r="L809" s="22">
        <f>MONTH(Tabla1[[#This Row],[Fecha]])</f>
        <v>11</v>
      </c>
    </row>
    <row r="810" spans="2:12" hidden="1" x14ac:dyDescent="0.25">
      <c r="B810" s="5" t="s">
        <v>49</v>
      </c>
      <c r="C810" s="5" t="s">
        <v>57</v>
      </c>
      <c r="D810" s="5" t="s">
        <v>11</v>
      </c>
      <c r="E810" s="6">
        <v>45246</v>
      </c>
      <c r="F810" s="4" t="s">
        <v>15</v>
      </c>
      <c r="G810" s="4" t="s">
        <v>24</v>
      </c>
      <c r="H810" s="4" t="s">
        <v>37</v>
      </c>
      <c r="I810" s="36" t="s">
        <v>883</v>
      </c>
      <c r="J810" s="5"/>
      <c r="K810" s="22">
        <f>YEAR(Tabla1[[#This Row],[Fecha]])</f>
        <v>2023</v>
      </c>
      <c r="L810" s="22">
        <f>MONTH(Tabla1[[#This Row],[Fecha]])</f>
        <v>11</v>
      </c>
    </row>
    <row r="811" spans="2:12" hidden="1" x14ac:dyDescent="0.25">
      <c r="B811" s="5" t="s">
        <v>181</v>
      </c>
      <c r="C811" s="5" t="s">
        <v>182</v>
      </c>
      <c r="D811" s="5" t="s">
        <v>11</v>
      </c>
      <c r="E811" s="6">
        <v>45245</v>
      </c>
      <c r="F811" s="4" t="s">
        <v>15</v>
      </c>
      <c r="G811" s="4" t="s">
        <v>16</v>
      </c>
      <c r="H811" s="4" t="s">
        <v>34</v>
      </c>
      <c r="I811" s="5" t="s">
        <v>864</v>
      </c>
      <c r="J811" s="5"/>
      <c r="K811" s="22">
        <f>YEAR(Tabla1[[#This Row],[Fecha]])</f>
        <v>2023</v>
      </c>
      <c r="L811" s="22">
        <f>MONTH(Tabla1[[#This Row],[Fecha]])</f>
        <v>11</v>
      </c>
    </row>
    <row r="812" spans="2:12" hidden="1" x14ac:dyDescent="0.25">
      <c r="B812" s="5" t="s">
        <v>49</v>
      </c>
      <c r="C812" s="5" t="s">
        <v>57</v>
      </c>
      <c r="D812" s="5" t="s">
        <v>11</v>
      </c>
      <c r="E812" s="6">
        <v>45245</v>
      </c>
      <c r="F812" s="4" t="s">
        <v>15</v>
      </c>
      <c r="G812" s="4" t="s">
        <v>24</v>
      </c>
      <c r="H812" s="4" t="s">
        <v>37</v>
      </c>
      <c r="I812" s="36" t="s">
        <v>881</v>
      </c>
      <c r="J812" s="5"/>
      <c r="K812" s="22">
        <f>YEAR(Tabla1[[#This Row],[Fecha]])</f>
        <v>2023</v>
      </c>
      <c r="L812" s="22">
        <f>MONTH(Tabla1[[#This Row],[Fecha]])</f>
        <v>11</v>
      </c>
    </row>
    <row r="813" spans="2:12" hidden="1" x14ac:dyDescent="0.25">
      <c r="B813" s="5" t="s">
        <v>49</v>
      </c>
      <c r="C813" s="5" t="s">
        <v>60</v>
      </c>
      <c r="D813" s="5" t="s">
        <v>11</v>
      </c>
      <c r="E813" s="6">
        <v>45245</v>
      </c>
      <c r="F813" s="4" t="s">
        <v>15</v>
      </c>
      <c r="G813" s="4" t="s">
        <v>24</v>
      </c>
      <c r="H813" s="4" t="s">
        <v>37</v>
      </c>
      <c r="I813" s="36" t="s">
        <v>882</v>
      </c>
      <c r="J813" s="5"/>
      <c r="K813" s="22">
        <f>YEAR(Tabla1[[#This Row],[Fecha]])</f>
        <v>2023</v>
      </c>
      <c r="L813" s="22">
        <f>MONTH(Tabla1[[#This Row],[Fecha]])</f>
        <v>11</v>
      </c>
    </row>
    <row r="814" spans="2:12" hidden="1" x14ac:dyDescent="0.25">
      <c r="B814" s="5" t="s">
        <v>181</v>
      </c>
      <c r="C814" s="5" t="s">
        <v>182</v>
      </c>
      <c r="D814" s="5" t="s">
        <v>11</v>
      </c>
      <c r="E814" s="6">
        <v>45244</v>
      </c>
      <c r="F814" s="4" t="s">
        <v>15</v>
      </c>
      <c r="G814" s="4" t="s">
        <v>16</v>
      </c>
      <c r="H814" s="4" t="s">
        <v>34</v>
      </c>
      <c r="I814" s="5" t="s">
        <v>863</v>
      </c>
      <c r="J814" s="5"/>
      <c r="K814" s="22">
        <f>YEAR(Tabla1[[#This Row],[Fecha]])</f>
        <v>2023</v>
      </c>
      <c r="L814" s="22">
        <f>MONTH(Tabla1[[#This Row],[Fecha]])</f>
        <v>11</v>
      </c>
    </row>
    <row r="815" spans="2:12" hidden="1" x14ac:dyDescent="0.25">
      <c r="B815" s="5" t="s">
        <v>309</v>
      </c>
      <c r="C815" s="5" t="s">
        <v>321</v>
      </c>
      <c r="D815" s="5" t="s">
        <v>11</v>
      </c>
      <c r="E815" s="6">
        <v>45244</v>
      </c>
      <c r="F815" s="4" t="s">
        <v>91</v>
      </c>
      <c r="G815" s="4" t="s">
        <v>303</v>
      </c>
      <c r="H815" s="20" t="s">
        <v>434</v>
      </c>
      <c r="I815" s="5" t="s">
        <v>877</v>
      </c>
      <c r="J815" s="5"/>
      <c r="K815" s="22">
        <f>YEAR(Tabla1[[#This Row],[Fecha]])</f>
        <v>2023</v>
      </c>
      <c r="L815" s="22">
        <f>MONTH(Tabla1[[#This Row],[Fecha]])</f>
        <v>11</v>
      </c>
    </row>
    <row r="816" spans="2:12" hidden="1" x14ac:dyDescent="0.25">
      <c r="B816" s="5" t="s">
        <v>309</v>
      </c>
      <c r="C816" s="5" t="s">
        <v>320</v>
      </c>
      <c r="D816" s="5" t="s">
        <v>11</v>
      </c>
      <c r="E816" s="6">
        <v>45244</v>
      </c>
      <c r="F816" s="4" t="s">
        <v>91</v>
      </c>
      <c r="G816" s="4" t="s">
        <v>303</v>
      </c>
      <c r="H816" s="20" t="s">
        <v>434</v>
      </c>
      <c r="I816" s="5" t="s">
        <v>878</v>
      </c>
      <c r="J816" s="5"/>
      <c r="K816" s="22">
        <f>YEAR(Tabla1[[#This Row],[Fecha]])</f>
        <v>2023</v>
      </c>
      <c r="L816" s="22">
        <f>MONTH(Tabla1[[#This Row],[Fecha]])</f>
        <v>11</v>
      </c>
    </row>
    <row r="817" spans="2:12" hidden="1" x14ac:dyDescent="0.25">
      <c r="B817" s="5" t="s">
        <v>309</v>
      </c>
      <c r="C817" s="5" t="s">
        <v>318</v>
      </c>
      <c r="D817" s="5" t="s">
        <v>11</v>
      </c>
      <c r="E817" s="6">
        <v>45244</v>
      </c>
      <c r="F817" s="4" t="s">
        <v>15</v>
      </c>
      <c r="G817" s="4" t="s">
        <v>16</v>
      </c>
      <c r="H817" s="4" t="s">
        <v>1775</v>
      </c>
      <c r="I817" s="5" t="s">
        <v>879</v>
      </c>
      <c r="J817" s="5"/>
      <c r="K817" s="22">
        <f>YEAR(Tabla1[[#This Row],[Fecha]])</f>
        <v>2023</v>
      </c>
      <c r="L817" s="22">
        <f>MONTH(Tabla1[[#This Row],[Fecha]])</f>
        <v>11</v>
      </c>
    </row>
    <row r="818" spans="2:12" hidden="1" x14ac:dyDescent="0.25">
      <c r="B818" s="5" t="s">
        <v>32</v>
      </c>
      <c r="C818" s="5" t="s">
        <v>700</v>
      </c>
      <c r="D818" s="5" t="s">
        <v>11</v>
      </c>
      <c r="E818" s="6">
        <v>45243</v>
      </c>
      <c r="F818" s="4" t="s">
        <v>15</v>
      </c>
      <c r="G818" s="4" t="s">
        <v>24</v>
      </c>
      <c r="H818" s="4" t="s">
        <v>12</v>
      </c>
      <c r="I818" s="5" t="s">
        <v>874</v>
      </c>
      <c r="J818" s="5"/>
      <c r="K818" s="22">
        <f>YEAR(Tabla1[[#This Row],[Fecha]])</f>
        <v>2023</v>
      </c>
      <c r="L818" s="22">
        <f>MONTH(Tabla1[[#This Row],[Fecha]])</f>
        <v>11</v>
      </c>
    </row>
    <row r="819" spans="2:12" hidden="1" x14ac:dyDescent="0.25">
      <c r="B819" s="5" t="s">
        <v>32</v>
      </c>
      <c r="C819" s="5" t="s">
        <v>147</v>
      </c>
      <c r="D819" s="5" t="s">
        <v>11</v>
      </c>
      <c r="E819" s="6">
        <v>45243</v>
      </c>
      <c r="F819" s="4" t="s">
        <v>91</v>
      </c>
      <c r="G819" s="4" t="s">
        <v>103</v>
      </c>
      <c r="H819" s="4" t="s">
        <v>298</v>
      </c>
      <c r="I819" s="5" t="s">
        <v>875</v>
      </c>
      <c r="J819" s="5"/>
      <c r="K819" s="22">
        <f>YEAR(Tabla1[[#This Row],[Fecha]])</f>
        <v>2023</v>
      </c>
      <c r="L819" s="22">
        <f>MONTH(Tabla1[[#This Row],[Fecha]])</f>
        <v>11</v>
      </c>
    </row>
    <row r="820" spans="2:12" hidden="1" x14ac:dyDescent="0.25">
      <c r="B820" s="5" t="s">
        <v>32</v>
      </c>
      <c r="C820" s="5" t="s">
        <v>142</v>
      </c>
      <c r="D820" s="5" t="s">
        <v>11</v>
      </c>
      <c r="E820" s="6">
        <v>45243</v>
      </c>
      <c r="F820" s="4" t="s">
        <v>15</v>
      </c>
      <c r="G820" s="4" t="s">
        <v>16</v>
      </c>
      <c r="H820" s="4" t="s">
        <v>74</v>
      </c>
      <c r="I820" s="5" t="s">
        <v>876</v>
      </c>
      <c r="J820" s="5"/>
      <c r="K820" s="22">
        <f>YEAR(Tabla1[[#This Row],[Fecha]])</f>
        <v>2023</v>
      </c>
      <c r="L820" s="22">
        <f>MONTH(Tabla1[[#This Row],[Fecha]])</f>
        <v>11</v>
      </c>
    </row>
    <row r="821" spans="2:12" hidden="1" x14ac:dyDescent="0.25">
      <c r="B821" s="5" t="s">
        <v>106</v>
      </c>
      <c r="C821" s="5" t="s">
        <v>110</v>
      </c>
      <c r="D821" s="5" t="s">
        <v>11</v>
      </c>
      <c r="E821" s="6">
        <v>45243</v>
      </c>
      <c r="F821" s="4" t="s">
        <v>91</v>
      </c>
      <c r="G821" s="4" t="s">
        <v>303</v>
      </c>
      <c r="H821" s="4" t="s">
        <v>431</v>
      </c>
      <c r="I821" s="5" t="s">
        <v>880</v>
      </c>
      <c r="J821" s="5"/>
      <c r="K821" s="22">
        <f>YEAR(Tabla1[[#This Row],[Fecha]])</f>
        <v>2023</v>
      </c>
      <c r="L821" s="22">
        <f>MONTH(Tabla1[[#This Row],[Fecha]])</f>
        <v>11</v>
      </c>
    </row>
    <row r="822" spans="2:12" hidden="1" x14ac:dyDescent="0.25">
      <c r="B822" s="5" t="s">
        <v>49</v>
      </c>
      <c r="C822" s="5" t="s">
        <v>57</v>
      </c>
      <c r="D822" s="5" t="s">
        <v>11</v>
      </c>
      <c r="E822" s="6">
        <v>45242</v>
      </c>
      <c r="F822" s="4" t="s">
        <v>15</v>
      </c>
      <c r="G822" s="4" t="s">
        <v>16</v>
      </c>
      <c r="H822" s="4" t="s">
        <v>1797</v>
      </c>
      <c r="I822" s="5" t="s">
        <v>873</v>
      </c>
      <c r="J822" s="5"/>
      <c r="K822" s="22">
        <f>YEAR(Tabla1[[#This Row],[Fecha]])</f>
        <v>2023</v>
      </c>
      <c r="L822" s="22">
        <f>MONTH(Tabla1[[#This Row],[Fecha]])</f>
        <v>11</v>
      </c>
    </row>
    <row r="823" spans="2:12" hidden="1" x14ac:dyDescent="0.25">
      <c r="B823" s="5" t="s">
        <v>9</v>
      </c>
      <c r="C823" s="5" t="s">
        <v>14</v>
      </c>
      <c r="D823" s="5" t="s">
        <v>11</v>
      </c>
      <c r="E823" s="6">
        <v>45240</v>
      </c>
      <c r="F823" s="4" t="s">
        <v>91</v>
      </c>
      <c r="G823" s="4" t="s">
        <v>303</v>
      </c>
      <c r="H823" s="20" t="s">
        <v>434</v>
      </c>
      <c r="I823" s="5" t="s">
        <v>893</v>
      </c>
      <c r="J823" s="5"/>
      <c r="K823" s="22">
        <f>YEAR(Tabla1[[#This Row],[Fecha]])</f>
        <v>2023</v>
      </c>
      <c r="L823" s="22">
        <f>MONTH(Tabla1[[#This Row],[Fecha]])</f>
        <v>11</v>
      </c>
    </row>
    <row r="824" spans="2:12" hidden="1" x14ac:dyDescent="0.25">
      <c r="B824" s="5" t="s">
        <v>9</v>
      </c>
      <c r="C824" s="5" t="s">
        <v>62</v>
      </c>
      <c r="D824" s="5" t="s">
        <v>11</v>
      </c>
      <c r="E824" s="6">
        <v>45240</v>
      </c>
      <c r="F824" s="4" t="s">
        <v>91</v>
      </c>
      <c r="G824" s="4" t="s">
        <v>303</v>
      </c>
      <c r="H824" s="20" t="s">
        <v>434</v>
      </c>
      <c r="I824" s="5" t="s">
        <v>894</v>
      </c>
      <c r="J824" s="5"/>
      <c r="K824" s="22">
        <f>YEAR(Tabla1[[#This Row],[Fecha]])</f>
        <v>2023</v>
      </c>
      <c r="L824" s="22">
        <f>MONTH(Tabla1[[#This Row],[Fecha]])</f>
        <v>11</v>
      </c>
    </row>
    <row r="825" spans="2:12" hidden="1" x14ac:dyDescent="0.25">
      <c r="B825" s="5" t="s">
        <v>9</v>
      </c>
      <c r="C825" s="5" t="s">
        <v>153</v>
      </c>
      <c r="D825" s="5" t="s">
        <v>11</v>
      </c>
      <c r="E825" s="6">
        <v>45240</v>
      </c>
      <c r="F825" s="4" t="s">
        <v>91</v>
      </c>
      <c r="G825" s="4" t="s">
        <v>303</v>
      </c>
      <c r="H825" s="20" t="s">
        <v>434</v>
      </c>
      <c r="I825" s="5" t="s">
        <v>895</v>
      </c>
      <c r="J825" s="5"/>
      <c r="K825" s="22">
        <f>YEAR(Tabla1[[#This Row],[Fecha]])</f>
        <v>2023</v>
      </c>
      <c r="L825" s="22">
        <f>MONTH(Tabla1[[#This Row],[Fecha]])</f>
        <v>11</v>
      </c>
    </row>
    <row r="826" spans="2:12" hidden="1" x14ac:dyDescent="0.25">
      <c r="B826" s="5" t="s">
        <v>9</v>
      </c>
      <c r="C826" s="5" t="s">
        <v>68</v>
      </c>
      <c r="D826" s="5" t="s">
        <v>11</v>
      </c>
      <c r="E826" s="6">
        <v>45240</v>
      </c>
      <c r="F826" s="4" t="s">
        <v>91</v>
      </c>
      <c r="G826" s="4" t="s">
        <v>303</v>
      </c>
      <c r="H826" s="20" t="s">
        <v>434</v>
      </c>
      <c r="I826" s="5" t="s">
        <v>896</v>
      </c>
      <c r="J826" s="5"/>
      <c r="K826" s="22">
        <f>YEAR(Tabla1[[#This Row],[Fecha]])</f>
        <v>2023</v>
      </c>
      <c r="L826" s="22">
        <f>MONTH(Tabla1[[#This Row],[Fecha]])</f>
        <v>11</v>
      </c>
    </row>
    <row r="827" spans="2:12" hidden="1" x14ac:dyDescent="0.25">
      <c r="B827" s="5" t="s">
        <v>9</v>
      </c>
      <c r="C827" s="5" t="s">
        <v>10</v>
      </c>
      <c r="D827" s="5" t="s">
        <v>11</v>
      </c>
      <c r="E827" s="6">
        <v>45240</v>
      </c>
      <c r="F827" s="4" t="s">
        <v>91</v>
      </c>
      <c r="G827" s="4" t="s">
        <v>303</v>
      </c>
      <c r="H827" s="20" t="s">
        <v>434</v>
      </c>
      <c r="I827" s="5" t="s">
        <v>897</v>
      </c>
      <c r="J827" s="5"/>
      <c r="K827" s="22">
        <f>YEAR(Tabla1[[#This Row],[Fecha]])</f>
        <v>2023</v>
      </c>
      <c r="L827" s="22">
        <f>MONTH(Tabla1[[#This Row],[Fecha]])</f>
        <v>11</v>
      </c>
    </row>
    <row r="828" spans="2:12" hidden="1" x14ac:dyDescent="0.25">
      <c r="B828" s="5" t="s">
        <v>9</v>
      </c>
      <c r="C828" s="5" t="s">
        <v>102</v>
      </c>
      <c r="D828" s="5" t="s">
        <v>11</v>
      </c>
      <c r="E828" s="6">
        <v>45240</v>
      </c>
      <c r="F828" s="4" t="s">
        <v>91</v>
      </c>
      <c r="G828" s="4" t="s">
        <v>303</v>
      </c>
      <c r="H828" s="20" t="s">
        <v>434</v>
      </c>
      <c r="I828" s="5" t="s">
        <v>898</v>
      </c>
      <c r="J828" s="5"/>
      <c r="K828" s="22">
        <f>YEAR(Tabla1[[#This Row],[Fecha]])</f>
        <v>2023</v>
      </c>
      <c r="L828" s="22">
        <f>MONTH(Tabla1[[#This Row],[Fecha]])</f>
        <v>11</v>
      </c>
    </row>
    <row r="829" spans="2:12" hidden="1" x14ac:dyDescent="0.25">
      <c r="B829" s="5" t="s">
        <v>9</v>
      </c>
      <c r="C829" s="5" t="s">
        <v>87</v>
      </c>
      <c r="D829" s="5" t="s">
        <v>11</v>
      </c>
      <c r="E829" s="6">
        <v>45240</v>
      </c>
      <c r="F829" s="4" t="s">
        <v>91</v>
      </c>
      <c r="G829" s="4" t="s">
        <v>303</v>
      </c>
      <c r="H829" s="20" t="s">
        <v>434</v>
      </c>
      <c r="I829" s="5" t="s">
        <v>899</v>
      </c>
      <c r="J829" s="5"/>
      <c r="K829" s="22">
        <f>YEAR(Tabla1[[#This Row],[Fecha]])</f>
        <v>2023</v>
      </c>
      <c r="L829" s="22">
        <f>MONTH(Tabla1[[#This Row],[Fecha]])</f>
        <v>11</v>
      </c>
    </row>
    <row r="830" spans="2:12" hidden="1" x14ac:dyDescent="0.25">
      <c r="B830" s="5" t="s">
        <v>9</v>
      </c>
      <c r="C830" s="5" t="s">
        <v>93</v>
      </c>
      <c r="D830" s="5" t="s">
        <v>11</v>
      </c>
      <c r="E830" s="6">
        <v>45240</v>
      </c>
      <c r="F830" s="4" t="s">
        <v>91</v>
      </c>
      <c r="G830" s="4" t="s">
        <v>303</v>
      </c>
      <c r="H830" s="20" t="s">
        <v>434</v>
      </c>
      <c r="I830" s="5" t="s">
        <v>900</v>
      </c>
      <c r="J830" s="5"/>
      <c r="K830" s="22">
        <f>YEAR(Tabla1[[#This Row],[Fecha]])</f>
        <v>2023</v>
      </c>
      <c r="L830" s="22">
        <f>MONTH(Tabla1[[#This Row],[Fecha]])</f>
        <v>11</v>
      </c>
    </row>
    <row r="831" spans="2:12" hidden="1" x14ac:dyDescent="0.25">
      <c r="B831" s="5" t="s">
        <v>9</v>
      </c>
      <c r="C831" s="5" t="s">
        <v>82</v>
      </c>
      <c r="D831" s="5" t="s">
        <v>11</v>
      </c>
      <c r="E831" s="6">
        <v>45240</v>
      </c>
      <c r="F831" s="4" t="s">
        <v>91</v>
      </c>
      <c r="G831" s="4" t="s">
        <v>303</v>
      </c>
      <c r="H831" s="20" t="s">
        <v>434</v>
      </c>
      <c r="I831" s="5" t="s">
        <v>901</v>
      </c>
      <c r="J831" s="5"/>
      <c r="K831" s="22">
        <f>YEAR(Tabla1[[#This Row],[Fecha]])</f>
        <v>2023</v>
      </c>
      <c r="L831" s="22">
        <f>MONTH(Tabla1[[#This Row],[Fecha]])</f>
        <v>11</v>
      </c>
    </row>
    <row r="832" spans="2:12" hidden="1" x14ac:dyDescent="0.25">
      <c r="B832" s="5" t="s">
        <v>9</v>
      </c>
      <c r="C832" s="5" t="s">
        <v>71</v>
      </c>
      <c r="D832" s="5" t="s">
        <v>11</v>
      </c>
      <c r="E832" s="6">
        <v>45240</v>
      </c>
      <c r="F832" s="4" t="s">
        <v>91</v>
      </c>
      <c r="G832" s="4" t="s">
        <v>303</v>
      </c>
      <c r="H832" s="20" t="s">
        <v>434</v>
      </c>
      <c r="I832" s="5" t="s">
        <v>902</v>
      </c>
      <c r="J832" s="5"/>
      <c r="K832" s="22">
        <f>YEAR(Tabla1[[#This Row],[Fecha]])</f>
        <v>2023</v>
      </c>
      <c r="L832" s="22">
        <f>MONTH(Tabla1[[#This Row],[Fecha]])</f>
        <v>11</v>
      </c>
    </row>
    <row r="833" spans="2:12" hidden="1" x14ac:dyDescent="0.25">
      <c r="B833" s="5" t="s">
        <v>9</v>
      </c>
      <c r="C833" s="5" t="s">
        <v>80</v>
      </c>
      <c r="D833" s="5" t="s">
        <v>11</v>
      </c>
      <c r="E833" s="6">
        <v>45240</v>
      </c>
      <c r="F833" s="4" t="s">
        <v>91</v>
      </c>
      <c r="G833" s="4" t="s">
        <v>303</v>
      </c>
      <c r="H833" s="20" t="s">
        <v>434</v>
      </c>
      <c r="I833" s="5" t="s">
        <v>903</v>
      </c>
      <c r="J833" s="5"/>
      <c r="K833" s="22">
        <f>YEAR(Tabla1[[#This Row],[Fecha]])</f>
        <v>2023</v>
      </c>
      <c r="L833" s="22">
        <f>MONTH(Tabla1[[#This Row],[Fecha]])</f>
        <v>11</v>
      </c>
    </row>
    <row r="834" spans="2:12" hidden="1" x14ac:dyDescent="0.25">
      <c r="B834" s="5" t="s">
        <v>181</v>
      </c>
      <c r="C834" s="5" t="s">
        <v>182</v>
      </c>
      <c r="D834" s="5" t="s">
        <v>11</v>
      </c>
      <c r="E834" s="6">
        <v>45239</v>
      </c>
      <c r="F834" s="4" t="s">
        <v>15</v>
      </c>
      <c r="G834" s="4" t="s">
        <v>16</v>
      </c>
      <c r="H834" s="4" t="s">
        <v>34</v>
      </c>
      <c r="I834" s="5" t="s">
        <v>862</v>
      </c>
      <c r="J834" s="5"/>
      <c r="K834" s="22">
        <f>YEAR(Tabla1[[#This Row],[Fecha]])</f>
        <v>2023</v>
      </c>
      <c r="L834" s="22">
        <f>MONTH(Tabla1[[#This Row],[Fecha]])</f>
        <v>11</v>
      </c>
    </row>
    <row r="835" spans="2:12" hidden="1" x14ac:dyDescent="0.25">
      <c r="B835" s="5" t="s">
        <v>309</v>
      </c>
      <c r="C835" s="5" t="s">
        <v>322</v>
      </c>
      <c r="D835" s="5" t="s">
        <v>11</v>
      </c>
      <c r="E835" s="6">
        <v>45238</v>
      </c>
      <c r="F835" s="4" t="s">
        <v>15</v>
      </c>
      <c r="G835" s="4" t="s">
        <v>16</v>
      </c>
      <c r="H835" s="4" t="s">
        <v>34</v>
      </c>
      <c r="I835" s="5" t="s">
        <v>886</v>
      </c>
      <c r="J835" s="5"/>
      <c r="K835" s="22">
        <f>YEAR(Tabla1[[#This Row],[Fecha]])</f>
        <v>2023</v>
      </c>
      <c r="L835" s="22">
        <f>MONTH(Tabla1[[#This Row],[Fecha]])</f>
        <v>11</v>
      </c>
    </row>
    <row r="836" spans="2:12" hidden="1" x14ac:dyDescent="0.25">
      <c r="B836" s="5" t="s">
        <v>9</v>
      </c>
      <c r="C836" s="5" t="s">
        <v>14</v>
      </c>
      <c r="D836" s="5" t="s">
        <v>11</v>
      </c>
      <c r="E836" s="6">
        <v>45238</v>
      </c>
      <c r="F836" s="4" t="s">
        <v>91</v>
      </c>
      <c r="G836" s="4" t="s">
        <v>303</v>
      </c>
      <c r="H836" s="20" t="s">
        <v>434</v>
      </c>
      <c r="I836" s="5" t="s">
        <v>915</v>
      </c>
      <c r="J836" s="5"/>
      <c r="K836" s="22">
        <f>YEAR(Tabla1[[#This Row],[Fecha]])</f>
        <v>2023</v>
      </c>
      <c r="L836" s="22">
        <f>MONTH(Tabla1[[#This Row],[Fecha]])</f>
        <v>11</v>
      </c>
    </row>
    <row r="837" spans="2:12" hidden="1" x14ac:dyDescent="0.25">
      <c r="B837" s="5" t="s">
        <v>9</v>
      </c>
      <c r="C837" s="5" t="s">
        <v>62</v>
      </c>
      <c r="D837" s="5" t="s">
        <v>11</v>
      </c>
      <c r="E837" s="6">
        <v>45238</v>
      </c>
      <c r="F837" s="4" t="s">
        <v>91</v>
      </c>
      <c r="G837" s="4" t="s">
        <v>303</v>
      </c>
      <c r="H837" s="20" t="s">
        <v>434</v>
      </c>
      <c r="I837" s="5" t="s">
        <v>916</v>
      </c>
      <c r="J837" s="5"/>
      <c r="K837" s="22">
        <f>YEAR(Tabla1[[#This Row],[Fecha]])</f>
        <v>2023</v>
      </c>
      <c r="L837" s="22">
        <f>MONTH(Tabla1[[#This Row],[Fecha]])</f>
        <v>11</v>
      </c>
    </row>
    <row r="838" spans="2:12" hidden="1" x14ac:dyDescent="0.25">
      <c r="B838" s="5" t="s">
        <v>9</v>
      </c>
      <c r="C838" s="5" t="s">
        <v>153</v>
      </c>
      <c r="D838" s="5" t="s">
        <v>11</v>
      </c>
      <c r="E838" s="6">
        <v>45238</v>
      </c>
      <c r="F838" s="4" t="s">
        <v>91</v>
      </c>
      <c r="G838" s="4" t="s">
        <v>303</v>
      </c>
      <c r="H838" s="20" t="s">
        <v>434</v>
      </c>
      <c r="I838" s="5" t="s">
        <v>917</v>
      </c>
      <c r="J838" s="5"/>
      <c r="K838" s="22">
        <f>YEAR(Tabla1[[#This Row],[Fecha]])</f>
        <v>2023</v>
      </c>
      <c r="L838" s="22">
        <f>MONTH(Tabla1[[#This Row],[Fecha]])</f>
        <v>11</v>
      </c>
    </row>
    <row r="839" spans="2:12" hidden="1" x14ac:dyDescent="0.25">
      <c r="B839" s="5" t="s">
        <v>9</v>
      </c>
      <c r="C839" s="5" t="s">
        <v>68</v>
      </c>
      <c r="D839" s="5" t="s">
        <v>11</v>
      </c>
      <c r="E839" s="6">
        <v>45238</v>
      </c>
      <c r="F839" s="4" t="s">
        <v>91</v>
      </c>
      <c r="G839" s="4" t="s">
        <v>303</v>
      </c>
      <c r="H839" s="20" t="s">
        <v>434</v>
      </c>
      <c r="I839" s="5" t="s">
        <v>918</v>
      </c>
      <c r="J839" s="5"/>
      <c r="K839" s="22">
        <f>YEAR(Tabla1[[#This Row],[Fecha]])</f>
        <v>2023</v>
      </c>
      <c r="L839" s="22">
        <f>MONTH(Tabla1[[#This Row],[Fecha]])</f>
        <v>11</v>
      </c>
    </row>
    <row r="840" spans="2:12" hidden="1" x14ac:dyDescent="0.25">
      <c r="B840" s="5" t="s">
        <v>9</v>
      </c>
      <c r="C840" s="5" t="s">
        <v>10</v>
      </c>
      <c r="D840" s="5" t="s">
        <v>11</v>
      </c>
      <c r="E840" s="6">
        <v>45238</v>
      </c>
      <c r="F840" s="4" t="s">
        <v>91</v>
      </c>
      <c r="G840" s="4" t="s">
        <v>303</v>
      </c>
      <c r="H840" s="20" t="s">
        <v>434</v>
      </c>
      <c r="I840" s="5" t="s">
        <v>919</v>
      </c>
      <c r="J840" s="5"/>
      <c r="K840" s="22">
        <f>YEAR(Tabla1[[#This Row],[Fecha]])</f>
        <v>2023</v>
      </c>
      <c r="L840" s="22">
        <f>MONTH(Tabla1[[#This Row],[Fecha]])</f>
        <v>11</v>
      </c>
    </row>
    <row r="841" spans="2:12" hidden="1" x14ac:dyDescent="0.25">
      <c r="B841" s="5" t="s">
        <v>9</v>
      </c>
      <c r="C841" s="5" t="s">
        <v>102</v>
      </c>
      <c r="D841" s="5" t="s">
        <v>11</v>
      </c>
      <c r="E841" s="6">
        <v>45238</v>
      </c>
      <c r="F841" s="4" t="s">
        <v>91</v>
      </c>
      <c r="G841" s="4" t="s">
        <v>303</v>
      </c>
      <c r="H841" s="20" t="s">
        <v>434</v>
      </c>
      <c r="I841" s="5" t="s">
        <v>920</v>
      </c>
      <c r="J841" s="5"/>
      <c r="K841" s="22">
        <f>YEAR(Tabla1[[#This Row],[Fecha]])</f>
        <v>2023</v>
      </c>
      <c r="L841" s="22">
        <f>MONTH(Tabla1[[#This Row],[Fecha]])</f>
        <v>11</v>
      </c>
    </row>
    <row r="842" spans="2:12" hidden="1" x14ac:dyDescent="0.25">
      <c r="B842" s="5" t="s">
        <v>9</v>
      </c>
      <c r="C842" s="5" t="s">
        <v>87</v>
      </c>
      <c r="D842" s="5" t="s">
        <v>11</v>
      </c>
      <c r="E842" s="6">
        <v>45238</v>
      </c>
      <c r="F842" s="4" t="s">
        <v>91</v>
      </c>
      <c r="G842" s="4" t="s">
        <v>303</v>
      </c>
      <c r="H842" s="20" t="s">
        <v>434</v>
      </c>
      <c r="I842" s="5" t="s">
        <v>921</v>
      </c>
      <c r="J842" s="5"/>
      <c r="K842" s="22">
        <f>YEAR(Tabla1[[#This Row],[Fecha]])</f>
        <v>2023</v>
      </c>
      <c r="L842" s="22">
        <f>MONTH(Tabla1[[#This Row],[Fecha]])</f>
        <v>11</v>
      </c>
    </row>
    <row r="843" spans="2:12" hidden="1" x14ac:dyDescent="0.25">
      <c r="B843" s="5" t="s">
        <v>9</v>
      </c>
      <c r="C843" s="5" t="s">
        <v>93</v>
      </c>
      <c r="D843" s="5" t="s">
        <v>11</v>
      </c>
      <c r="E843" s="6">
        <v>45238</v>
      </c>
      <c r="F843" s="4" t="s">
        <v>91</v>
      </c>
      <c r="G843" s="4" t="s">
        <v>303</v>
      </c>
      <c r="H843" s="20" t="s">
        <v>434</v>
      </c>
      <c r="I843" s="5" t="s">
        <v>922</v>
      </c>
      <c r="J843" s="5"/>
      <c r="K843" s="22">
        <f>YEAR(Tabla1[[#This Row],[Fecha]])</f>
        <v>2023</v>
      </c>
      <c r="L843" s="22">
        <f>MONTH(Tabla1[[#This Row],[Fecha]])</f>
        <v>11</v>
      </c>
    </row>
    <row r="844" spans="2:12" hidden="1" x14ac:dyDescent="0.25">
      <c r="B844" s="5" t="s">
        <v>9</v>
      </c>
      <c r="C844" s="5" t="s">
        <v>82</v>
      </c>
      <c r="D844" s="5" t="s">
        <v>11</v>
      </c>
      <c r="E844" s="6">
        <v>45238</v>
      </c>
      <c r="F844" s="4" t="s">
        <v>91</v>
      </c>
      <c r="G844" s="4" t="s">
        <v>303</v>
      </c>
      <c r="H844" s="20" t="s">
        <v>434</v>
      </c>
      <c r="I844" s="5" t="s">
        <v>923</v>
      </c>
      <c r="J844" s="5"/>
      <c r="K844" s="22">
        <f>YEAR(Tabla1[[#This Row],[Fecha]])</f>
        <v>2023</v>
      </c>
      <c r="L844" s="22">
        <f>MONTH(Tabla1[[#This Row],[Fecha]])</f>
        <v>11</v>
      </c>
    </row>
    <row r="845" spans="2:12" hidden="1" x14ac:dyDescent="0.25">
      <c r="B845" s="5" t="s">
        <v>9</v>
      </c>
      <c r="C845" s="5" t="s">
        <v>71</v>
      </c>
      <c r="D845" s="5" t="s">
        <v>11</v>
      </c>
      <c r="E845" s="6">
        <v>45238</v>
      </c>
      <c r="F845" s="4" t="s">
        <v>91</v>
      </c>
      <c r="G845" s="4" t="s">
        <v>303</v>
      </c>
      <c r="H845" s="20" t="s">
        <v>434</v>
      </c>
      <c r="I845" s="5" t="s">
        <v>924</v>
      </c>
      <c r="J845" s="5"/>
      <c r="K845" s="22">
        <f>YEAR(Tabla1[[#This Row],[Fecha]])</f>
        <v>2023</v>
      </c>
      <c r="L845" s="22">
        <f>MONTH(Tabla1[[#This Row],[Fecha]])</f>
        <v>11</v>
      </c>
    </row>
    <row r="846" spans="2:12" hidden="1" x14ac:dyDescent="0.25">
      <c r="B846" s="5" t="s">
        <v>9</v>
      </c>
      <c r="C846" s="5" t="s">
        <v>99</v>
      </c>
      <c r="D846" s="5" t="s">
        <v>11</v>
      </c>
      <c r="E846" s="6">
        <v>45238</v>
      </c>
      <c r="F846" s="4" t="s">
        <v>91</v>
      </c>
      <c r="G846" s="4" t="s">
        <v>303</v>
      </c>
      <c r="H846" s="20" t="s">
        <v>434</v>
      </c>
      <c r="I846" s="5" t="s">
        <v>925</v>
      </c>
      <c r="J846" s="5"/>
      <c r="K846" s="22">
        <f>YEAR(Tabla1[[#This Row],[Fecha]])</f>
        <v>2023</v>
      </c>
      <c r="L846" s="22">
        <f>MONTH(Tabla1[[#This Row],[Fecha]])</f>
        <v>11</v>
      </c>
    </row>
    <row r="847" spans="2:12" hidden="1" x14ac:dyDescent="0.25">
      <c r="B847" s="5" t="s">
        <v>9</v>
      </c>
      <c r="C847" s="5" t="s">
        <v>80</v>
      </c>
      <c r="D847" s="5" t="s">
        <v>11</v>
      </c>
      <c r="E847" s="6">
        <v>45238</v>
      </c>
      <c r="F847" s="4" t="s">
        <v>91</v>
      </c>
      <c r="G847" s="4" t="s">
        <v>303</v>
      </c>
      <c r="H847" s="4" t="s">
        <v>431</v>
      </c>
      <c r="I847" s="5" t="s">
        <v>928</v>
      </c>
      <c r="J847" s="5"/>
      <c r="K847" s="22">
        <f>YEAR(Tabla1[[#This Row],[Fecha]])</f>
        <v>2023</v>
      </c>
      <c r="L847" s="22">
        <f>MONTH(Tabla1[[#This Row],[Fecha]])</f>
        <v>11</v>
      </c>
    </row>
    <row r="848" spans="2:12" hidden="1" x14ac:dyDescent="0.25">
      <c r="B848" s="5" t="s">
        <v>309</v>
      </c>
      <c r="C848" s="5" t="s">
        <v>320</v>
      </c>
      <c r="D848" s="5" t="s">
        <v>11</v>
      </c>
      <c r="E848" s="6">
        <v>45237</v>
      </c>
      <c r="F848" s="4" t="s">
        <v>91</v>
      </c>
      <c r="G848" s="4" t="s">
        <v>303</v>
      </c>
      <c r="H848" s="20" t="s">
        <v>434</v>
      </c>
      <c r="I848" s="5" t="s">
        <v>887</v>
      </c>
      <c r="J848" s="5"/>
      <c r="K848" s="22">
        <f>YEAR(Tabla1[[#This Row],[Fecha]])</f>
        <v>2023</v>
      </c>
      <c r="L848" s="22">
        <f>MONTH(Tabla1[[#This Row],[Fecha]])</f>
        <v>11</v>
      </c>
    </row>
    <row r="849" spans="2:12" hidden="1" x14ac:dyDescent="0.25">
      <c r="B849" s="5" t="s">
        <v>309</v>
      </c>
      <c r="C849" s="5" t="s">
        <v>321</v>
      </c>
      <c r="D849" s="5" t="s">
        <v>11</v>
      </c>
      <c r="E849" s="6">
        <v>45237</v>
      </c>
      <c r="F849" s="4" t="s">
        <v>91</v>
      </c>
      <c r="G849" s="4" t="s">
        <v>303</v>
      </c>
      <c r="H849" s="20" t="s">
        <v>434</v>
      </c>
      <c r="I849" s="5" t="s">
        <v>888</v>
      </c>
      <c r="J849" s="5"/>
      <c r="K849" s="22">
        <f>YEAR(Tabla1[[#This Row],[Fecha]])</f>
        <v>2023</v>
      </c>
      <c r="L849" s="22">
        <f>MONTH(Tabla1[[#This Row],[Fecha]])</f>
        <v>11</v>
      </c>
    </row>
    <row r="850" spans="2:12" hidden="1" x14ac:dyDescent="0.25">
      <c r="B850" s="5" t="s">
        <v>309</v>
      </c>
      <c r="C850" s="5" t="s">
        <v>322</v>
      </c>
      <c r="D850" s="5" t="s">
        <v>11</v>
      </c>
      <c r="E850" s="6">
        <v>45236</v>
      </c>
      <c r="F850" s="4" t="s">
        <v>15</v>
      </c>
      <c r="G850" s="4" t="s">
        <v>24</v>
      </c>
      <c r="H850" s="4" t="s">
        <v>12</v>
      </c>
      <c r="I850" s="36" t="s">
        <v>870</v>
      </c>
      <c r="J850" s="5"/>
      <c r="K850" s="22">
        <f>YEAR(Tabla1[[#This Row],[Fecha]])</f>
        <v>2023</v>
      </c>
      <c r="L850" s="22">
        <f>MONTH(Tabla1[[#This Row],[Fecha]])</f>
        <v>11</v>
      </c>
    </row>
    <row r="851" spans="2:12" hidden="1" x14ac:dyDescent="0.25">
      <c r="B851" s="5" t="s">
        <v>181</v>
      </c>
      <c r="C851" s="5" t="s">
        <v>182</v>
      </c>
      <c r="D851" s="5" t="s">
        <v>11</v>
      </c>
      <c r="E851" s="6">
        <v>45236</v>
      </c>
      <c r="F851" s="4" t="s">
        <v>91</v>
      </c>
      <c r="G851" s="4" t="s">
        <v>16</v>
      </c>
      <c r="H851" s="4" t="s">
        <v>34</v>
      </c>
      <c r="I851" s="5" t="s">
        <v>884</v>
      </c>
      <c r="J851" s="5"/>
      <c r="K851" s="22">
        <f>YEAR(Tabla1[[#This Row],[Fecha]])</f>
        <v>2023</v>
      </c>
      <c r="L851" s="22">
        <f>MONTH(Tabla1[[#This Row],[Fecha]])</f>
        <v>11</v>
      </c>
    </row>
    <row r="852" spans="2:12" hidden="1" x14ac:dyDescent="0.25">
      <c r="B852" s="5" t="s">
        <v>9</v>
      </c>
      <c r="C852" s="5" t="s">
        <v>68</v>
      </c>
      <c r="D852" s="5" t="s">
        <v>11</v>
      </c>
      <c r="E852" s="6">
        <v>45236</v>
      </c>
      <c r="F852" s="4" t="s">
        <v>91</v>
      </c>
      <c r="G852" s="4" t="s">
        <v>303</v>
      </c>
      <c r="H852" s="4" t="s">
        <v>431</v>
      </c>
      <c r="I852" s="5" t="s">
        <v>904</v>
      </c>
      <c r="J852" s="5"/>
      <c r="K852" s="22">
        <f>YEAR(Tabla1[[#This Row],[Fecha]])</f>
        <v>2023</v>
      </c>
      <c r="L852" s="22">
        <f>MONTH(Tabla1[[#This Row],[Fecha]])</f>
        <v>11</v>
      </c>
    </row>
    <row r="853" spans="2:12" hidden="1" x14ac:dyDescent="0.25">
      <c r="B853" s="5" t="s">
        <v>9</v>
      </c>
      <c r="C853" s="5" t="s">
        <v>10</v>
      </c>
      <c r="D853" s="5" t="s">
        <v>11</v>
      </c>
      <c r="E853" s="6">
        <v>45236</v>
      </c>
      <c r="F853" s="4" t="s">
        <v>91</v>
      </c>
      <c r="G853" s="4" t="s">
        <v>303</v>
      </c>
      <c r="H853" s="4" t="s">
        <v>431</v>
      </c>
      <c r="I853" s="5" t="s">
        <v>905</v>
      </c>
      <c r="J853" s="5"/>
      <c r="K853" s="22">
        <f>YEAR(Tabla1[[#This Row],[Fecha]])</f>
        <v>2023</v>
      </c>
      <c r="L853" s="22">
        <f>MONTH(Tabla1[[#This Row],[Fecha]])</f>
        <v>11</v>
      </c>
    </row>
    <row r="854" spans="2:12" hidden="1" x14ac:dyDescent="0.25">
      <c r="B854" s="5" t="s">
        <v>9</v>
      </c>
      <c r="C854" s="5" t="s">
        <v>62</v>
      </c>
      <c r="D854" s="5" t="s">
        <v>11</v>
      </c>
      <c r="E854" s="6">
        <v>45236</v>
      </c>
      <c r="F854" s="4" t="s">
        <v>91</v>
      </c>
      <c r="G854" s="4" t="s">
        <v>303</v>
      </c>
      <c r="H854" s="4" t="s">
        <v>431</v>
      </c>
      <c r="I854" s="5" t="s">
        <v>906</v>
      </c>
      <c r="J854" s="5"/>
      <c r="K854" s="22">
        <f>YEAR(Tabla1[[#This Row],[Fecha]])</f>
        <v>2023</v>
      </c>
      <c r="L854" s="22">
        <f>MONTH(Tabla1[[#This Row],[Fecha]])</f>
        <v>11</v>
      </c>
    </row>
    <row r="855" spans="2:12" hidden="1" x14ac:dyDescent="0.25">
      <c r="B855" s="5" t="s">
        <v>9</v>
      </c>
      <c r="C855" s="5" t="s">
        <v>14</v>
      </c>
      <c r="D855" s="5" t="s">
        <v>11</v>
      </c>
      <c r="E855" s="6">
        <v>45236</v>
      </c>
      <c r="F855" s="4" t="s">
        <v>91</v>
      </c>
      <c r="G855" s="4" t="s">
        <v>303</v>
      </c>
      <c r="H855" s="4" t="s">
        <v>431</v>
      </c>
      <c r="I855" s="5" t="s">
        <v>907</v>
      </c>
      <c r="J855" s="5"/>
      <c r="K855" s="22">
        <f>YEAR(Tabla1[[#This Row],[Fecha]])</f>
        <v>2023</v>
      </c>
      <c r="L855" s="22">
        <f>MONTH(Tabla1[[#This Row],[Fecha]])</f>
        <v>11</v>
      </c>
    </row>
    <row r="856" spans="2:12" hidden="1" x14ac:dyDescent="0.25">
      <c r="B856" s="5" t="s">
        <v>9</v>
      </c>
      <c r="C856" s="5" t="s">
        <v>87</v>
      </c>
      <c r="D856" s="5" t="s">
        <v>11</v>
      </c>
      <c r="E856" s="6">
        <v>45236</v>
      </c>
      <c r="F856" s="4" t="s">
        <v>91</v>
      </c>
      <c r="G856" s="4" t="s">
        <v>303</v>
      </c>
      <c r="H856" s="4" t="s">
        <v>431</v>
      </c>
      <c r="I856" s="5" t="s">
        <v>908</v>
      </c>
      <c r="J856" s="5"/>
      <c r="K856" s="22">
        <f>YEAR(Tabla1[[#This Row],[Fecha]])</f>
        <v>2023</v>
      </c>
      <c r="L856" s="22">
        <f>MONTH(Tabla1[[#This Row],[Fecha]])</f>
        <v>11</v>
      </c>
    </row>
    <row r="857" spans="2:12" hidden="1" x14ac:dyDescent="0.25">
      <c r="B857" s="5" t="s">
        <v>9</v>
      </c>
      <c r="C857" s="5" t="s">
        <v>102</v>
      </c>
      <c r="D857" s="5" t="s">
        <v>11</v>
      </c>
      <c r="E857" s="6">
        <v>45236</v>
      </c>
      <c r="F857" s="4" t="s">
        <v>91</v>
      </c>
      <c r="G857" s="4" t="s">
        <v>303</v>
      </c>
      <c r="H857" s="4" t="s">
        <v>431</v>
      </c>
      <c r="I857" s="5" t="s">
        <v>909</v>
      </c>
      <c r="J857" s="5"/>
      <c r="K857" s="22">
        <f>YEAR(Tabla1[[#This Row],[Fecha]])</f>
        <v>2023</v>
      </c>
      <c r="L857" s="22">
        <f>MONTH(Tabla1[[#This Row],[Fecha]])</f>
        <v>11</v>
      </c>
    </row>
    <row r="858" spans="2:12" hidden="1" x14ac:dyDescent="0.25">
      <c r="B858" s="5" t="s">
        <v>9</v>
      </c>
      <c r="C858" s="5" t="s">
        <v>99</v>
      </c>
      <c r="D858" s="5" t="s">
        <v>11</v>
      </c>
      <c r="E858" s="6">
        <v>45236</v>
      </c>
      <c r="F858" s="4" t="s">
        <v>91</v>
      </c>
      <c r="G858" s="4" t="s">
        <v>303</v>
      </c>
      <c r="H858" s="4" t="s">
        <v>431</v>
      </c>
      <c r="I858" s="5" t="s">
        <v>910</v>
      </c>
      <c r="J858" s="5"/>
      <c r="K858" s="22">
        <f>YEAR(Tabla1[[#This Row],[Fecha]])</f>
        <v>2023</v>
      </c>
      <c r="L858" s="22">
        <f>MONTH(Tabla1[[#This Row],[Fecha]])</f>
        <v>11</v>
      </c>
    </row>
    <row r="859" spans="2:12" hidden="1" x14ac:dyDescent="0.25">
      <c r="B859" s="5" t="s">
        <v>9</v>
      </c>
      <c r="C859" s="5" t="s">
        <v>82</v>
      </c>
      <c r="D859" s="5" t="s">
        <v>11</v>
      </c>
      <c r="E859" s="6">
        <v>45236</v>
      </c>
      <c r="F859" s="4" t="s">
        <v>91</v>
      </c>
      <c r="G859" s="4" t="s">
        <v>303</v>
      </c>
      <c r="H859" s="4" t="s">
        <v>431</v>
      </c>
      <c r="I859" s="5" t="s">
        <v>911</v>
      </c>
      <c r="J859" s="5"/>
      <c r="K859" s="22">
        <f>YEAR(Tabla1[[#This Row],[Fecha]])</f>
        <v>2023</v>
      </c>
      <c r="L859" s="22">
        <f>MONTH(Tabla1[[#This Row],[Fecha]])</f>
        <v>11</v>
      </c>
    </row>
    <row r="860" spans="2:12" hidden="1" x14ac:dyDescent="0.25">
      <c r="B860" s="5" t="s">
        <v>9</v>
      </c>
      <c r="C860" s="5" t="s">
        <v>93</v>
      </c>
      <c r="D860" s="5" t="s">
        <v>11</v>
      </c>
      <c r="E860" s="6">
        <v>45236</v>
      </c>
      <c r="F860" s="4" t="s">
        <v>91</v>
      </c>
      <c r="G860" s="4" t="s">
        <v>303</v>
      </c>
      <c r="H860" s="4" t="s">
        <v>431</v>
      </c>
      <c r="I860" s="5" t="s">
        <v>912</v>
      </c>
      <c r="J860" s="5"/>
      <c r="K860" s="22">
        <f>YEAR(Tabla1[[#This Row],[Fecha]])</f>
        <v>2023</v>
      </c>
      <c r="L860" s="22">
        <f>MONTH(Tabla1[[#This Row],[Fecha]])</f>
        <v>11</v>
      </c>
    </row>
    <row r="861" spans="2:12" hidden="1" x14ac:dyDescent="0.25">
      <c r="B861" s="5" t="s">
        <v>9</v>
      </c>
      <c r="C861" s="5" t="s">
        <v>71</v>
      </c>
      <c r="D861" s="5" t="s">
        <v>11</v>
      </c>
      <c r="E861" s="6">
        <v>45236</v>
      </c>
      <c r="F861" s="4" t="s">
        <v>91</v>
      </c>
      <c r="G861" s="4" t="s">
        <v>303</v>
      </c>
      <c r="H861" s="4" t="s">
        <v>431</v>
      </c>
      <c r="I861" s="5" t="s">
        <v>913</v>
      </c>
      <c r="J861" s="5"/>
      <c r="K861" s="22">
        <f>YEAR(Tabla1[[#This Row],[Fecha]])</f>
        <v>2023</v>
      </c>
      <c r="L861" s="22">
        <f>MONTH(Tabla1[[#This Row],[Fecha]])</f>
        <v>11</v>
      </c>
    </row>
    <row r="862" spans="2:12" hidden="1" x14ac:dyDescent="0.25">
      <c r="B862" s="5" t="s">
        <v>9</v>
      </c>
      <c r="C862" s="5" t="s">
        <v>80</v>
      </c>
      <c r="D862" s="5" t="s">
        <v>11</v>
      </c>
      <c r="E862" s="6">
        <v>45236</v>
      </c>
      <c r="F862" s="4" t="s">
        <v>91</v>
      </c>
      <c r="G862" s="4" t="s">
        <v>303</v>
      </c>
      <c r="H862" s="4" t="s">
        <v>431</v>
      </c>
      <c r="I862" s="5" t="s">
        <v>914</v>
      </c>
      <c r="J862" s="5"/>
      <c r="K862" s="22">
        <f>YEAR(Tabla1[[#This Row],[Fecha]])</f>
        <v>2023</v>
      </c>
      <c r="L862" s="22">
        <f>MONTH(Tabla1[[#This Row],[Fecha]])</f>
        <v>11</v>
      </c>
    </row>
    <row r="863" spans="2:12" hidden="1" x14ac:dyDescent="0.25">
      <c r="B863" s="5" t="s">
        <v>181</v>
      </c>
      <c r="C863" s="5" t="s">
        <v>182</v>
      </c>
      <c r="D863" s="5" t="s">
        <v>11</v>
      </c>
      <c r="E863" s="6">
        <v>45233</v>
      </c>
      <c r="F863" s="4" t="s">
        <v>15</v>
      </c>
      <c r="G863" s="4" t="s">
        <v>16</v>
      </c>
      <c r="H863" s="4" t="s">
        <v>34</v>
      </c>
      <c r="I863" s="5" t="s">
        <v>861</v>
      </c>
      <c r="J863" s="5"/>
      <c r="K863" s="22">
        <f>YEAR(Tabla1[[#This Row],[Fecha]])</f>
        <v>2023</v>
      </c>
      <c r="L863" s="22">
        <f>MONTH(Tabla1[[#This Row],[Fecha]])</f>
        <v>11</v>
      </c>
    </row>
    <row r="864" spans="2:12" hidden="1" x14ac:dyDescent="0.25">
      <c r="B864" s="5" t="s">
        <v>309</v>
      </c>
      <c r="C864" s="5" t="s">
        <v>320</v>
      </c>
      <c r="D864" s="5" t="s">
        <v>11</v>
      </c>
      <c r="E864" s="6">
        <v>45233</v>
      </c>
      <c r="F864" s="4" t="s">
        <v>15</v>
      </c>
      <c r="G864" s="4" t="s">
        <v>16</v>
      </c>
      <c r="H864" s="4" t="s">
        <v>1690</v>
      </c>
      <c r="I864" s="36" t="s">
        <v>869</v>
      </c>
      <c r="J864" s="5"/>
      <c r="K864" s="22">
        <f>YEAR(Tabla1[[#This Row],[Fecha]])</f>
        <v>2023</v>
      </c>
      <c r="L864" s="22">
        <f>MONTH(Tabla1[[#This Row],[Fecha]])</f>
        <v>11</v>
      </c>
    </row>
    <row r="865" spans="2:12" hidden="1" x14ac:dyDescent="0.25">
      <c r="B865" s="5" t="s">
        <v>309</v>
      </c>
      <c r="C865" s="5" t="s">
        <v>310</v>
      </c>
      <c r="D865" s="5" t="s">
        <v>11</v>
      </c>
      <c r="E865" s="6">
        <v>45232</v>
      </c>
      <c r="F865" s="4" t="s">
        <v>15</v>
      </c>
      <c r="G865" s="4" t="s">
        <v>24</v>
      </c>
      <c r="H865" s="4" t="s">
        <v>1784</v>
      </c>
      <c r="I865" s="5" t="s">
        <v>930</v>
      </c>
      <c r="J865" s="5"/>
      <c r="K865" s="22">
        <f>YEAR(Tabla1[[#This Row],[Fecha]])</f>
        <v>2023</v>
      </c>
      <c r="L865" s="22">
        <f>MONTH(Tabla1[[#This Row],[Fecha]])</f>
        <v>11</v>
      </c>
    </row>
    <row r="866" spans="2:12" hidden="1" x14ac:dyDescent="0.25">
      <c r="B866" s="5" t="s">
        <v>49</v>
      </c>
      <c r="C866" s="5" t="s">
        <v>60</v>
      </c>
      <c r="D866" s="5" t="s">
        <v>11</v>
      </c>
      <c r="E866" s="6">
        <v>45232</v>
      </c>
      <c r="F866" s="4" t="s">
        <v>15</v>
      </c>
      <c r="G866" s="4" t="s">
        <v>24</v>
      </c>
      <c r="H866" s="4" t="s">
        <v>12</v>
      </c>
      <c r="I866" s="5" t="s">
        <v>931</v>
      </c>
      <c r="J866" s="5"/>
      <c r="K866" s="22">
        <f>YEAR(Tabla1[[#This Row],[Fecha]])</f>
        <v>2023</v>
      </c>
      <c r="L866" s="22">
        <f>MONTH(Tabla1[[#This Row],[Fecha]])</f>
        <v>11</v>
      </c>
    </row>
    <row r="867" spans="2:12" hidden="1" x14ac:dyDescent="0.25">
      <c r="B867" s="5" t="s">
        <v>32</v>
      </c>
      <c r="C867" s="5" t="s">
        <v>264</v>
      </c>
      <c r="D867" s="5" t="s">
        <v>11</v>
      </c>
      <c r="E867" s="6">
        <v>45232</v>
      </c>
      <c r="F867" s="4" t="s">
        <v>15</v>
      </c>
      <c r="G867" s="4" t="s">
        <v>16</v>
      </c>
      <c r="H867" s="4" t="s">
        <v>74</v>
      </c>
      <c r="I867" s="5" t="s">
        <v>932</v>
      </c>
      <c r="J867" s="5"/>
      <c r="K867" s="22">
        <f>YEAR(Tabla1[[#This Row],[Fecha]])</f>
        <v>2023</v>
      </c>
      <c r="L867" s="22">
        <f>MONTH(Tabla1[[#This Row],[Fecha]])</f>
        <v>11</v>
      </c>
    </row>
    <row r="868" spans="2:12" hidden="1" x14ac:dyDescent="0.25">
      <c r="B868" s="5" t="s">
        <v>248</v>
      </c>
      <c r="C868" s="5" t="s">
        <v>264</v>
      </c>
      <c r="D868" s="5" t="s">
        <v>11</v>
      </c>
      <c r="E868" s="6">
        <v>45232</v>
      </c>
      <c r="F868" s="4" t="s">
        <v>15</v>
      </c>
      <c r="G868" s="4" t="s">
        <v>24</v>
      </c>
      <c r="H868" s="4" t="s">
        <v>12</v>
      </c>
      <c r="I868" s="5" t="s">
        <v>933</v>
      </c>
      <c r="J868" s="5"/>
      <c r="K868" s="22">
        <f>YEAR(Tabla1[[#This Row],[Fecha]])</f>
        <v>2023</v>
      </c>
      <c r="L868" s="22">
        <f>MONTH(Tabla1[[#This Row],[Fecha]])</f>
        <v>11</v>
      </c>
    </row>
    <row r="869" spans="2:12" hidden="1" x14ac:dyDescent="0.25">
      <c r="B869" s="5" t="s">
        <v>309</v>
      </c>
      <c r="C869" s="5" t="s">
        <v>321</v>
      </c>
      <c r="D869" s="5" t="s">
        <v>11</v>
      </c>
      <c r="E869" s="6">
        <v>45230</v>
      </c>
      <c r="F869" s="4" t="s">
        <v>91</v>
      </c>
      <c r="G869" s="4" t="s">
        <v>303</v>
      </c>
      <c r="H869" s="4" t="s">
        <v>431</v>
      </c>
      <c r="I869" s="5" t="s">
        <v>889</v>
      </c>
      <c r="J869" s="5"/>
      <c r="K869" s="22">
        <f>YEAR(Tabla1[[#This Row],[Fecha]])</f>
        <v>2023</v>
      </c>
      <c r="L869" s="22">
        <f>MONTH(Tabla1[[#This Row],[Fecha]])</f>
        <v>10</v>
      </c>
    </row>
    <row r="870" spans="2:12" hidden="1" x14ac:dyDescent="0.25">
      <c r="B870" s="5" t="s">
        <v>309</v>
      </c>
      <c r="C870" s="5" t="s">
        <v>320</v>
      </c>
      <c r="D870" s="5" t="s">
        <v>11</v>
      </c>
      <c r="E870" s="6">
        <v>45230</v>
      </c>
      <c r="F870" s="4" t="s">
        <v>91</v>
      </c>
      <c r="G870" s="4" t="s">
        <v>303</v>
      </c>
      <c r="H870" s="4" t="s">
        <v>431</v>
      </c>
      <c r="I870" s="5" t="s">
        <v>890</v>
      </c>
      <c r="J870" s="5"/>
      <c r="K870" s="22">
        <f>YEAR(Tabla1[[#This Row],[Fecha]])</f>
        <v>2023</v>
      </c>
      <c r="L870" s="22">
        <f>MONTH(Tabla1[[#This Row],[Fecha]])</f>
        <v>10</v>
      </c>
    </row>
    <row r="871" spans="2:12" hidden="1" x14ac:dyDescent="0.25">
      <c r="B871" s="5" t="s">
        <v>309</v>
      </c>
      <c r="C871" s="5" t="s">
        <v>310</v>
      </c>
      <c r="D871" s="5" t="s">
        <v>11</v>
      </c>
      <c r="E871" s="6">
        <v>45230</v>
      </c>
      <c r="F871" s="4" t="s">
        <v>15</v>
      </c>
      <c r="G871" s="4" t="s">
        <v>47</v>
      </c>
      <c r="H871" s="4" t="s">
        <v>121</v>
      </c>
      <c r="I871" s="5" t="s">
        <v>929</v>
      </c>
      <c r="J871" s="5"/>
      <c r="K871" s="22">
        <f>YEAR(Tabla1[[#This Row],[Fecha]])</f>
        <v>2023</v>
      </c>
      <c r="L871" s="22">
        <f>MONTH(Tabla1[[#This Row],[Fecha]])</f>
        <v>10</v>
      </c>
    </row>
    <row r="872" spans="2:12" hidden="1" x14ac:dyDescent="0.25">
      <c r="B872" s="5" t="s">
        <v>181</v>
      </c>
      <c r="C872" s="5" t="s">
        <v>182</v>
      </c>
      <c r="D872" s="5" t="s">
        <v>11</v>
      </c>
      <c r="E872" s="6">
        <v>45225</v>
      </c>
      <c r="F872" s="4" t="s">
        <v>365</v>
      </c>
      <c r="G872" s="4"/>
      <c r="H872" s="4"/>
      <c r="I872" s="5" t="s">
        <v>885</v>
      </c>
      <c r="J872" s="5"/>
      <c r="K872" s="22">
        <f>YEAR(Tabla1[[#This Row],[Fecha]])</f>
        <v>2023</v>
      </c>
      <c r="L872" s="22">
        <f>MONTH(Tabla1[[#This Row],[Fecha]])</f>
        <v>10</v>
      </c>
    </row>
    <row r="873" spans="2:12" hidden="1" x14ac:dyDescent="0.25">
      <c r="B873" s="5" t="s">
        <v>49</v>
      </c>
      <c r="C873" s="5" t="s">
        <v>50</v>
      </c>
      <c r="D873" s="5" t="s">
        <v>11</v>
      </c>
      <c r="E873" s="6">
        <v>45225</v>
      </c>
      <c r="F873" s="4" t="s">
        <v>91</v>
      </c>
      <c r="G873" s="4" t="s">
        <v>303</v>
      </c>
      <c r="H873" s="20" t="s">
        <v>434</v>
      </c>
      <c r="I873" s="5" t="s">
        <v>934</v>
      </c>
      <c r="J873" s="5"/>
      <c r="K873" s="22">
        <f>YEAR(Tabla1[[#This Row],[Fecha]])</f>
        <v>2023</v>
      </c>
      <c r="L873" s="22">
        <f>MONTH(Tabla1[[#This Row],[Fecha]])</f>
        <v>10</v>
      </c>
    </row>
    <row r="874" spans="2:12" hidden="1" x14ac:dyDescent="0.25">
      <c r="B874" s="5" t="s">
        <v>49</v>
      </c>
      <c r="C874" s="5" t="s">
        <v>115</v>
      </c>
      <c r="D874" s="5" t="s">
        <v>11</v>
      </c>
      <c r="E874" s="6">
        <v>45225</v>
      </c>
      <c r="F874" s="4" t="s">
        <v>91</v>
      </c>
      <c r="G874" s="4" t="s">
        <v>303</v>
      </c>
      <c r="H874" s="20" t="s">
        <v>434</v>
      </c>
      <c r="I874" s="5" t="s">
        <v>935</v>
      </c>
      <c r="J874" s="5"/>
      <c r="K874" s="22">
        <f>YEAR(Tabla1[[#This Row],[Fecha]])</f>
        <v>2023</v>
      </c>
      <c r="L874" s="22">
        <f>MONTH(Tabla1[[#This Row],[Fecha]])</f>
        <v>10</v>
      </c>
    </row>
    <row r="875" spans="2:12" hidden="1" x14ac:dyDescent="0.25">
      <c r="B875" s="5" t="s">
        <v>49</v>
      </c>
      <c r="C875" s="5" t="s">
        <v>117</v>
      </c>
      <c r="D875" s="5" t="s">
        <v>11</v>
      </c>
      <c r="E875" s="6">
        <v>45225</v>
      </c>
      <c r="F875" s="4" t="s">
        <v>91</v>
      </c>
      <c r="G875" s="4" t="s">
        <v>303</v>
      </c>
      <c r="H875" s="20" t="s">
        <v>434</v>
      </c>
      <c r="I875" s="5" t="s">
        <v>936</v>
      </c>
      <c r="J875" s="5"/>
      <c r="K875" s="22">
        <f>YEAR(Tabla1[[#This Row],[Fecha]])</f>
        <v>2023</v>
      </c>
      <c r="L875" s="22">
        <f>MONTH(Tabla1[[#This Row],[Fecha]])</f>
        <v>10</v>
      </c>
    </row>
    <row r="876" spans="2:12" hidden="1" x14ac:dyDescent="0.25">
      <c r="B876" s="5" t="s">
        <v>49</v>
      </c>
      <c r="C876" s="5" t="s">
        <v>123</v>
      </c>
      <c r="D876" s="5" t="s">
        <v>11</v>
      </c>
      <c r="E876" s="6">
        <v>45225</v>
      </c>
      <c r="F876" s="4" t="s">
        <v>91</v>
      </c>
      <c r="G876" s="4" t="s">
        <v>303</v>
      </c>
      <c r="H876" s="20" t="s">
        <v>434</v>
      </c>
      <c r="I876" s="5" t="s">
        <v>937</v>
      </c>
      <c r="J876" s="5"/>
      <c r="K876" s="22">
        <f>YEAR(Tabla1[[#This Row],[Fecha]])</f>
        <v>2023</v>
      </c>
      <c r="L876" s="22">
        <f>MONTH(Tabla1[[#This Row],[Fecha]])</f>
        <v>10</v>
      </c>
    </row>
    <row r="877" spans="2:12" hidden="1" x14ac:dyDescent="0.25">
      <c r="B877" s="5" t="s">
        <v>49</v>
      </c>
      <c r="C877" s="5" t="s">
        <v>123</v>
      </c>
      <c r="D877" s="5" t="s">
        <v>11</v>
      </c>
      <c r="E877" s="6">
        <v>45225</v>
      </c>
      <c r="F877" s="4" t="s">
        <v>91</v>
      </c>
      <c r="G877" s="4" t="s">
        <v>303</v>
      </c>
      <c r="H877" s="20" t="s">
        <v>434</v>
      </c>
      <c r="I877" s="5" t="s">
        <v>937</v>
      </c>
      <c r="J877" s="5"/>
      <c r="K877" s="22">
        <f>YEAR(Tabla1[[#This Row],[Fecha]])</f>
        <v>2023</v>
      </c>
      <c r="L877" s="22">
        <f>MONTH(Tabla1[[#This Row],[Fecha]])</f>
        <v>10</v>
      </c>
    </row>
    <row r="878" spans="2:12" hidden="1" x14ac:dyDescent="0.25">
      <c r="B878" s="5" t="s">
        <v>49</v>
      </c>
      <c r="C878" s="5" t="s">
        <v>57</v>
      </c>
      <c r="D878" s="5" t="s">
        <v>11</v>
      </c>
      <c r="E878" s="6">
        <v>45225</v>
      </c>
      <c r="F878" s="4" t="s">
        <v>91</v>
      </c>
      <c r="G878" s="4" t="s">
        <v>303</v>
      </c>
      <c r="H878" s="20" t="s">
        <v>434</v>
      </c>
      <c r="I878" s="5" t="s">
        <v>938</v>
      </c>
      <c r="J878" s="5"/>
      <c r="K878" s="22">
        <f>YEAR(Tabla1[[#This Row],[Fecha]])</f>
        <v>2023</v>
      </c>
      <c r="L878" s="22">
        <f>MONTH(Tabla1[[#This Row],[Fecha]])</f>
        <v>10</v>
      </c>
    </row>
    <row r="879" spans="2:12" hidden="1" x14ac:dyDescent="0.25">
      <c r="B879" s="5" t="s">
        <v>49</v>
      </c>
      <c r="C879" s="5" t="s">
        <v>176</v>
      </c>
      <c r="D879" s="5" t="s">
        <v>11</v>
      </c>
      <c r="E879" s="6">
        <v>45225</v>
      </c>
      <c r="F879" s="4" t="s">
        <v>91</v>
      </c>
      <c r="G879" s="4" t="s">
        <v>303</v>
      </c>
      <c r="H879" s="20" t="s">
        <v>434</v>
      </c>
      <c r="I879" s="5" t="s">
        <v>939</v>
      </c>
      <c r="J879" s="5"/>
      <c r="K879" s="22">
        <f>YEAR(Tabla1[[#This Row],[Fecha]])</f>
        <v>2023</v>
      </c>
      <c r="L879" s="22">
        <f>MONTH(Tabla1[[#This Row],[Fecha]])</f>
        <v>10</v>
      </c>
    </row>
    <row r="880" spans="2:12" hidden="1" x14ac:dyDescent="0.25">
      <c r="B880" s="5" t="s">
        <v>49</v>
      </c>
      <c r="C880" s="5" t="s">
        <v>66</v>
      </c>
      <c r="D880" s="5" t="s">
        <v>11</v>
      </c>
      <c r="E880" s="6">
        <v>45225</v>
      </c>
      <c r="F880" s="4" t="s">
        <v>91</v>
      </c>
      <c r="G880" s="4" t="s">
        <v>303</v>
      </c>
      <c r="H880" s="20" t="s">
        <v>434</v>
      </c>
      <c r="I880" s="5" t="s">
        <v>940</v>
      </c>
      <c r="J880" s="5"/>
      <c r="K880" s="22">
        <f>YEAR(Tabla1[[#This Row],[Fecha]])</f>
        <v>2023</v>
      </c>
      <c r="L880" s="22">
        <f>MONTH(Tabla1[[#This Row],[Fecha]])</f>
        <v>10</v>
      </c>
    </row>
    <row r="881" spans="2:12" hidden="1" x14ac:dyDescent="0.25">
      <c r="B881" s="5" t="s">
        <v>49</v>
      </c>
      <c r="C881" s="5" t="s">
        <v>60</v>
      </c>
      <c r="D881" s="5" t="s">
        <v>11</v>
      </c>
      <c r="E881" s="6">
        <v>45225</v>
      </c>
      <c r="F881" s="4" t="s">
        <v>91</v>
      </c>
      <c r="G881" s="4" t="s">
        <v>303</v>
      </c>
      <c r="H881" s="20" t="s">
        <v>434</v>
      </c>
      <c r="I881" s="5" t="s">
        <v>941</v>
      </c>
      <c r="J881" s="5"/>
      <c r="K881" s="22">
        <f>YEAR(Tabla1[[#This Row],[Fecha]])</f>
        <v>2023</v>
      </c>
      <c r="L881" s="22">
        <f>MONTH(Tabla1[[#This Row],[Fecha]])</f>
        <v>10</v>
      </c>
    </row>
    <row r="882" spans="2:12" hidden="1" x14ac:dyDescent="0.25">
      <c r="B882" s="5" t="s">
        <v>49</v>
      </c>
      <c r="C882" s="5" t="s">
        <v>60</v>
      </c>
      <c r="D882" s="5" t="s">
        <v>11</v>
      </c>
      <c r="E882" s="6">
        <v>45225</v>
      </c>
      <c r="F882" s="4" t="s">
        <v>91</v>
      </c>
      <c r="G882" s="4" t="s">
        <v>303</v>
      </c>
      <c r="H882" s="20" t="s">
        <v>434</v>
      </c>
      <c r="I882" s="5" t="s">
        <v>942</v>
      </c>
      <c r="J882" s="5"/>
      <c r="K882" s="22">
        <f>YEAR(Tabla1[[#This Row],[Fecha]])</f>
        <v>2023</v>
      </c>
      <c r="L882" s="22">
        <f>MONTH(Tabla1[[#This Row],[Fecha]])</f>
        <v>10</v>
      </c>
    </row>
    <row r="883" spans="2:12" hidden="1" x14ac:dyDescent="0.25">
      <c r="B883" s="5" t="s">
        <v>49</v>
      </c>
      <c r="C883" s="5" t="s">
        <v>53</v>
      </c>
      <c r="D883" s="5" t="s">
        <v>11</v>
      </c>
      <c r="E883" s="6">
        <v>45225</v>
      </c>
      <c r="F883" s="4" t="s">
        <v>91</v>
      </c>
      <c r="G883" s="4" t="s">
        <v>303</v>
      </c>
      <c r="H883" s="20" t="s">
        <v>434</v>
      </c>
      <c r="I883" s="5" t="s">
        <v>950</v>
      </c>
      <c r="J883" s="5"/>
      <c r="K883" s="22">
        <f>YEAR(Tabla1[[#This Row],[Fecha]])</f>
        <v>2023</v>
      </c>
      <c r="L883" s="22">
        <f>MONTH(Tabla1[[#This Row],[Fecha]])</f>
        <v>10</v>
      </c>
    </row>
    <row r="884" spans="2:12" hidden="1" x14ac:dyDescent="0.25">
      <c r="B884" s="5" t="s">
        <v>49</v>
      </c>
      <c r="C884" s="5" t="s">
        <v>66</v>
      </c>
      <c r="D884" s="5" t="s">
        <v>11</v>
      </c>
      <c r="E884" s="6">
        <v>45223</v>
      </c>
      <c r="F884" s="4" t="s">
        <v>91</v>
      </c>
      <c r="G884" s="4" t="s">
        <v>303</v>
      </c>
      <c r="H884" s="4" t="s">
        <v>431</v>
      </c>
      <c r="I884" s="5" t="s">
        <v>892</v>
      </c>
      <c r="J884" s="5"/>
      <c r="K884" s="22">
        <f>YEAR(Tabla1[[#This Row],[Fecha]])</f>
        <v>2023</v>
      </c>
      <c r="L884" s="22">
        <f>MONTH(Tabla1[[#This Row],[Fecha]])</f>
        <v>10</v>
      </c>
    </row>
    <row r="885" spans="2:12" hidden="1" x14ac:dyDescent="0.25">
      <c r="B885" s="5" t="s">
        <v>49</v>
      </c>
      <c r="C885" s="5" t="s">
        <v>176</v>
      </c>
      <c r="D885" s="5" t="s">
        <v>11</v>
      </c>
      <c r="E885" s="6">
        <v>45223</v>
      </c>
      <c r="F885" s="4" t="s">
        <v>91</v>
      </c>
      <c r="G885" s="4" t="s">
        <v>303</v>
      </c>
      <c r="H885" s="4" t="s">
        <v>431</v>
      </c>
      <c r="I885" s="5" t="s">
        <v>926</v>
      </c>
      <c r="J885" s="5"/>
      <c r="K885" s="22">
        <f>YEAR(Tabla1[[#This Row],[Fecha]])</f>
        <v>2023</v>
      </c>
      <c r="L885" s="22">
        <f>MONTH(Tabla1[[#This Row],[Fecha]])</f>
        <v>10</v>
      </c>
    </row>
    <row r="886" spans="2:12" hidden="1" x14ac:dyDescent="0.25">
      <c r="B886" s="5" t="s">
        <v>49</v>
      </c>
      <c r="C886" s="5" t="s">
        <v>111</v>
      </c>
      <c r="D886" s="5" t="s">
        <v>11</v>
      </c>
      <c r="E886" s="6">
        <v>45223</v>
      </c>
      <c r="F886" s="4" t="s">
        <v>91</v>
      </c>
      <c r="G886" s="4" t="s">
        <v>303</v>
      </c>
      <c r="H886" s="4" t="s">
        <v>431</v>
      </c>
      <c r="I886" s="5" t="s">
        <v>927</v>
      </c>
      <c r="J886" s="5"/>
      <c r="K886" s="22">
        <f>YEAR(Tabla1[[#This Row],[Fecha]])</f>
        <v>2023</v>
      </c>
      <c r="L886" s="22">
        <f>MONTH(Tabla1[[#This Row],[Fecha]])</f>
        <v>10</v>
      </c>
    </row>
    <row r="887" spans="2:12" hidden="1" x14ac:dyDescent="0.25">
      <c r="B887" s="5" t="s">
        <v>49</v>
      </c>
      <c r="C887" s="5" t="s">
        <v>50</v>
      </c>
      <c r="D887" s="5" t="s">
        <v>11</v>
      </c>
      <c r="E887" s="6">
        <v>45223</v>
      </c>
      <c r="F887" s="4" t="s">
        <v>91</v>
      </c>
      <c r="G887" s="4" t="s">
        <v>303</v>
      </c>
      <c r="H887" s="4" t="s">
        <v>431</v>
      </c>
      <c r="I887" s="5" t="s">
        <v>943</v>
      </c>
      <c r="J887" s="5"/>
      <c r="K887" s="22">
        <f>YEAR(Tabla1[[#This Row],[Fecha]])</f>
        <v>2023</v>
      </c>
      <c r="L887" s="22">
        <f>MONTH(Tabla1[[#This Row],[Fecha]])</f>
        <v>10</v>
      </c>
    </row>
    <row r="888" spans="2:12" hidden="1" x14ac:dyDescent="0.25">
      <c r="B888" s="5" t="s">
        <v>49</v>
      </c>
      <c r="C888" s="5" t="s">
        <v>115</v>
      </c>
      <c r="D888" s="5" t="s">
        <v>11</v>
      </c>
      <c r="E888" s="6">
        <v>45223</v>
      </c>
      <c r="F888" s="4" t="s">
        <v>91</v>
      </c>
      <c r="G888" s="4" t="s">
        <v>303</v>
      </c>
      <c r="H888" s="4" t="s">
        <v>431</v>
      </c>
      <c r="I888" s="5" t="s">
        <v>944</v>
      </c>
      <c r="J888" s="5"/>
      <c r="K888" s="22">
        <f>YEAR(Tabla1[[#This Row],[Fecha]])</f>
        <v>2023</v>
      </c>
      <c r="L888" s="22">
        <f>MONTH(Tabla1[[#This Row],[Fecha]])</f>
        <v>10</v>
      </c>
    </row>
    <row r="889" spans="2:12" hidden="1" x14ac:dyDescent="0.25">
      <c r="B889" s="5" t="s">
        <v>49</v>
      </c>
      <c r="C889" s="5" t="s">
        <v>117</v>
      </c>
      <c r="D889" s="5" t="s">
        <v>11</v>
      </c>
      <c r="E889" s="6">
        <v>45223</v>
      </c>
      <c r="F889" s="4" t="s">
        <v>91</v>
      </c>
      <c r="G889" s="4" t="s">
        <v>303</v>
      </c>
      <c r="H889" s="4" t="s">
        <v>431</v>
      </c>
      <c r="I889" s="5" t="s">
        <v>945</v>
      </c>
      <c r="J889" s="5"/>
      <c r="K889" s="22">
        <f>YEAR(Tabla1[[#This Row],[Fecha]])</f>
        <v>2023</v>
      </c>
      <c r="L889" s="22">
        <f>MONTH(Tabla1[[#This Row],[Fecha]])</f>
        <v>10</v>
      </c>
    </row>
    <row r="890" spans="2:12" hidden="1" x14ac:dyDescent="0.25">
      <c r="B890" s="5" t="s">
        <v>49</v>
      </c>
      <c r="C890" s="5" t="s">
        <v>123</v>
      </c>
      <c r="D890" s="5" t="s">
        <v>11</v>
      </c>
      <c r="E890" s="6">
        <v>45223</v>
      </c>
      <c r="F890" s="4" t="s">
        <v>91</v>
      </c>
      <c r="G890" s="4" t="s">
        <v>303</v>
      </c>
      <c r="H890" s="4" t="s">
        <v>431</v>
      </c>
      <c r="I890" s="5" t="s">
        <v>946</v>
      </c>
      <c r="J890" s="5"/>
      <c r="K890" s="22">
        <f>YEAR(Tabla1[[#This Row],[Fecha]])</f>
        <v>2023</v>
      </c>
      <c r="L890" s="22">
        <f>MONTH(Tabla1[[#This Row],[Fecha]])</f>
        <v>10</v>
      </c>
    </row>
    <row r="891" spans="2:12" hidden="1" x14ac:dyDescent="0.25">
      <c r="B891" s="5" t="s">
        <v>49</v>
      </c>
      <c r="C891" s="5" t="s">
        <v>57</v>
      </c>
      <c r="D891" s="5" t="s">
        <v>11</v>
      </c>
      <c r="E891" s="6">
        <v>45223</v>
      </c>
      <c r="F891" s="4" t="s">
        <v>91</v>
      </c>
      <c r="G891" s="4" t="s">
        <v>303</v>
      </c>
      <c r="H891" s="4" t="s">
        <v>431</v>
      </c>
      <c r="I891" s="5" t="s">
        <v>947</v>
      </c>
      <c r="J891" s="5"/>
      <c r="K891" s="22">
        <f>YEAR(Tabla1[[#This Row],[Fecha]])</f>
        <v>2023</v>
      </c>
      <c r="L891" s="22">
        <f>MONTH(Tabla1[[#This Row],[Fecha]])</f>
        <v>10</v>
      </c>
    </row>
    <row r="892" spans="2:12" hidden="1" x14ac:dyDescent="0.25">
      <c r="B892" s="5" t="s">
        <v>49</v>
      </c>
      <c r="C892" s="5" t="s">
        <v>60</v>
      </c>
      <c r="D892" s="5" t="s">
        <v>11</v>
      </c>
      <c r="E892" s="6">
        <v>45223</v>
      </c>
      <c r="F892" s="4" t="s">
        <v>91</v>
      </c>
      <c r="G892" s="4" t="s">
        <v>303</v>
      </c>
      <c r="H892" s="4" t="s">
        <v>431</v>
      </c>
      <c r="I892" s="5" t="s">
        <v>948</v>
      </c>
      <c r="J892" s="5"/>
      <c r="K892" s="22">
        <f>YEAR(Tabla1[[#This Row],[Fecha]])</f>
        <v>2023</v>
      </c>
      <c r="L892" s="22">
        <f>MONTH(Tabla1[[#This Row],[Fecha]])</f>
        <v>10</v>
      </c>
    </row>
    <row r="893" spans="2:12" hidden="1" x14ac:dyDescent="0.25">
      <c r="B893" s="5" t="s">
        <v>49</v>
      </c>
      <c r="C893" s="5" t="s">
        <v>53</v>
      </c>
      <c r="D893" s="5" t="s">
        <v>11</v>
      </c>
      <c r="E893" s="6">
        <v>45223</v>
      </c>
      <c r="F893" s="4" t="s">
        <v>91</v>
      </c>
      <c r="G893" s="4" t="s">
        <v>303</v>
      </c>
      <c r="H893" s="4" t="s">
        <v>431</v>
      </c>
      <c r="I893" s="5" t="s">
        <v>949</v>
      </c>
      <c r="J893" s="5"/>
      <c r="K893" s="22">
        <f>YEAR(Tabla1[[#This Row],[Fecha]])</f>
        <v>2023</v>
      </c>
      <c r="L893" s="22">
        <f>MONTH(Tabla1[[#This Row],[Fecha]])</f>
        <v>10</v>
      </c>
    </row>
    <row r="894" spans="2:12" hidden="1" x14ac:dyDescent="0.25">
      <c r="B894" s="5" t="s">
        <v>309</v>
      </c>
      <c r="C894" s="5" t="s">
        <v>371</v>
      </c>
      <c r="D894" s="5" t="s">
        <v>11</v>
      </c>
      <c r="E894" s="6">
        <v>45219</v>
      </c>
      <c r="F894" s="4" t="s">
        <v>91</v>
      </c>
      <c r="G894" s="4" t="s">
        <v>303</v>
      </c>
      <c r="H894" s="4" t="s">
        <v>434</v>
      </c>
      <c r="I894" s="5" t="s">
        <v>891</v>
      </c>
      <c r="J894" s="5"/>
      <c r="K894" s="22">
        <f>YEAR(Tabla1[[#This Row],[Fecha]])</f>
        <v>2023</v>
      </c>
      <c r="L894" s="22">
        <f>MONTH(Tabla1[[#This Row],[Fecha]])</f>
        <v>10</v>
      </c>
    </row>
    <row r="895" spans="2:12" hidden="1" x14ac:dyDescent="0.25">
      <c r="B895" s="5" t="s">
        <v>49</v>
      </c>
      <c r="C895" s="5" t="s">
        <v>60</v>
      </c>
      <c r="D895" s="5" t="s">
        <v>11</v>
      </c>
      <c r="E895" s="6">
        <v>45218</v>
      </c>
      <c r="F895" s="4" t="s">
        <v>91</v>
      </c>
      <c r="G895" s="4" t="s">
        <v>303</v>
      </c>
      <c r="H895" s="20" t="s">
        <v>434</v>
      </c>
      <c r="I895" s="5" t="s">
        <v>951</v>
      </c>
      <c r="J895" s="5"/>
      <c r="K895" s="22">
        <f>YEAR(Tabla1[[#This Row],[Fecha]])</f>
        <v>2023</v>
      </c>
      <c r="L895" s="22">
        <f>MONTH(Tabla1[[#This Row],[Fecha]])</f>
        <v>10</v>
      </c>
    </row>
    <row r="896" spans="2:12" hidden="1" x14ac:dyDescent="0.25">
      <c r="B896" s="5" t="s">
        <v>49</v>
      </c>
      <c r="C896" s="5" t="s">
        <v>117</v>
      </c>
      <c r="D896" s="5" t="s">
        <v>11</v>
      </c>
      <c r="E896" s="6">
        <v>45218</v>
      </c>
      <c r="F896" s="4" t="s">
        <v>91</v>
      </c>
      <c r="G896" s="4" t="s">
        <v>303</v>
      </c>
      <c r="H896" s="20" t="s">
        <v>434</v>
      </c>
      <c r="I896" s="5" t="s">
        <v>952</v>
      </c>
      <c r="J896" s="5"/>
      <c r="K896" s="22">
        <f>YEAR(Tabla1[[#This Row],[Fecha]])</f>
        <v>2023</v>
      </c>
      <c r="L896" s="22">
        <f>MONTH(Tabla1[[#This Row],[Fecha]])</f>
        <v>10</v>
      </c>
    </row>
    <row r="897" spans="2:12" hidden="1" x14ac:dyDescent="0.25">
      <c r="B897" s="5" t="s">
        <v>49</v>
      </c>
      <c r="C897" s="5" t="s">
        <v>123</v>
      </c>
      <c r="D897" s="5" t="s">
        <v>11</v>
      </c>
      <c r="E897" s="6">
        <v>45218</v>
      </c>
      <c r="F897" s="4" t="s">
        <v>91</v>
      </c>
      <c r="G897" s="4" t="s">
        <v>303</v>
      </c>
      <c r="H897" s="20" t="s">
        <v>434</v>
      </c>
      <c r="I897" s="5" t="s">
        <v>953</v>
      </c>
      <c r="J897" s="5"/>
      <c r="K897" s="22">
        <f>YEAR(Tabla1[[#This Row],[Fecha]])</f>
        <v>2023</v>
      </c>
      <c r="L897" s="22">
        <f>MONTH(Tabla1[[#This Row],[Fecha]])</f>
        <v>10</v>
      </c>
    </row>
    <row r="898" spans="2:12" hidden="1" x14ac:dyDescent="0.25">
      <c r="B898" s="5" t="s">
        <v>49</v>
      </c>
      <c r="C898" s="5" t="s">
        <v>57</v>
      </c>
      <c r="D898" s="5" t="s">
        <v>11</v>
      </c>
      <c r="E898" s="6">
        <v>45218</v>
      </c>
      <c r="F898" s="4" t="s">
        <v>91</v>
      </c>
      <c r="G898" s="4" t="s">
        <v>303</v>
      </c>
      <c r="H898" s="20" t="s">
        <v>434</v>
      </c>
      <c r="I898" s="5" t="s">
        <v>954</v>
      </c>
      <c r="J898" s="5"/>
      <c r="K898" s="22">
        <f>YEAR(Tabla1[[#This Row],[Fecha]])</f>
        <v>2023</v>
      </c>
      <c r="L898" s="22">
        <f>MONTH(Tabla1[[#This Row],[Fecha]])</f>
        <v>10</v>
      </c>
    </row>
    <row r="899" spans="2:12" hidden="1" x14ac:dyDescent="0.25">
      <c r="B899" s="5" t="s">
        <v>49</v>
      </c>
      <c r="C899" s="5" t="s">
        <v>176</v>
      </c>
      <c r="D899" s="5" t="s">
        <v>11</v>
      </c>
      <c r="E899" s="6">
        <v>45218</v>
      </c>
      <c r="F899" s="4" t="s">
        <v>91</v>
      </c>
      <c r="G899" s="4" t="s">
        <v>303</v>
      </c>
      <c r="H899" s="20" t="s">
        <v>434</v>
      </c>
      <c r="I899" s="5" t="s">
        <v>955</v>
      </c>
      <c r="J899" s="5"/>
      <c r="K899" s="22">
        <f>YEAR(Tabla1[[#This Row],[Fecha]])</f>
        <v>2023</v>
      </c>
      <c r="L899" s="22">
        <f>MONTH(Tabla1[[#This Row],[Fecha]])</f>
        <v>10</v>
      </c>
    </row>
    <row r="900" spans="2:12" hidden="1" x14ac:dyDescent="0.25">
      <c r="B900" s="5" t="s">
        <v>49</v>
      </c>
      <c r="C900" s="5" t="s">
        <v>66</v>
      </c>
      <c r="D900" s="5" t="s">
        <v>11</v>
      </c>
      <c r="E900" s="6">
        <v>45218</v>
      </c>
      <c r="F900" s="4" t="s">
        <v>91</v>
      </c>
      <c r="G900" s="4" t="s">
        <v>303</v>
      </c>
      <c r="H900" s="20" t="s">
        <v>434</v>
      </c>
      <c r="I900" s="5" t="s">
        <v>956</v>
      </c>
      <c r="J900" s="5"/>
      <c r="K900" s="22">
        <f>YEAR(Tabla1[[#This Row],[Fecha]])</f>
        <v>2023</v>
      </c>
      <c r="L900" s="22">
        <f>MONTH(Tabla1[[#This Row],[Fecha]])</f>
        <v>10</v>
      </c>
    </row>
    <row r="901" spans="2:12" hidden="1" x14ac:dyDescent="0.25">
      <c r="B901" s="5" t="s">
        <v>49</v>
      </c>
      <c r="C901" s="5" t="s">
        <v>111</v>
      </c>
      <c r="D901" s="5" t="s">
        <v>11</v>
      </c>
      <c r="E901" s="6">
        <v>45218</v>
      </c>
      <c r="F901" s="4" t="s">
        <v>91</v>
      </c>
      <c r="G901" s="4" t="s">
        <v>303</v>
      </c>
      <c r="H901" s="20" t="s">
        <v>434</v>
      </c>
      <c r="I901" s="5" t="s">
        <v>957</v>
      </c>
      <c r="J901" s="5"/>
      <c r="K901" s="22">
        <f>YEAR(Tabla1[[#This Row],[Fecha]])</f>
        <v>2023</v>
      </c>
      <c r="L901" s="22">
        <f>MONTH(Tabla1[[#This Row],[Fecha]])</f>
        <v>10</v>
      </c>
    </row>
    <row r="902" spans="2:12" hidden="1" x14ac:dyDescent="0.25">
      <c r="B902" s="5" t="s">
        <v>49</v>
      </c>
      <c r="C902" s="5" t="s">
        <v>50</v>
      </c>
      <c r="D902" s="5" t="s">
        <v>11</v>
      </c>
      <c r="E902" s="6">
        <v>45218</v>
      </c>
      <c r="F902" s="4" t="s">
        <v>91</v>
      </c>
      <c r="G902" s="4" t="s">
        <v>303</v>
      </c>
      <c r="H902" s="20" t="s">
        <v>434</v>
      </c>
      <c r="I902" s="5" t="s">
        <v>958</v>
      </c>
      <c r="J902" s="5"/>
      <c r="K902" s="22">
        <f>YEAR(Tabla1[[#This Row],[Fecha]])</f>
        <v>2023</v>
      </c>
      <c r="L902" s="22">
        <f>MONTH(Tabla1[[#This Row],[Fecha]])</f>
        <v>10</v>
      </c>
    </row>
    <row r="903" spans="2:12" hidden="1" x14ac:dyDescent="0.25">
      <c r="B903" s="5" t="s">
        <v>49</v>
      </c>
      <c r="C903" s="5" t="s">
        <v>53</v>
      </c>
      <c r="D903" s="5" t="s">
        <v>11</v>
      </c>
      <c r="E903" s="6">
        <v>45218</v>
      </c>
      <c r="F903" s="4" t="s">
        <v>91</v>
      </c>
      <c r="G903" s="4" t="s">
        <v>303</v>
      </c>
      <c r="H903" s="20" t="s">
        <v>434</v>
      </c>
      <c r="I903" s="5" t="s">
        <v>959</v>
      </c>
      <c r="J903" s="5"/>
      <c r="K903" s="22">
        <f>YEAR(Tabla1[[#This Row],[Fecha]])</f>
        <v>2023</v>
      </c>
      <c r="L903" s="22">
        <f>MONTH(Tabla1[[#This Row],[Fecha]])</f>
        <v>10</v>
      </c>
    </row>
    <row r="904" spans="2:12" hidden="1" x14ac:dyDescent="0.25">
      <c r="B904" s="5" t="s">
        <v>49</v>
      </c>
      <c r="C904" s="5" t="s">
        <v>115</v>
      </c>
      <c r="D904" s="5" t="s">
        <v>11</v>
      </c>
      <c r="E904" s="6">
        <v>45218</v>
      </c>
      <c r="F904" s="4" t="s">
        <v>91</v>
      </c>
      <c r="G904" s="4" t="s">
        <v>303</v>
      </c>
      <c r="H904" s="20" t="s">
        <v>434</v>
      </c>
      <c r="I904" s="5" t="s">
        <v>960</v>
      </c>
      <c r="J904" s="5"/>
      <c r="K904" s="22">
        <f>YEAR(Tabla1[[#This Row],[Fecha]])</f>
        <v>2023</v>
      </c>
      <c r="L904" s="22">
        <f>MONTH(Tabla1[[#This Row],[Fecha]])</f>
        <v>10</v>
      </c>
    </row>
    <row r="905" spans="2:12" hidden="1" x14ac:dyDescent="0.25">
      <c r="B905" s="5" t="s">
        <v>309</v>
      </c>
      <c r="C905" s="5" t="s">
        <v>371</v>
      </c>
      <c r="D905" s="5" t="s">
        <v>11</v>
      </c>
      <c r="E905" s="6">
        <v>45217</v>
      </c>
      <c r="F905" s="4" t="s">
        <v>91</v>
      </c>
      <c r="G905" s="4" t="s">
        <v>303</v>
      </c>
      <c r="H905" s="4" t="s">
        <v>431</v>
      </c>
      <c r="I905" s="5" t="s">
        <v>963</v>
      </c>
      <c r="J905" s="5"/>
      <c r="K905" s="22">
        <f>YEAR(Tabla1[[#This Row],[Fecha]])</f>
        <v>2023</v>
      </c>
      <c r="L905" s="22">
        <f>MONTH(Tabla1[[#This Row],[Fecha]])</f>
        <v>10</v>
      </c>
    </row>
    <row r="906" spans="2:12" hidden="1" x14ac:dyDescent="0.25">
      <c r="B906" s="5" t="s">
        <v>49</v>
      </c>
      <c r="C906" s="5" t="s">
        <v>50</v>
      </c>
      <c r="D906" s="5" t="s">
        <v>11</v>
      </c>
      <c r="E906" s="6">
        <v>45216</v>
      </c>
      <c r="F906" s="4" t="s">
        <v>91</v>
      </c>
      <c r="G906" s="4" t="s">
        <v>303</v>
      </c>
      <c r="H906" s="4" t="s">
        <v>431</v>
      </c>
      <c r="I906" s="5" t="s">
        <v>966</v>
      </c>
      <c r="J906" s="5"/>
      <c r="K906" s="22">
        <f>YEAR(Tabla1[[#This Row],[Fecha]])</f>
        <v>2023</v>
      </c>
      <c r="L906" s="22">
        <f>MONTH(Tabla1[[#This Row],[Fecha]])</f>
        <v>10</v>
      </c>
    </row>
    <row r="907" spans="2:12" hidden="1" x14ac:dyDescent="0.25">
      <c r="B907" s="5" t="s">
        <v>49</v>
      </c>
      <c r="C907" s="5" t="s">
        <v>115</v>
      </c>
      <c r="D907" s="5" t="s">
        <v>11</v>
      </c>
      <c r="E907" s="6">
        <v>45216</v>
      </c>
      <c r="F907" s="4" t="s">
        <v>91</v>
      </c>
      <c r="G907" s="4" t="s">
        <v>303</v>
      </c>
      <c r="H907" s="4" t="s">
        <v>431</v>
      </c>
      <c r="I907" s="5" t="s">
        <v>967</v>
      </c>
      <c r="J907" s="5"/>
      <c r="K907" s="22">
        <f>YEAR(Tabla1[[#This Row],[Fecha]])</f>
        <v>2023</v>
      </c>
      <c r="L907" s="22">
        <f>MONTH(Tabla1[[#This Row],[Fecha]])</f>
        <v>10</v>
      </c>
    </row>
    <row r="908" spans="2:12" hidden="1" x14ac:dyDescent="0.25">
      <c r="B908" s="5" t="s">
        <v>49</v>
      </c>
      <c r="C908" s="5" t="s">
        <v>115</v>
      </c>
      <c r="D908" s="5" t="s">
        <v>11</v>
      </c>
      <c r="E908" s="6">
        <v>45216</v>
      </c>
      <c r="F908" s="4" t="s">
        <v>91</v>
      </c>
      <c r="G908" s="4" t="s">
        <v>303</v>
      </c>
      <c r="H908" s="4" t="s">
        <v>431</v>
      </c>
      <c r="I908" s="5" t="s">
        <v>968</v>
      </c>
      <c r="J908" s="5"/>
      <c r="K908" s="22">
        <f>YEAR(Tabla1[[#This Row],[Fecha]])</f>
        <v>2023</v>
      </c>
      <c r="L908" s="22">
        <f>MONTH(Tabla1[[#This Row],[Fecha]])</f>
        <v>10</v>
      </c>
    </row>
    <row r="909" spans="2:12" hidden="1" x14ac:dyDescent="0.25">
      <c r="B909" s="5" t="s">
        <v>49</v>
      </c>
      <c r="C909" s="5" t="s">
        <v>117</v>
      </c>
      <c r="D909" s="5" t="s">
        <v>11</v>
      </c>
      <c r="E909" s="6">
        <v>45216</v>
      </c>
      <c r="F909" s="4" t="s">
        <v>91</v>
      </c>
      <c r="G909" s="4" t="s">
        <v>303</v>
      </c>
      <c r="H909" s="4" t="s">
        <v>431</v>
      </c>
      <c r="I909" s="5" t="s">
        <v>969</v>
      </c>
      <c r="J909" s="5"/>
      <c r="K909" s="22">
        <f>YEAR(Tabla1[[#This Row],[Fecha]])</f>
        <v>2023</v>
      </c>
      <c r="L909" s="22">
        <f>MONTH(Tabla1[[#This Row],[Fecha]])</f>
        <v>10</v>
      </c>
    </row>
    <row r="910" spans="2:12" hidden="1" x14ac:dyDescent="0.25">
      <c r="B910" s="5" t="s">
        <v>49</v>
      </c>
      <c r="C910" s="5" t="s">
        <v>123</v>
      </c>
      <c r="D910" s="5" t="s">
        <v>11</v>
      </c>
      <c r="E910" s="6">
        <v>45216</v>
      </c>
      <c r="F910" s="4" t="s">
        <v>91</v>
      </c>
      <c r="G910" s="4" t="s">
        <v>303</v>
      </c>
      <c r="H910" s="4" t="s">
        <v>431</v>
      </c>
      <c r="I910" s="5" t="s">
        <v>970</v>
      </c>
      <c r="J910" s="5"/>
      <c r="K910" s="22">
        <f>YEAR(Tabla1[[#This Row],[Fecha]])</f>
        <v>2023</v>
      </c>
      <c r="L910" s="22">
        <f>MONTH(Tabla1[[#This Row],[Fecha]])</f>
        <v>10</v>
      </c>
    </row>
    <row r="911" spans="2:12" hidden="1" x14ac:dyDescent="0.25">
      <c r="B911" s="5" t="s">
        <v>49</v>
      </c>
      <c r="C911" s="5" t="s">
        <v>57</v>
      </c>
      <c r="D911" s="5" t="s">
        <v>11</v>
      </c>
      <c r="E911" s="6">
        <v>45216</v>
      </c>
      <c r="F911" s="4" t="s">
        <v>91</v>
      </c>
      <c r="G911" s="4" t="s">
        <v>303</v>
      </c>
      <c r="H911" s="4" t="s">
        <v>431</v>
      </c>
      <c r="I911" s="5" t="s">
        <v>971</v>
      </c>
      <c r="J911" s="5"/>
      <c r="K911" s="22">
        <f>YEAR(Tabla1[[#This Row],[Fecha]])</f>
        <v>2023</v>
      </c>
      <c r="L911" s="22">
        <f>MONTH(Tabla1[[#This Row],[Fecha]])</f>
        <v>10</v>
      </c>
    </row>
    <row r="912" spans="2:12" hidden="1" x14ac:dyDescent="0.25">
      <c r="B912" s="5" t="s">
        <v>49</v>
      </c>
      <c r="C912" s="5" t="s">
        <v>176</v>
      </c>
      <c r="D912" s="5" t="s">
        <v>131</v>
      </c>
      <c r="E912" s="6">
        <v>45216</v>
      </c>
      <c r="F912" s="4" t="s">
        <v>91</v>
      </c>
      <c r="G912" s="4" t="s">
        <v>303</v>
      </c>
      <c r="H912" s="4" t="s">
        <v>431</v>
      </c>
      <c r="I912" s="5" t="s">
        <v>972</v>
      </c>
      <c r="J912" s="5"/>
      <c r="K912" s="22">
        <f>YEAR(Tabla1[[#This Row],[Fecha]])</f>
        <v>2023</v>
      </c>
      <c r="L912" s="22">
        <f>MONTH(Tabla1[[#This Row],[Fecha]])</f>
        <v>10</v>
      </c>
    </row>
    <row r="913" spans="2:12" hidden="1" x14ac:dyDescent="0.25">
      <c r="B913" s="5" t="s">
        <v>49</v>
      </c>
      <c r="C913" s="5" t="s">
        <v>66</v>
      </c>
      <c r="D913" s="5" t="s">
        <v>131</v>
      </c>
      <c r="E913" s="6">
        <v>45216</v>
      </c>
      <c r="F913" s="4" t="s">
        <v>91</v>
      </c>
      <c r="G913" s="4" t="s">
        <v>303</v>
      </c>
      <c r="H913" s="4" t="s">
        <v>431</v>
      </c>
      <c r="I913" s="5" t="s">
        <v>973</v>
      </c>
      <c r="J913" s="5"/>
      <c r="K913" s="22">
        <f>YEAR(Tabla1[[#This Row],[Fecha]])</f>
        <v>2023</v>
      </c>
      <c r="L913" s="22">
        <f>MONTH(Tabla1[[#This Row],[Fecha]])</f>
        <v>10</v>
      </c>
    </row>
    <row r="914" spans="2:12" hidden="1" x14ac:dyDescent="0.25">
      <c r="B914" s="5" t="s">
        <v>49</v>
      </c>
      <c r="C914" s="5" t="s">
        <v>111</v>
      </c>
      <c r="D914" s="5" t="s">
        <v>131</v>
      </c>
      <c r="E914" s="6">
        <v>45216</v>
      </c>
      <c r="F914" s="4" t="s">
        <v>91</v>
      </c>
      <c r="G914" s="4" t="s">
        <v>303</v>
      </c>
      <c r="H914" s="4" t="s">
        <v>431</v>
      </c>
      <c r="I914" s="5" t="s">
        <v>974</v>
      </c>
      <c r="J914" s="5"/>
      <c r="K914" s="22">
        <f>YEAR(Tabla1[[#This Row],[Fecha]])</f>
        <v>2023</v>
      </c>
      <c r="L914" s="22">
        <f>MONTH(Tabla1[[#This Row],[Fecha]])</f>
        <v>10</v>
      </c>
    </row>
    <row r="915" spans="2:12" hidden="1" x14ac:dyDescent="0.25">
      <c r="B915" s="5" t="s">
        <v>49</v>
      </c>
      <c r="C915" s="5" t="s">
        <v>60</v>
      </c>
      <c r="D915" s="5" t="s">
        <v>131</v>
      </c>
      <c r="E915" s="6">
        <v>45216</v>
      </c>
      <c r="F915" s="4" t="s">
        <v>91</v>
      </c>
      <c r="G915" s="4" t="s">
        <v>303</v>
      </c>
      <c r="H915" s="4" t="s">
        <v>431</v>
      </c>
      <c r="I915" s="5" t="s">
        <v>975</v>
      </c>
      <c r="J915" s="5"/>
      <c r="K915" s="22">
        <f>YEAR(Tabla1[[#This Row],[Fecha]])</f>
        <v>2023</v>
      </c>
      <c r="L915" s="22">
        <f>MONTH(Tabla1[[#This Row],[Fecha]])</f>
        <v>10</v>
      </c>
    </row>
    <row r="916" spans="2:12" hidden="1" x14ac:dyDescent="0.25">
      <c r="B916" s="5" t="s">
        <v>49</v>
      </c>
      <c r="C916" s="5" t="s">
        <v>53</v>
      </c>
      <c r="D916" s="5" t="s">
        <v>131</v>
      </c>
      <c r="E916" s="6">
        <v>45216</v>
      </c>
      <c r="F916" s="4" t="s">
        <v>91</v>
      </c>
      <c r="G916" s="4" t="s">
        <v>303</v>
      </c>
      <c r="H916" s="4" t="s">
        <v>431</v>
      </c>
      <c r="I916" s="5" t="s">
        <v>976</v>
      </c>
      <c r="J916" s="5"/>
      <c r="K916" s="22">
        <f>YEAR(Tabla1[[#This Row],[Fecha]])</f>
        <v>2023</v>
      </c>
      <c r="L916" s="22">
        <f>MONTH(Tabla1[[#This Row],[Fecha]])</f>
        <v>10</v>
      </c>
    </row>
    <row r="917" spans="2:12" hidden="1" x14ac:dyDescent="0.25">
      <c r="B917" s="5" t="s">
        <v>9</v>
      </c>
      <c r="C917" s="5" t="s">
        <v>14</v>
      </c>
      <c r="D917" s="5" t="s">
        <v>11</v>
      </c>
      <c r="E917" s="6">
        <v>45215</v>
      </c>
      <c r="F917" s="4" t="s">
        <v>15</v>
      </c>
      <c r="G917" s="4" t="s">
        <v>16</v>
      </c>
      <c r="H917" s="4" t="s">
        <v>1775</v>
      </c>
      <c r="I917" s="5" t="s">
        <v>965</v>
      </c>
      <c r="J917" s="5"/>
      <c r="K917" s="22">
        <f>YEAR(Tabla1[[#This Row],[Fecha]])</f>
        <v>2023</v>
      </c>
      <c r="L917" s="22">
        <f>MONTH(Tabla1[[#This Row],[Fecha]])</f>
        <v>10</v>
      </c>
    </row>
    <row r="918" spans="2:12" hidden="1" x14ac:dyDescent="0.25">
      <c r="B918" s="5" t="s">
        <v>309</v>
      </c>
      <c r="C918" s="5" t="s">
        <v>728</v>
      </c>
      <c r="D918" s="5" t="s">
        <v>11</v>
      </c>
      <c r="E918" s="6">
        <v>45212</v>
      </c>
      <c r="F918" s="4" t="s">
        <v>91</v>
      </c>
      <c r="G918" s="4" t="s">
        <v>303</v>
      </c>
      <c r="H918" s="20" t="s">
        <v>434</v>
      </c>
      <c r="I918" s="5" t="s">
        <v>988</v>
      </c>
      <c r="J918" s="5"/>
      <c r="K918" s="22">
        <f>YEAR(Tabla1[[#This Row],[Fecha]])</f>
        <v>2023</v>
      </c>
      <c r="L918" s="22">
        <f>MONTH(Tabla1[[#This Row],[Fecha]])</f>
        <v>10</v>
      </c>
    </row>
    <row r="919" spans="2:12" hidden="1" x14ac:dyDescent="0.25">
      <c r="B919" s="5" t="s">
        <v>309</v>
      </c>
      <c r="C919" s="5" t="s">
        <v>711</v>
      </c>
      <c r="D919" s="5" t="s">
        <v>11</v>
      </c>
      <c r="E919" s="6">
        <v>45212</v>
      </c>
      <c r="F919" s="4" t="s">
        <v>91</v>
      </c>
      <c r="G919" s="4" t="s">
        <v>303</v>
      </c>
      <c r="H919" s="20" t="s">
        <v>434</v>
      </c>
      <c r="I919" s="5" t="s">
        <v>989</v>
      </c>
      <c r="J919" s="5"/>
      <c r="K919" s="22">
        <f>YEAR(Tabla1[[#This Row],[Fecha]])</f>
        <v>2023</v>
      </c>
      <c r="L919" s="22">
        <f>MONTH(Tabla1[[#This Row],[Fecha]])</f>
        <v>10</v>
      </c>
    </row>
    <row r="920" spans="2:12" hidden="1" x14ac:dyDescent="0.25">
      <c r="B920" s="5" t="s">
        <v>309</v>
      </c>
      <c r="C920" s="5" t="s">
        <v>371</v>
      </c>
      <c r="D920" s="5" t="s">
        <v>11</v>
      </c>
      <c r="E920" s="6">
        <v>45212</v>
      </c>
      <c r="F920" s="4" t="s">
        <v>91</v>
      </c>
      <c r="G920" s="4" t="s">
        <v>303</v>
      </c>
      <c r="H920" s="20" t="s">
        <v>434</v>
      </c>
      <c r="I920" s="5" t="s">
        <v>993</v>
      </c>
      <c r="J920" s="5"/>
      <c r="K920" s="22">
        <f>YEAR(Tabla1[[#This Row],[Fecha]])</f>
        <v>2023</v>
      </c>
      <c r="L920" s="22">
        <f>MONTH(Tabla1[[#This Row],[Fecha]])</f>
        <v>10</v>
      </c>
    </row>
    <row r="921" spans="2:12" hidden="1" x14ac:dyDescent="0.25">
      <c r="B921" s="5" t="s">
        <v>32</v>
      </c>
      <c r="C921" s="5" t="s">
        <v>866</v>
      </c>
      <c r="D921" s="5" t="s">
        <v>11</v>
      </c>
      <c r="E921" s="6">
        <v>45211</v>
      </c>
      <c r="F921" s="4" t="s">
        <v>91</v>
      </c>
      <c r="G921" s="4" t="s">
        <v>16</v>
      </c>
      <c r="H921" s="8" t="s">
        <v>34</v>
      </c>
      <c r="I921" s="5" t="s">
        <v>983</v>
      </c>
      <c r="J921" s="5"/>
      <c r="K921" s="15">
        <f>YEAR(Tabla1[[#This Row],[Fecha]])</f>
        <v>2023</v>
      </c>
      <c r="L921" s="15">
        <f>MONTH(Tabla1[[#This Row],[Fecha]])</f>
        <v>10</v>
      </c>
    </row>
    <row r="922" spans="2:12" hidden="1" x14ac:dyDescent="0.25">
      <c r="B922" s="5" t="s">
        <v>309</v>
      </c>
      <c r="C922" s="5" t="s">
        <v>315</v>
      </c>
      <c r="D922" s="5" t="s">
        <v>11</v>
      </c>
      <c r="E922" s="6">
        <v>45211</v>
      </c>
      <c r="F922" s="4" t="s">
        <v>91</v>
      </c>
      <c r="G922" s="4" t="s">
        <v>24</v>
      </c>
      <c r="H922" s="8" t="s">
        <v>118</v>
      </c>
      <c r="I922" s="5" t="s">
        <v>984</v>
      </c>
      <c r="J922" s="5"/>
      <c r="K922" s="15">
        <f>YEAR(Tabla1[[#This Row],[Fecha]])</f>
        <v>2023</v>
      </c>
      <c r="L922" s="15">
        <f>MONTH(Tabla1[[#This Row],[Fecha]])</f>
        <v>10</v>
      </c>
    </row>
    <row r="923" spans="2:12" hidden="1" x14ac:dyDescent="0.25">
      <c r="B923" s="5" t="s">
        <v>248</v>
      </c>
      <c r="C923" s="5" t="s">
        <v>249</v>
      </c>
      <c r="D923" s="5" t="s">
        <v>11</v>
      </c>
      <c r="E923" s="6">
        <v>45211</v>
      </c>
      <c r="F923" s="4" t="s">
        <v>15</v>
      </c>
      <c r="G923" s="32" t="s">
        <v>24</v>
      </c>
      <c r="H923" s="32" t="s">
        <v>51</v>
      </c>
      <c r="I923" s="5" t="s">
        <v>977</v>
      </c>
      <c r="J923" s="5"/>
      <c r="K923" s="22">
        <f>YEAR(Tabla1[[#This Row],[Fecha]])</f>
        <v>2023</v>
      </c>
      <c r="L923" s="22">
        <f>MONTH(Tabla1[[#This Row],[Fecha]])</f>
        <v>10</v>
      </c>
    </row>
    <row r="924" spans="2:12" hidden="1" x14ac:dyDescent="0.25">
      <c r="B924" s="5" t="s">
        <v>309</v>
      </c>
      <c r="C924" s="5" t="s">
        <v>320</v>
      </c>
      <c r="D924" s="5" t="s">
        <v>11</v>
      </c>
      <c r="E924" s="6">
        <v>45210</v>
      </c>
      <c r="F924" s="4" t="s">
        <v>15</v>
      </c>
      <c r="G924" s="4" t="s">
        <v>16</v>
      </c>
      <c r="H924" s="4" t="s">
        <v>34</v>
      </c>
      <c r="I924" s="5" t="s">
        <v>964</v>
      </c>
      <c r="J924" s="5"/>
      <c r="K924" s="22">
        <f>YEAR(Tabla1[[#This Row],[Fecha]])</f>
        <v>2023</v>
      </c>
      <c r="L924" s="22">
        <f>MONTH(Tabla1[[#This Row],[Fecha]])</f>
        <v>10</v>
      </c>
    </row>
    <row r="925" spans="2:12" hidden="1" x14ac:dyDescent="0.25">
      <c r="B925" s="5" t="s">
        <v>309</v>
      </c>
      <c r="C925" s="5" t="s">
        <v>321</v>
      </c>
      <c r="D925" s="5" t="s">
        <v>11</v>
      </c>
      <c r="E925" s="6">
        <v>45210</v>
      </c>
      <c r="F925" s="4" t="s">
        <v>15</v>
      </c>
      <c r="G925" s="4" t="s">
        <v>16</v>
      </c>
      <c r="H925" s="4" t="s">
        <v>34</v>
      </c>
      <c r="I925" s="5" t="s">
        <v>964</v>
      </c>
      <c r="J925" s="5"/>
      <c r="K925" s="22">
        <f>YEAR(Tabla1[[#This Row],[Fecha]])</f>
        <v>2023</v>
      </c>
      <c r="L925" s="22">
        <f>MONTH(Tabla1[[#This Row],[Fecha]])</f>
        <v>10</v>
      </c>
    </row>
    <row r="926" spans="2:12" hidden="1" x14ac:dyDescent="0.25">
      <c r="B926" s="5" t="s">
        <v>27</v>
      </c>
      <c r="C926" s="5" t="s">
        <v>28</v>
      </c>
      <c r="D926" s="5" t="s">
        <v>11</v>
      </c>
      <c r="E926" s="6">
        <v>45210</v>
      </c>
      <c r="F926" s="4" t="s">
        <v>15</v>
      </c>
      <c r="G926" s="4" t="s">
        <v>16</v>
      </c>
      <c r="H926" s="8" t="s">
        <v>1775</v>
      </c>
      <c r="I926" s="5" t="s">
        <v>978</v>
      </c>
      <c r="J926" s="5"/>
      <c r="K926" s="15">
        <f>YEAR(Tabla1[[#This Row],[Fecha]])</f>
        <v>2023</v>
      </c>
      <c r="L926" s="15">
        <f>MONTH(Tabla1[[#This Row],[Fecha]])</f>
        <v>10</v>
      </c>
    </row>
    <row r="927" spans="2:12" hidden="1" x14ac:dyDescent="0.25">
      <c r="B927" s="5" t="s">
        <v>32</v>
      </c>
      <c r="C927" s="5" t="s">
        <v>147</v>
      </c>
      <c r="D927" s="5" t="s">
        <v>11</v>
      </c>
      <c r="E927" s="6">
        <v>45210</v>
      </c>
      <c r="F927" s="4" t="s">
        <v>91</v>
      </c>
      <c r="G927" s="4" t="s">
        <v>103</v>
      </c>
      <c r="H927" s="8" t="s">
        <v>298</v>
      </c>
      <c r="I927" s="5" t="s">
        <v>1710</v>
      </c>
      <c r="J927" s="5"/>
      <c r="K927" s="15">
        <f>YEAR(Tabla1[[#This Row],[Fecha]])</f>
        <v>2023</v>
      </c>
      <c r="L927" s="15">
        <f>MONTH(Tabla1[[#This Row],[Fecha]])</f>
        <v>10</v>
      </c>
    </row>
    <row r="928" spans="2:12" hidden="1" x14ac:dyDescent="0.25">
      <c r="B928" s="5" t="s">
        <v>32</v>
      </c>
      <c r="C928" s="5" t="s">
        <v>740</v>
      </c>
      <c r="D928" s="5" t="s">
        <v>11</v>
      </c>
      <c r="E928" s="6">
        <v>45210</v>
      </c>
      <c r="F928" s="4" t="s">
        <v>91</v>
      </c>
      <c r="G928" s="4" t="s">
        <v>103</v>
      </c>
      <c r="H928" s="8" t="s">
        <v>298</v>
      </c>
      <c r="I928" s="5" t="s">
        <v>1710</v>
      </c>
      <c r="J928" s="5"/>
      <c r="K928" s="15">
        <f>YEAR(Tabla1[[#This Row],[Fecha]])</f>
        <v>2023</v>
      </c>
      <c r="L928" s="15">
        <f>MONTH(Tabla1[[#This Row],[Fecha]])</f>
        <v>10</v>
      </c>
    </row>
    <row r="929" spans="2:12" hidden="1" x14ac:dyDescent="0.25">
      <c r="B929" s="5" t="s">
        <v>32</v>
      </c>
      <c r="C929" s="5" t="s">
        <v>866</v>
      </c>
      <c r="D929" s="5" t="s">
        <v>11</v>
      </c>
      <c r="E929" s="6">
        <v>45210</v>
      </c>
      <c r="F929" s="4" t="s">
        <v>91</v>
      </c>
      <c r="G929" s="4" t="s">
        <v>16</v>
      </c>
      <c r="H929" s="8" t="s">
        <v>1775</v>
      </c>
      <c r="I929" s="5" t="s">
        <v>982</v>
      </c>
      <c r="J929" s="5"/>
      <c r="K929" s="15">
        <f>YEAR(Tabla1[[#This Row],[Fecha]])</f>
        <v>2023</v>
      </c>
      <c r="L929" s="15">
        <f>MONTH(Tabla1[[#This Row],[Fecha]])</f>
        <v>10</v>
      </c>
    </row>
    <row r="930" spans="2:12" hidden="1" x14ac:dyDescent="0.25">
      <c r="B930" s="5" t="s">
        <v>309</v>
      </c>
      <c r="C930" s="5" t="s">
        <v>728</v>
      </c>
      <c r="D930" s="5" t="s">
        <v>11</v>
      </c>
      <c r="E930" s="6">
        <v>45210</v>
      </c>
      <c r="F930" s="4" t="s">
        <v>91</v>
      </c>
      <c r="G930" s="4" t="s">
        <v>303</v>
      </c>
      <c r="H930" s="4" t="s">
        <v>431</v>
      </c>
      <c r="I930" s="5" t="s">
        <v>986</v>
      </c>
      <c r="J930" s="5"/>
      <c r="K930" s="22">
        <f>YEAR(Tabla1[[#This Row],[Fecha]])</f>
        <v>2023</v>
      </c>
      <c r="L930" s="22">
        <f>MONTH(Tabla1[[#This Row],[Fecha]])</f>
        <v>10</v>
      </c>
    </row>
    <row r="931" spans="2:12" hidden="1" x14ac:dyDescent="0.25">
      <c r="B931" s="5" t="s">
        <v>309</v>
      </c>
      <c r="C931" s="5" t="s">
        <v>711</v>
      </c>
      <c r="D931" s="5" t="s">
        <v>11</v>
      </c>
      <c r="E931" s="6">
        <v>45210</v>
      </c>
      <c r="F931" s="4" t="s">
        <v>91</v>
      </c>
      <c r="G931" s="4" t="s">
        <v>303</v>
      </c>
      <c r="H931" s="4" t="s">
        <v>431</v>
      </c>
      <c r="I931" s="5" t="s">
        <v>987</v>
      </c>
      <c r="J931" s="5"/>
      <c r="K931" s="22">
        <f>YEAR(Tabla1[[#This Row],[Fecha]])</f>
        <v>2023</v>
      </c>
      <c r="L931" s="22">
        <f>MONTH(Tabla1[[#This Row],[Fecha]])</f>
        <v>10</v>
      </c>
    </row>
    <row r="932" spans="2:12" hidden="1" x14ac:dyDescent="0.25">
      <c r="B932" s="5" t="s">
        <v>309</v>
      </c>
      <c r="C932" s="5" t="s">
        <v>371</v>
      </c>
      <c r="D932" s="5" t="s">
        <v>11</v>
      </c>
      <c r="E932" s="6">
        <v>45210</v>
      </c>
      <c r="F932" s="4" t="s">
        <v>91</v>
      </c>
      <c r="G932" s="4" t="s">
        <v>303</v>
      </c>
      <c r="H932" s="4" t="s">
        <v>431</v>
      </c>
      <c r="I932" s="5" t="s">
        <v>994</v>
      </c>
      <c r="J932" s="5"/>
      <c r="K932" s="22">
        <f>YEAR(Tabla1[[#This Row],[Fecha]])</f>
        <v>2023</v>
      </c>
      <c r="L932" s="22">
        <f>MONTH(Tabla1[[#This Row],[Fecha]])</f>
        <v>10</v>
      </c>
    </row>
    <row r="933" spans="2:12" hidden="1" x14ac:dyDescent="0.25">
      <c r="B933" s="5" t="s">
        <v>309</v>
      </c>
      <c r="C933" s="5" t="s">
        <v>310</v>
      </c>
      <c r="D933" s="5" t="s">
        <v>11</v>
      </c>
      <c r="E933" s="6">
        <v>45209</v>
      </c>
      <c r="F933" s="4" t="s">
        <v>91</v>
      </c>
      <c r="G933" s="4" t="s">
        <v>16</v>
      </c>
      <c r="H933" s="8" t="s">
        <v>1775</v>
      </c>
      <c r="I933" s="5" t="s">
        <v>985</v>
      </c>
      <c r="J933" s="5"/>
      <c r="K933" s="15">
        <f>YEAR(Tabla1[[#This Row],[Fecha]])</f>
        <v>2023</v>
      </c>
      <c r="L933" s="15">
        <f>MONTH(Tabla1[[#This Row],[Fecha]])</f>
        <v>10</v>
      </c>
    </row>
    <row r="934" spans="2:12" hidden="1" x14ac:dyDescent="0.25">
      <c r="B934" s="5" t="s">
        <v>309</v>
      </c>
      <c r="C934" s="5" t="s">
        <v>313</v>
      </c>
      <c r="D934" s="5" t="s">
        <v>11</v>
      </c>
      <c r="E934" s="6">
        <v>45209</v>
      </c>
      <c r="F934" s="4" t="s">
        <v>91</v>
      </c>
      <c r="G934" s="4" t="s">
        <v>16</v>
      </c>
      <c r="H934" s="8" t="s">
        <v>1775</v>
      </c>
      <c r="I934" s="5" t="s">
        <v>985</v>
      </c>
      <c r="J934" s="5"/>
      <c r="K934" s="15">
        <f>YEAR(Tabla1[[#This Row],[Fecha]])</f>
        <v>2023</v>
      </c>
      <c r="L934" s="15">
        <f>MONTH(Tabla1[[#This Row],[Fecha]])</f>
        <v>10</v>
      </c>
    </row>
    <row r="935" spans="2:12" hidden="1" x14ac:dyDescent="0.25">
      <c r="B935" s="5" t="s">
        <v>309</v>
      </c>
      <c r="C935" s="5" t="s">
        <v>322</v>
      </c>
      <c r="D935" s="5" t="s">
        <v>11</v>
      </c>
      <c r="E935" s="6">
        <v>45209</v>
      </c>
      <c r="F935" s="4" t="s">
        <v>91</v>
      </c>
      <c r="G935" s="4" t="s">
        <v>16</v>
      </c>
      <c r="H935" s="8" t="s">
        <v>1775</v>
      </c>
      <c r="I935" s="5" t="s">
        <v>985</v>
      </c>
      <c r="J935" s="5"/>
      <c r="K935" s="15">
        <f>YEAR(Tabla1[[#This Row],[Fecha]])</f>
        <v>2023</v>
      </c>
      <c r="L935" s="15">
        <f>MONTH(Tabla1[[#This Row],[Fecha]])</f>
        <v>10</v>
      </c>
    </row>
    <row r="936" spans="2:12" hidden="1" x14ac:dyDescent="0.25">
      <c r="B936" s="5" t="s">
        <v>309</v>
      </c>
      <c r="C936" s="5" t="s">
        <v>378</v>
      </c>
      <c r="D936" s="5" t="s">
        <v>11</v>
      </c>
      <c r="E936" s="6">
        <v>45209</v>
      </c>
      <c r="F936" s="4" t="s">
        <v>91</v>
      </c>
      <c r="G936" s="4" t="s">
        <v>16</v>
      </c>
      <c r="H936" s="8" t="s">
        <v>1775</v>
      </c>
      <c r="I936" s="5" t="s">
        <v>985</v>
      </c>
      <c r="J936" s="5"/>
      <c r="K936" s="15">
        <f>YEAR(Tabla1[[#This Row],[Fecha]])</f>
        <v>2023</v>
      </c>
      <c r="L936" s="15">
        <f>MONTH(Tabla1[[#This Row],[Fecha]])</f>
        <v>10</v>
      </c>
    </row>
    <row r="937" spans="2:12" hidden="1" x14ac:dyDescent="0.25">
      <c r="B937" s="5" t="s">
        <v>309</v>
      </c>
      <c r="C937" s="5" t="s">
        <v>728</v>
      </c>
      <c r="D937" s="5" t="s">
        <v>11</v>
      </c>
      <c r="E937" s="6">
        <v>45205</v>
      </c>
      <c r="F937" s="4" t="s">
        <v>91</v>
      </c>
      <c r="G937" s="4" t="s">
        <v>303</v>
      </c>
      <c r="H937" s="20" t="s">
        <v>434</v>
      </c>
      <c r="I937" s="5" t="s">
        <v>990</v>
      </c>
      <c r="J937" s="5"/>
      <c r="K937" s="22">
        <f>YEAR(Tabla1[[#This Row],[Fecha]])</f>
        <v>2023</v>
      </c>
      <c r="L937" s="22">
        <f>MONTH(Tabla1[[#This Row],[Fecha]])</f>
        <v>10</v>
      </c>
    </row>
    <row r="938" spans="2:12" hidden="1" x14ac:dyDescent="0.25">
      <c r="B938" s="5" t="s">
        <v>309</v>
      </c>
      <c r="C938" s="5" t="s">
        <v>711</v>
      </c>
      <c r="D938" s="5" t="s">
        <v>11</v>
      </c>
      <c r="E938" s="6">
        <v>45205</v>
      </c>
      <c r="F938" s="4" t="s">
        <v>91</v>
      </c>
      <c r="G938" s="4" t="s">
        <v>303</v>
      </c>
      <c r="H938" s="20" t="s">
        <v>434</v>
      </c>
      <c r="I938" s="5" t="s">
        <v>991</v>
      </c>
      <c r="J938" s="5"/>
      <c r="K938" s="22">
        <f>YEAR(Tabla1[[#This Row],[Fecha]])</f>
        <v>2023</v>
      </c>
      <c r="L938" s="22">
        <f>MONTH(Tabla1[[#This Row],[Fecha]])</f>
        <v>10</v>
      </c>
    </row>
    <row r="939" spans="2:12" hidden="1" x14ac:dyDescent="0.25">
      <c r="B939" s="5" t="s">
        <v>309</v>
      </c>
      <c r="C939" s="5" t="s">
        <v>371</v>
      </c>
      <c r="D939" s="5" t="s">
        <v>11</v>
      </c>
      <c r="E939" s="6">
        <v>45205</v>
      </c>
      <c r="F939" s="4" t="s">
        <v>91</v>
      </c>
      <c r="G939" s="4" t="s">
        <v>303</v>
      </c>
      <c r="H939" s="20" t="s">
        <v>434</v>
      </c>
      <c r="I939" s="5" t="s">
        <v>992</v>
      </c>
      <c r="J939" s="5"/>
      <c r="K939" s="22">
        <f>YEAR(Tabla1[[#This Row],[Fecha]])</f>
        <v>2023</v>
      </c>
      <c r="L939" s="22">
        <f>MONTH(Tabla1[[#This Row],[Fecha]])</f>
        <v>10</v>
      </c>
    </row>
    <row r="940" spans="2:12" hidden="1" x14ac:dyDescent="0.25">
      <c r="B940" s="5" t="s">
        <v>9</v>
      </c>
      <c r="C940" s="5" t="s">
        <v>68</v>
      </c>
      <c r="D940" s="5" t="s">
        <v>11</v>
      </c>
      <c r="E940" s="6">
        <v>45204</v>
      </c>
      <c r="F940" s="4" t="s">
        <v>15</v>
      </c>
      <c r="G940" s="4" t="s">
        <v>47</v>
      </c>
      <c r="H940" s="4" t="s">
        <v>333</v>
      </c>
      <c r="I940" s="5" t="s">
        <v>980</v>
      </c>
      <c r="J940" s="5"/>
      <c r="K940" s="22">
        <f>YEAR(Tabla1[[#This Row],[Fecha]])</f>
        <v>2023</v>
      </c>
      <c r="L940" s="22">
        <f>MONTH(Tabla1[[#This Row],[Fecha]])</f>
        <v>10</v>
      </c>
    </row>
    <row r="941" spans="2:12" hidden="1" x14ac:dyDescent="0.25">
      <c r="B941" s="5" t="s">
        <v>9</v>
      </c>
      <c r="C941" s="5" t="s">
        <v>82</v>
      </c>
      <c r="D941" s="5" t="s">
        <v>11</v>
      </c>
      <c r="E941" s="6">
        <v>45203</v>
      </c>
      <c r="F941" s="4" t="s">
        <v>15</v>
      </c>
      <c r="G941" s="4" t="s">
        <v>16</v>
      </c>
      <c r="H941" s="4" t="s">
        <v>41</v>
      </c>
      <c r="I941" s="5" t="s">
        <v>979</v>
      </c>
      <c r="J941" s="5"/>
      <c r="K941" s="22">
        <f>YEAR(Tabla1[[#This Row],[Fecha]])</f>
        <v>2023</v>
      </c>
      <c r="L941" s="22">
        <f>MONTH(Tabla1[[#This Row],[Fecha]])</f>
        <v>10</v>
      </c>
    </row>
    <row r="942" spans="2:12" hidden="1" x14ac:dyDescent="0.25">
      <c r="B942" s="5" t="s">
        <v>32</v>
      </c>
      <c r="C942" s="5" t="s">
        <v>700</v>
      </c>
      <c r="D942" s="5" t="s">
        <v>11</v>
      </c>
      <c r="E942" s="6">
        <v>45203</v>
      </c>
      <c r="F942" s="4" t="s">
        <v>91</v>
      </c>
      <c r="G942" s="32" t="s">
        <v>24</v>
      </c>
      <c r="H942" s="32" t="s">
        <v>83</v>
      </c>
      <c r="I942" s="5" t="s">
        <v>981</v>
      </c>
      <c r="J942" s="5"/>
      <c r="K942" s="15">
        <f>YEAR(Tabla1[[#This Row],[Fecha]])</f>
        <v>2023</v>
      </c>
      <c r="L942" s="15">
        <f>MONTH(Tabla1[[#This Row],[Fecha]])</f>
        <v>10</v>
      </c>
    </row>
    <row r="943" spans="2:12" hidden="1" x14ac:dyDescent="0.25">
      <c r="B943" s="5" t="s">
        <v>309</v>
      </c>
      <c r="C943" s="5" t="s">
        <v>371</v>
      </c>
      <c r="D943" s="5" t="s">
        <v>11</v>
      </c>
      <c r="E943" s="6">
        <v>45203</v>
      </c>
      <c r="F943" s="4" t="s">
        <v>91</v>
      </c>
      <c r="G943" s="4" t="s">
        <v>303</v>
      </c>
      <c r="H943" s="4" t="s">
        <v>431</v>
      </c>
      <c r="I943" s="5" t="s">
        <v>995</v>
      </c>
      <c r="J943" s="5"/>
      <c r="K943" s="22">
        <f>YEAR(Tabla1[[#This Row],[Fecha]])</f>
        <v>2023</v>
      </c>
      <c r="L943" s="22">
        <f>MONTH(Tabla1[[#This Row],[Fecha]])</f>
        <v>10</v>
      </c>
    </row>
    <row r="944" spans="2:12" hidden="1" x14ac:dyDescent="0.25">
      <c r="B944" s="5" t="s">
        <v>309</v>
      </c>
      <c r="C944" s="5" t="s">
        <v>728</v>
      </c>
      <c r="D944" s="5" t="s">
        <v>11</v>
      </c>
      <c r="E944" s="6">
        <v>45203</v>
      </c>
      <c r="F944" s="4" t="s">
        <v>91</v>
      </c>
      <c r="G944" s="4" t="s">
        <v>303</v>
      </c>
      <c r="H944" s="4" t="s">
        <v>431</v>
      </c>
      <c r="I944" s="5" t="s">
        <v>996</v>
      </c>
      <c r="J944" s="5"/>
      <c r="K944" s="22">
        <f>YEAR(Tabla1[[#This Row],[Fecha]])</f>
        <v>2023</v>
      </c>
      <c r="L944" s="22">
        <f>MONTH(Tabla1[[#This Row],[Fecha]])</f>
        <v>10</v>
      </c>
    </row>
    <row r="945" spans="2:12" hidden="1" x14ac:dyDescent="0.25">
      <c r="B945" s="5" t="s">
        <v>309</v>
      </c>
      <c r="C945" s="5" t="s">
        <v>711</v>
      </c>
      <c r="D945" s="5" t="s">
        <v>11</v>
      </c>
      <c r="E945" s="6">
        <v>45203</v>
      </c>
      <c r="F945" s="4" t="s">
        <v>91</v>
      </c>
      <c r="G945" s="4" t="s">
        <v>303</v>
      </c>
      <c r="H945" s="4" t="s">
        <v>431</v>
      </c>
      <c r="I945" s="5" t="s">
        <v>997</v>
      </c>
      <c r="J945" s="5"/>
      <c r="K945" s="22">
        <f>YEAR(Tabla1[[#This Row],[Fecha]])</f>
        <v>2023</v>
      </c>
      <c r="L945" s="22">
        <f>MONTH(Tabla1[[#This Row],[Fecha]])</f>
        <v>10</v>
      </c>
    </row>
    <row r="946" spans="2:12" hidden="1" x14ac:dyDescent="0.25">
      <c r="B946" s="5" t="s">
        <v>49</v>
      </c>
      <c r="C946" s="5" t="s">
        <v>176</v>
      </c>
      <c r="D946" s="5" t="s">
        <v>11</v>
      </c>
      <c r="E946" s="6">
        <v>45202</v>
      </c>
      <c r="F946" s="4" t="s">
        <v>15</v>
      </c>
      <c r="G946" s="4" t="s">
        <v>47</v>
      </c>
      <c r="H946" s="4" t="s">
        <v>1793</v>
      </c>
      <c r="I946" s="5" t="s">
        <v>998</v>
      </c>
      <c r="J946" s="5"/>
      <c r="K946" s="22">
        <f>YEAR(Tabla1[[#This Row],[Fecha]])</f>
        <v>2023</v>
      </c>
      <c r="L946" s="22">
        <f>MONTH(Tabla1[[#This Row],[Fecha]])</f>
        <v>10</v>
      </c>
    </row>
    <row r="947" spans="2:12" hidden="1" x14ac:dyDescent="0.25">
      <c r="B947" s="5" t="s">
        <v>309</v>
      </c>
      <c r="C947" s="5" t="s">
        <v>320</v>
      </c>
      <c r="D947" s="5" t="s">
        <v>11</v>
      </c>
      <c r="E947" s="6">
        <v>45201</v>
      </c>
      <c r="F947" s="4" t="s">
        <v>15</v>
      </c>
      <c r="G947" s="4" t="s">
        <v>16</v>
      </c>
      <c r="H947" s="4" t="s">
        <v>17</v>
      </c>
      <c r="I947" s="5" t="s">
        <v>999</v>
      </c>
      <c r="J947" s="5"/>
      <c r="K947" s="22">
        <f>YEAR(Tabla1[[#This Row],[Fecha]])</f>
        <v>2023</v>
      </c>
      <c r="L947" s="22">
        <f>MONTH(Tabla1[[#This Row],[Fecha]])</f>
        <v>10</v>
      </c>
    </row>
    <row r="948" spans="2:12" hidden="1" x14ac:dyDescent="0.25">
      <c r="B948" s="5" t="s">
        <v>309</v>
      </c>
      <c r="C948" s="5" t="s">
        <v>321</v>
      </c>
      <c r="D948" s="5" t="s">
        <v>11</v>
      </c>
      <c r="E948" s="6">
        <v>45201</v>
      </c>
      <c r="F948" s="4" t="s">
        <v>15</v>
      </c>
      <c r="G948" s="4" t="s">
        <v>16</v>
      </c>
      <c r="H948" s="4" t="s">
        <v>17</v>
      </c>
      <c r="I948" s="5" t="s">
        <v>999</v>
      </c>
      <c r="J948" s="5"/>
      <c r="K948" s="22">
        <f>YEAR(Tabla1[[#This Row],[Fecha]])</f>
        <v>2023</v>
      </c>
      <c r="L948" s="22">
        <f>MONTH(Tabla1[[#This Row],[Fecha]])</f>
        <v>10</v>
      </c>
    </row>
    <row r="949" spans="2:12" hidden="1" x14ac:dyDescent="0.25">
      <c r="B949" s="5" t="s">
        <v>9</v>
      </c>
      <c r="C949" s="5" t="s">
        <v>14</v>
      </c>
      <c r="D949" s="5" t="s">
        <v>11</v>
      </c>
      <c r="E949" s="6">
        <v>45199</v>
      </c>
      <c r="F949" s="11" t="s">
        <v>91</v>
      </c>
      <c r="G949" s="11" t="s">
        <v>36</v>
      </c>
      <c r="H949" s="35" t="s">
        <v>1789</v>
      </c>
      <c r="I949" s="11" t="s">
        <v>1025</v>
      </c>
      <c r="J949" s="5"/>
      <c r="K949" s="22">
        <f>YEAR(Tabla1[[#This Row],[Fecha]])</f>
        <v>2023</v>
      </c>
      <c r="L949" s="22">
        <f>MONTH(Tabla1[[#This Row],[Fecha]])</f>
        <v>9</v>
      </c>
    </row>
    <row r="950" spans="2:12" hidden="1" x14ac:dyDescent="0.25">
      <c r="B950" s="5" t="s">
        <v>9</v>
      </c>
      <c r="C950" s="5" t="s">
        <v>62</v>
      </c>
      <c r="D950" s="5" t="s">
        <v>11</v>
      </c>
      <c r="E950" s="6">
        <v>45199</v>
      </c>
      <c r="F950" s="11" t="s">
        <v>91</v>
      </c>
      <c r="G950" s="11" t="s">
        <v>36</v>
      </c>
      <c r="H950" s="35" t="s">
        <v>1789</v>
      </c>
      <c r="I950" s="11" t="s">
        <v>1025</v>
      </c>
      <c r="J950" s="5"/>
      <c r="K950" s="22">
        <f>YEAR(Tabla1[[#This Row],[Fecha]])</f>
        <v>2023</v>
      </c>
      <c r="L950" s="22">
        <f>MONTH(Tabla1[[#This Row],[Fecha]])</f>
        <v>9</v>
      </c>
    </row>
    <row r="951" spans="2:12" hidden="1" x14ac:dyDescent="0.25">
      <c r="B951" s="5" t="s">
        <v>9</v>
      </c>
      <c r="C951" s="5" t="s">
        <v>153</v>
      </c>
      <c r="D951" s="5" t="s">
        <v>11</v>
      </c>
      <c r="E951" s="6">
        <v>45199</v>
      </c>
      <c r="F951" s="11" t="s">
        <v>91</v>
      </c>
      <c r="G951" s="11" t="s">
        <v>36</v>
      </c>
      <c r="H951" s="35" t="s">
        <v>1789</v>
      </c>
      <c r="I951" s="11" t="s">
        <v>1025</v>
      </c>
      <c r="J951" s="5"/>
      <c r="K951" s="22">
        <f>YEAR(Tabla1[[#This Row],[Fecha]])</f>
        <v>2023</v>
      </c>
      <c r="L951" s="22">
        <f>MONTH(Tabla1[[#This Row],[Fecha]])</f>
        <v>9</v>
      </c>
    </row>
    <row r="952" spans="2:12" hidden="1" x14ac:dyDescent="0.25">
      <c r="B952" s="5" t="s">
        <v>9</v>
      </c>
      <c r="C952" s="5" t="s">
        <v>68</v>
      </c>
      <c r="D952" s="5" t="s">
        <v>11</v>
      </c>
      <c r="E952" s="6">
        <v>45199</v>
      </c>
      <c r="F952" s="11" t="s">
        <v>91</v>
      </c>
      <c r="G952" s="11" t="s">
        <v>36</v>
      </c>
      <c r="H952" s="35" t="s">
        <v>1789</v>
      </c>
      <c r="I952" s="11" t="s">
        <v>1025</v>
      </c>
      <c r="J952" s="5"/>
      <c r="K952" s="22">
        <f>YEAR(Tabla1[[#This Row],[Fecha]])</f>
        <v>2023</v>
      </c>
      <c r="L952" s="22">
        <f>MONTH(Tabla1[[#This Row],[Fecha]])</f>
        <v>9</v>
      </c>
    </row>
    <row r="953" spans="2:12" hidden="1" x14ac:dyDescent="0.25">
      <c r="B953" s="5" t="s">
        <v>9</v>
      </c>
      <c r="C953" s="5" t="s">
        <v>102</v>
      </c>
      <c r="D953" s="5" t="s">
        <v>11</v>
      </c>
      <c r="E953" s="6">
        <v>45199</v>
      </c>
      <c r="F953" s="11" t="s">
        <v>91</v>
      </c>
      <c r="G953" s="11" t="s">
        <v>36</v>
      </c>
      <c r="H953" s="35" t="s">
        <v>1789</v>
      </c>
      <c r="I953" s="11" t="s">
        <v>1025</v>
      </c>
      <c r="J953" s="5"/>
      <c r="K953" s="22">
        <f>YEAR(Tabla1[[#This Row],[Fecha]])</f>
        <v>2023</v>
      </c>
      <c r="L953" s="22">
        <f>MONTH(Tabla1[[#This Row],[Fecha]])</f>
        <v>9</v>
      </c>
    </row>
    <row r="954" spans="2:12" hidden="1" x14ac:dyDescent="0.25">
      <c r="B954" s="5" t="s">
        <v>9</v>
      </c>
      <c r="C954" s="5" t="s">
        <v>71</v>
      </c>
      <c r="D954" s="5" t="s">
        <v>11</v>
      </c>
      <c r="E954" s="6">
        <v>45199</v>
      </c>
      <c r="F954" s="11" t="s">
        <v>91</v>
      </c>
      <c r="G954" s="11" t="s">
        <v>36</v>
      </c>
      <c r="H954" s="35" t="s">
        <v>1789</v>
      </c>
      <c r="I954" s="11" t="s">
        <v>1025</v>
      </c>
      <c r="J954" s="5"/>
      <c r="K954" s="22">
        <f>YEAR(Tabla1[[#This Row],[Fecha]])</f>
        <v>2023</v>
      </c>
      <c r="L954" s="22">
        <f>MONTH(Tabla1[[#This Row],[Fecha]])</f>
        <v>9</v>
      </c>
    </row>
    <row r="955" spans="2:12" hidden="1" x14ac:dyDescent="0.25">
      <c r="B955" s="5" t="s">
        <v>9</v>
      </c>
      <c r="C955" s="5" t="s">
        <v>80</v>
      </c>
      <c r="D955" s="5" t="s">
        <v>11</v>
      </c>
      <c r="E955" s="6">
        <v>45199</v>
      </c>
      <c r="F955" s="11" t="s">
        <v>91</v>
      </c>
      <c r="G955" s="11" t="s">
        <v>36</v>
      </c>
      <c r="H955" s="35" t="s">
        <v>1789</v>
      </c>
      <c r="I955" s="11" t="s">
        <v>1025</v>
      </c>
      <c r="J955" s="5"/>
      <c r="K955" s="22">
        <f>YEAR(Tabla1[[#This Row],[Fecha]])</f>
        <v>2023</v>
      </c>
      <c r="L955" s="22">
        <f>MONTH(Tabla1[[#This Row],[Fecha]])</f>
        <v>9</v>
      </c>
    </row>
    <row r="956" spans="2:12" hidden="1" x14ac:dyDescent="0.25">
      <c r="B956" s="5" t="s">
        <v>9</v>
      </c>
      <c r="C956" s="5" t="s">
        <v>99</v>
      </c>
      <c r="D956" s="5" t="s">
        <v>11</v>
      </c>
      <c r="E956" s="6">
        <v>45199</v>
      </c>
      <c r="F956" s="11" t="s">
        <v>91</v>
      </c>
      <c r="G956" s="11" t="s">
        <v>36</v>
      </c>
      <c r="H956" s="35" t="s">
        <v>1789</v>
      </c>
      <c r="I956" s="11" t="s">
        <v>1025</v>
      </c>
      <c r="J956" s="5"/>
      <c r="K956" s="22">
        <f>YEAR(Tabla1[[#This Row],[Fecha]])</f>
        <v>2023</v>
      </c>
      <c r="L956" s="22">
        <f>MONTH(Tabla1[[#This Row],[Fecha]])</f>
        <v>9</v>
      </c>
    </row>
    <row r="957" spans="2:12" hidden="1" x14ac:dyDescent="0.25">
      <c r="B957" s="5" t="s">
        <v>9</v>
      </c>
      <c r="C957" s="5" t="s">
        <v>82</v>
      </c>
      <c r="D957" s="5" t="s">
        <v>11</v>
      </c>
      <c r="E957" s="6">
        <v>45199</v>
      </c>
      <c r="F957" s="11" t="s">
        <v>91</v>
      </c>
      <c r="G957" s="11" t="s">
        <v>36</v>
      </c>
      <c r="H957" s="35" t="s">
        <v>1789</v>
      </c>
      <c r="I957" s="11" t="s">
        <v>1025</v>
      </c>
      <c r="J957" s="5"/>
      <c r="K957" s="22">
        <f>YEAR(Tabla1[[#This Row],[Fecha]])</f>
        <v>2023</v>
      </c>
      <c r="L957" s="22">
        <f>MONTH(Tabla1[[#This Row],[Fecha]])</f>
        <v>9</v>
      </c>
    </row>
    <row r="958" spans="2:12" hidden="1" x14ac:dyDescent="0.25">
      <c r="B958" s="5" t="s">
        <v>49</v>
      </c>
      <c r="C958" s="5" t="s">
        <v>50</v>
      </c>
      <c r="D958" s="5" t="s">
        <v>11</v>
      </c>
      <c r="E958" s="6">
        <v>45198</v>
      </c>
      <c r="F958" s="11" t="s">
        <v>91</v>
      </c>
      <c r="G958" s="11" t="s">
        <v>36</v>
      </c>
      <c r="H958" s="35" t="s">
        <v>1789</v>
      </c>
      <c r="I958" s="11" t="s">
        <v>1025</v>
      </c>
      <c r="J958" s="5"/>
      <c r="K958" s="22">
        <f>YEAR(Tabla1[[#This Row],[Fecha]])</f>
        <v>2023</v>
      </c>
      <c r="L958" s="22">
        <f>MONTH(Tabla1[[#This Row],[Fecha]])</f>
        <v>9</v>
      </c>
    </row>
    <row r="959" spans="2:12" hidden="1" x14ac:dyDescent="0.25">
      <c r="B959" s="5" t="s">
        <v>49</v>
      </c>
      <c r="C959" s="5" t="s">
        <v>115</v>
      </c>
      <c r="D959" s="5" t="s">
        <v>11</v>
      </c>
      <c r="E959" s="6">
        <v>45198</v>
      </c>
      <c r="F959" s="11" t="s">
        <v>91</v>
      </c>
      <c r="G959" s="11" t="s">
        <v>36</v>
      </c>
      <c r="H959" s="35" t="s">
        <v>1789</v>
      </c>
      <c r="I959" s="11" t="s">
        <v>1025</v>
      </c>
      <c r="J959" s="5"/>
      <c r="K959" s="22">
        <f>YEAR(Tabla1[[#This Row],[Fecha]])</f>
        <v>2023</v>
      </c>
      <c r="L959" s="22">
        <f>MONTH(Tabla1[[#This Row],[Fecha]])</f>
        <v>9</v>
      </c>
    </row>
    <row r="960" spans="2:12" hidden="1" x14ac:dyDescent="0.25">
      <c r="B960" s="5" t="s">
        <v>49</v>
      </c>
      <c r="C960" s="5" t="s">
        <v>117</v>
      </c>
      <c r="D960" s="5" t="s">
        <v>11</v>
      </c>
      <c r="E960" s="6">
        <v>45198</v>
      </c>
      <c r="F960" s="11" t="s">
        <v>91</v>
      </c>
      <c r="G960" s="11" t="s">
        <v>36</v>
      </c>
      <c r="H960" s="35" t="s">
        <v>1789</v>
      </c>
      <c r="I960" s="11" t="s">
        <v>1025</v>
      </c>
      <c r="J960" s="5"/>
      <c r="K960" s="22">
        <f>YEAR(Tabla1[[#This Row],[Fecha]])</f>
        <v>2023</v>
      </c>
      <c r="L960" s="22">
        <f>MONTH(Tabla1[[#This Row],[Fecha]])</f>
        <v>9</v>
      </c>
    </row>
    <row r="961" spans="2:12" hidden="1" x14ac:dyDescent="0.25">
      <c r="B961" s="5" t="s">
        <v>49</v>
      </c>
      <c r="C961" s="5" t="s">
        <v>123</v>
      </c>
      <c r="D961" s="5" t="s">
        <v>11</v>
      </c>
      <c r="E961" s="6">
        <v>45198</v>
      </c>
      <c r="F961" s="11" t="s">
        <v>91</v>
      </c>
      <c r="G961" s="11" t="s">
        <v>36</v>
      </c>
      <c r="H961" s="35" t="s">
        <v>1789</v>
      </c>
      <c r="I961" s="11" t="s">
        <v>1025</v>
      </c>
      <c r="J961" s="5"/>
      <c r="K961" s="22">
        <f>YEAR(Tabla1[[#This Row],[Fecha]])</f>
        <v>2023</v>
      </c>
      <c r="L961" s="22">
        <f>MONTH(Tabla1[[#This Row],[Fecha]])</f>
        <v>9</v>
      </c>
    </row>
    <row r="962" spans="2:12" hidden="1" x14ac:dyDescent="0.25">
      <c r="B962" s="5" t="s">
        <v>49</v>
      </c>
      <c r="C962" s="5" t="s">
        <v>57</v>
      </c>
      <c r="D962" s="5" t="s">
        <v>11</v>
      </c>
      <c r="E962" s="6">
        <v>45198</v>
      </c>
      <c r="F962" s="11" t="s">
        <v>91</v>
      </c>
      <c r="G962" s="11" t="s">
        <v>36</v>
      </c>
      <c r="H962" s="35" t="s">
        <v>1789</v>
      </c>
      <c r="I962" s="11" t="s">
        <v>1025</v>
      </c>
      <c r="J962" s="5"/>
      <c r="K962" s="22">
        <f>YEAR(Tabla1[[#This Row],[Fecha]])</f>
        <v>2023</v>
      </c>
      <c r="L962" s="22">
        <f>MONTH(Tabla1[[#This Row],[Fecha]])</f>
        <v>9</v>
      </c>
    </row>
    <row r="963" spans="2:12" hidden="1" x14ac:dyDescent="0.25">
      <c r="B963" s="5" t="s">
        <v>49</v>
      </c>
      <c r="C963" s="5" t="s">
        <v>56</v>
      </c>
      <c r="D963" s="5" t="s">
        <v>11</v>
      </c>
      <c r="E963" s="6">
        <v>45198</v>
      </c>
      <c r="F963" s="11" t="s">
        <v>91</v>
      </c>
      <c r="G963" s="11" t="s">
        <v>36</v>
      </c>
      <c r="H963" s="35" t="s">
        <v>1789</v>
      </c>
      <c r="I963" s="11" t="s">
        <v>1025</v>
      </c>
      <c r="J963" s="5"/>
      <c r="K963" s="22">
        <f>YEAR(Tabla1[[#This Row],[Fecha]])</f>
        <v>2023</v>
      </c>
      <c r="L963" s="22">
        <f>MONTH(Tabla1[[#This Row],[Fecha]])</f>
        <v>9</v>
      </c>
    </row>
    <row r="964" spans="2:12" hidden="1" x14ac:dyDescent="0.25">
      <c r="B964" s="5" t="s">
        <v>49</v>
      </c>
      <c r="C964" s="5" t="s">
        <v>176</v>
      </c>
      <c r="D964" s="5" t="s">
        <v>11</v>
      </c>
      <c r="E964" s="6">
        <v>45198</v>
      </c>
      <c r="F964" s="11" t="s">
        <v>91</v>
      </c>
      <c r="G964" s="11" t="s">
        <v>36</v>
      </c>
      <c r="H964" s="35" t="s">
        <v>1789</v>
      </c>
      <c r="I964" s="11" t="s">
        <v>1025</v>
      </c>
      <c r="J964" s="5"/>
      <c r="K964" s="22">
        <f>YEAR(Tabla1[[#This Row],[Fecha]])</f>
        <v>2023</v>
      </c>
      <c r="L964" s="22">
        <f>MONTH(Tabla1[[#This Row],[Fecha]])</f>
        <v>9</v>
      </c>
    </row>
    <row r="965" spans="2:12" hidden="1" x14ac:dyDescent="0.25">
      <c r="B965" s="5" t="s">
        <v>49</v>
      </c>
      <c r="C965" s="5" t="s">
        <v>53</v>
      </c>
      <c r="D965" s="5" t="s">
        <v>11</v>
      </c>
      <c r="E965" s="6">
        <v>45198</v>
      </c>
      <c r="F965" s="11" t="s">
        <v>91</v>
      </c>
      <c r="G965" s="11" t="s">
        <v>36</v>
      </c>
      <c r="H965" s="35" t="s">
        <v>1789</v>
      </c>
      <c r="I965" s="11" t="s">
        <v>1025</v>
      </c>
      <c r="J965" s="5"/>
      <c r="K965" s="22">
        <f>YEAR(Tabla1[[#This Row],[Fecha]])</f>
        <v>2023</v>
      </c>
      <c r="L965" s="22">
        <f>MONTH(Tabla1[[#This Row],[Fecha]])</f>
        <v>9</v>
      </c>
    </row>
    <row r="966" spans="2:12" hidden="1" x14ac:dyDescent="0.25">
      <c r="B966" s="5" t="s">
        <v>248</v>
      </c>
      <c r="C966" s="5" t="s">
        <v>249</v>
      </c>
      <c r="D966" s="5" t="s">
        <v>11</v>
      </c>
      <c r="E966" s="6">
        <v>45198</v>
      </c>
      <c r="F966" s="4" t="s">
        <v>15</v>
      </c>
      <c r="G966" s="4" t="s">
        <v>24</v>
      </c>
      <c r="H966" s="4" t="s">
        <v>83</v>
      </c>
      <c r="I966" s="5" t="s">
        <v>1000</v>
      </c>
      <c r="J966" s="5"/>
      <c r="K966" s="22">
        <f>YEAR(Tabla1[[#This Row],[Fecha]])</f>
        <v>2023</v>
      </c>
      <c r="L966" s="22">
        <f>MONTH(Tabla1[[#This Row],[Fecha]])</f>
        <v>9</v>
      </c>
    </row>
    <row r="967" spans="2:12" hidden="1" x14ac:dyDescent="0.25">
      <c r="B967" s="5" t="s">
        <v>190</v>
      </c>
      <c r="C967" s="5" t="s">
        <v>287</v>
      </c>
      <c r="D967" s="5" t="s">
        <v>131</v>
      </c>
      <c r="E967" s="6">
        <v>45195</v>
      </c>
      <c r="F967" s="4" t="s">
        <v>15</v>
      </c>
      <c r="G967" s="4" t="s">
        <v>24</v>
      </c>
      <c r="H967" s="4" t="s">
        <v>1784</v>
      </c>
      <c r="I967" s="5" t="s">
        <v>1001</v>
      </c>
      <c r="J967" s="5"/>
      <c r="K967" s="22">
        <f>YEAR(Tabla1[[#This Row],[Fecha]])</f>
        <v>2023</v>
      </c>
      <c r="L967" s="22">
        <f>MONTH(Tabla1[[#This Row],[Fecha]])</f>
        <v>9</v>
      </c>
    </row>
    <row r="968" spans="2:12" hidden="1" x14ac:dyDescent="0.25">
      <c r="B968" s="5" t="s">
        <v>190</v>
      </c>
      <c r="C968" s="5" t="s">
        <v>287</v>
      </c>
      <c r="D968" s="5" t="s">
        <v>131</v>
      </c>
      <c r="E968" s="6">
        <v>45195</v>
      </c>
      <c r="F968" s="4" t="s">
        <v>15</v>
      </c>
      <c r="G968" s="4" t="s">
        <v>47</v>
      </c>
      <c r="H968" s="4" t="s">
        <v>121</v>
      </c>
      <c r="I968" s="5" t="s">
        <v>1002</v>
      </c>
      <c r="J968" s="5"/>
      <c r="K968" s="22">
        <f>YEAR(Tabla1[[#This Row],[Fecha]])</f>
        <v>2023</v>
      </c>
      <c r="L968" s="22">
        <f>MONTH(Tabla1[[#This Row],[Fecha]])</f>
        <v>9</v>
      </c>
    </row>
    <row r="969" spans="2:12" hidden="1" x14ac:dyDescent="0.25">
      <c r="B969" s="5" t="s">
        <v>309</v>
      </c>
      <c r="C969" s="5" t="s">
        <v>320</v>
      </c>
      <c r="D969" s="5" t="s">
        <v>11</v>
      </c>
      <c r="E969" s="6">
        <v>45195</v>
      </c>
      <c r="F969" s="4" t="s">
        <v>15</v>
      </c>
      <c r="G969" s="4" t="s">
        <v>24</v>
      </c>
      <c r="H969" s="4" t="s">
        <v>12</v>
      </c>
      <c r="I969" s="5" t="s">
        <v>1005</v>
      </c>
      <c r="J969" s="5"/>
      <c r="K969" s="22">
        <f>YEAR(Tabla1[[#This Row],[Fecha]])</f>
        <v>2023</v>
      </c>
      <c r="L969" s="22">
        <f>MONTH(Tabla1[[#This Row],[Fecha]])</f>
        <v>9</v>
      </c>
    </row>
    <row r="970" spans="2:12" hidden="1" x14ac:dyDescent="0.25">
      <c r="B970" s="5" t="s">
        <v>248</v>
      </c>
      <c r="C970" s="5" t="s">
        <v>961</v>
      </c>
      <c r="D970" s="5" t="s">
        <v>11</v>
      </c>
      <c r="E970" s="6">
        <v>45195</v>
      </c>
      <c r="F970" s="4" t="s">
        <v>15</v>
      </c>
      <c r="G970" s="4" t="s">
        <v>16</v>
      </c>
      <c r="H970" s="4" t="s">
        <v>74</v>
      </c>
      <c r="I970" s="5" t="s">
        <v>962</v>
      </c>
      <c r="J970" s="5"/>
      <c r="K970" s="22">
        <f>YEAR(Tabla1[[#This Row],[Fecha]])</f>
        <v>2023</v>
      </c>
      <c r="L970" s="22">
        <f>MONTH(Tabla1[[#This Row],[Fecha]])</f>
        <v>9</v>
      </c>
    </row>
    <row r="971" spans="2:12" hidden="1" x14ac:dyDescent="0.25">
      <c r="B971" s="5" t="s">
        <v>190</v>
      </c>
      <c r="C971" s="5" t="s">
        <v>287</v>
      </c>
      <c r="D971" s="5" t="s">
        <v>131</v>
      </c>
      <c r="E971" s="6">
        <v>45194</v>
      </c>
      <c r="F971" s="4" t="s">
        <v>15</v>
      </c>
      <c r="G971" s="4" t="s">
        <v>24</v>
      </c>
      <c r="H971" s="4" t="s">
        <v>83</v>
      </c>
      <c r="I971" s="5" t="s">
        <v>1003</v>
      </c>
      <c r="J971" s="5"/>
      <c r="K971" s="22">
        <f>YEAR(Tabla1[[#This Row],[Fecha]])</f>
        <v>2023</v>
      </c>
      <c r="L971" s="22">
        <f>MONTH(Tabla1[[#This Row],[Fecha]])</f>
        <v>9</v>
      </c>
    </row>
    <row r="972" spans="2:12" hidden="1" x14ac:dyDescent="0.25">
      <c r="B972" s="5" t="s">
        <v>106</v>
      </c>
      <c r="C972" s="5" t="s">
        <v>110</v>
      </c>
      <c r="D972" s="5" t="s">
        <v>11</v>
      </c>
      <c r="E972" s="6">
        <v>45194</v>
      </c>
      <c r="F972" s="4" t="s">
        <v>15</v>
      </c>
      <c r="G972" s="4" t="s">
        <v>16</v>
      </c>
      <c r="H972" s="4" t="s">
        <v>41</v>
      </c>
      <c r="I972" s="5" t="s">
        <v>1006</v>
      </c>
      <c r="J972" s="5"/>
      <c r="K972" s="22">
        <f>YEAR(Tabla1[[#This Row],[Fecha]])</f>
        <v>2023</v>
      </c>
      <c r="L972" s="22">
        <f>MONTH(Tabla1[[#This Row],[Fecha]])</f>
        <v>9</v>
      </c>
    </row>
    <row r="973" spans="2:12" hidden="1" x14ac:dyDescent="0.25">
      <c r="B973" s="5" t="s">
        <v>106</v>
      </c>
      <c r="C973" s="5" t="s">
        <v>110</v>
      </c>
      <c r="D973" s="5" t="s">
        <v>11</v>
      </c>
      <c r="E973" s="6">
        <v>45194</v>
      </c>
      <c r="F973" s="4" t="s">
        <v>15</v>
      </c>
      <c r="G973" s="4" t="s">
        <v>24</v>
      </c>
      <c r="H973" s="4" t="s">
        <v>12</v>
      </c>
      <c r="I973" s="5" t="s">
        <v>1007</v>
      </c>
      <c r="J973" s="5"/>
      <c r="K973" s="22">
        <f>YEAR(Tabla1[[#This Row],[Fecha]])</f>
        <v>2023</v>
      </c>
      <c r="L973" s="22">
        <f>MONTH(Tabla1[[#This Row],[Fecha]])</f>
        <v>9</v>
      </c>
    </row>
    <row r="974" spans="2:12" hidden="1" x14ac:dyDescent="0.25">
      <c r="B974" s="5" t="s">
        <v>309</v>
      </c>
      <c r="C974" s="5" t="s">
        <v>321</v>
      </c>
      <c r="D974" s="5" t="s">
        <v>11</v>
      </c>
      <c r="E974" s="6">
        <v>45190</v>
      </c>
      <c r="F974" s="4" t="s">
        <v>15</v>
      </c>
      <c r="G974" s="4" t="s">
        <v>16</v>
      </c>
      <c r="H974" s="4" t="s">
        <v>17</v>
      </c>
      <c r="I974" s="5" t="s">
        <v>1008</v>
      </c>
      <c r="J974" s="5"/>
      <c r="K974" s="22">
        <f>YEAR(Tabla1[[#This Row],[Fecha]])</f>
        <v>2023</v>
      </c>
      <c r="L974" s="22">
        <f>MONTH(Tabla1[[#This Row],[Fecha]])</f>
        <v>9</v>
      </c>
    </row>
    <row r="975" spans="2:12" hidden="1" x14ac:dyDescent="0.25">
      <c r="B975" s="5" t="s">
        <v>32</v>
      </c>
      <c r="C975" s="5" t="s">
        <v>700</v>
      </c>
      <c r="D975" s="5" t="s">
        <v>11</v>
      </c>
      <c r="E975" s="6">
        <v>45189</v>
      </c>
      <c r="F975" s="4" t="s">
        <v>15</v>
      </c>
      <c r="G975" s="4" t="s">
        <v>36</v>
      </c>
      <c r="H975" s="4" t="s">
        <v>41</v>
      </c>
      <c r="I975" s="5" t="s">
        <v>1004</v>
      </c>
      <c r="J975" s="5"/>
      <c r="K975" s="22">
        <f>YEAR(Tabla1[[#This Row],[Fecha]])</f>
        <v>2023</v>
      </c>
      <c r="L975" s="22">
        <f>MONTH(Tabla1[[#This Row],[Fecha]])</f>
        <v>9</v>
      </c>
    </row>
    <row r="976" spans="2:12" hidden="1" x14ac:dyDescent="0.25">
      <c r="B976" s="5" t="s">
        <v>32</v>
      </c>
      <c r="C976" s="5" t="s">
        <v>740</v>
      </c>
      <c r="D976" s="5" t="s">
        <v>11</v>
      </c>
      <c r="E976" s="6">
        <v>45182</v>
      </c>
      <c r="F976" s="4" t="s">
        <v>15</v>
      </c>
      <c r="G976" s="4" t="s">
        <v>47</v>
      </c>
      <c r="H976" s="4" t="s">
        <v>121</v>
      </c>
      <c r="I976" s="5" t="s">
        <v>1009</v>
      </c>
      <c r="J976" s="5"/>
      <c r="K976" s="22">
        <f>YEAR(Tabla1[[#This Row],[Fecha]])</f>
        <v>2023</v>
      </c>
      <c r="L976" s="22">
        <f>MONTH(Tabla1[[#This Row],[Fecha]])</f>
        <v>9</v>
      </c>
    </row>
    <row r="977" spans="2:12" hidden="1" x14ac:dyDescent="0.25">
      <c r="B977" s="5" t="s">
        <v>32</v>
      </c>
      <c r="C977" s="5" t="s">
        <v>541</v>
      </c>
      <c r="D977" s="5" t="s">
        <v>11</v>
      </c>
      <c r="E977" s="6">
        <v>45182</v>
      </c>
      <c r="F977" s="4" t="s">
        <v>15</v>
      </c>
      <c r="G977" s="4" t="s">
        <v>24</v>
      </c>
      <c r="H977" s="4" t="s">
        <v>83</v>
      </c>
      <c r="I977" s="5" t="s">
        <v>1010</v>
      </c>
      <c r="J977" s="5"/>
      <c r="K977" s="22">
        <f>YEAR(Tabla1[[#This Row],[Fecha]])</f>
        <v>2023</v>
      </c>
      <c r="L977" s="22">
        <f>MONTH(Tabla1[[#This Row],[Fecha]])</f>
        <v>9</v>
      </c>
    </row>
    <row r="978" spans="2:12" hidden="1" x14ac:dyDescent="0.25">
      <c r="B978" s="5" t="s">
        <v>309</v>
      </c>
      <c r="C978" s="5" t="s">
        <v>313</v>
      </c>
      <c r="D978" s="5" t="s">
        <v>11</v>
      </c>
      <c r="E978" s="6">
        <v>45182</v>
      </c>
      <c r="F978" s="4" t="s">
        <v>15</v>
      </c>
      <c r="G978" s="4" t="s">
        <v>16</v>
      </c>
      <c r="H978" s="4" t="s">
        <v>41</v>
      </c>
      <c r="I978" s="5" t="s">
        <v>1017</v>
      </c>
      <c r="J978" s="5"/>
      <c r="K978" s="22">
        <f>YEAR(Tabla1[[#This Row],[Fecha]])</f>
        <v>2023</v>
      </c>
      <c r="L978" s="22">
        <f>MONTH(Tabla1[[#This Row],[Fecha]])</f>
        <v>9</v>
      </c>
    </row>
    <row r="979" spans="2:12" hidden="1" x14ac:dyDescent="0.25">
      <c r="B979" s="5" t="s">
        <v>32</v>
      </c>
      <c r="C979" s="5" t="s">
        <v>1011</v>
      </c>
      <c r="D979" s="5" t="s">
        <v>11</v>
      </c>
      <c r="E979" s="6">
        <v>45181</v>
      </c>
      <c r="F979" s="4" t="s">
        <v>15</v>
      </c>
      <c r="G979" s="4" t="s">
        <v>24</v>
      </c>
      <c r="H979" s="4" t="s">
        <v>83</v>
      </c>
      <c r="I979" s="5" t="s">
        <v>1012</v>
      </c>
      <c r="J979" s="5"/>
      <c r="K979" s="22">
        <f>YEAR(Tabla1[[#This Row],[Fecha]])</f>
        <v>2023</v>
      </c>
      <c r="L979" s="22">
        <f>MONTH(Tabla1[[#This Row],[Fecha]])</f>
        <v>9</v>
      </c>
    </row>
    <row r="980" spans="2:12" hidden="1" x14ac:dyDescent="0.25">
      <c r="B980" s="5" t="s">
        <v>9</v>
      </c>
      <c r="C980" s="5" t="s">
        <v>80</v>
      </c>
      <c r="D980" s="5" t="s">
        <v>11</v>
      </c>
      <c r="E980" s="6">
        <v>45181</v>
      </c>
      <c r="F980" s="4" t="s">
        <v>91</v>
      </c>
      <c r="G980" s="4" t="s">
        <v>24</v>
      </c>
      <c r="H980" s="8" t="s">
        <v>118</v>
      </c>
      <c r="I980" s="5" t="s">
        <v>1013</v>
      </c>
      <c r="J980" s="5"/>
      <c r="K980" s="15">
        <f>YEAR(Tabla1[[#This Row],[Fecha]])</f>
        <v>2023</v>
      </c>
      <c r="L980" s="15">
        <f>MONTH(Tabla1[[#This Row],[Fecha]])</f>
        <v>9</v>
      </c>
    </row>
    <row r="981" spans="2:12" hidden="1" x14ac:dyDescent="0.25">
      <c r="B981" s="5" t="s">
        <v>309</v>
      </c>
      <c r="C981" s="5" t="s">
        <v>1014</v>
      </c>
      <c r="D981" s="5" t="s">
        <v>11</v>
      </c>
      <c r="E981" s="6">
        <v>45180</v>
      </c>
      <c r="F981" s="4" t="s">
        <v>15</v>
      </c>
      <c r="G981" s="4" t="s">
        <v>47</v>
      </c>
      <c r="H981" s="8" t="s">
        <v>333</v>
      </c>
      <c r="I981" s="5" t="s">
        <v>1015</v>
      </c>
      <c r="J981" s="5"/>
      <c r="K981" s="15">
        <f>YEAR(Tabla1[[#This Row],[Fecha]])</f>
        <v>2023</v>
      </c>
      <c r="L981" s="15">
        <f>MONTH(Tabla1[[#This Row],[Fecha]])</f>
        <v>9</v>
      </c>
    </row>
    <row r="982" spans="2:12" hidden="1" x14ac:dyDescent="0.25">
      <c r="B982" s="5" t="s">
        <v>309</v>
      </c>
      <c r="C982" s="5" t="s">
        <v>313</v>
      </c>
      <c r="D982" s="5" t="s">
        <v>11</v>
      </c>
      <c r="E982" s="6">
        <v>45180</v>
      </c>
      <c r="F982" s="4" t="s">
        <v>15</v>
      </c>
      <c r="G982" s="4" t="s">
        <v>24</v>
      </c>
      <c r="H982" s="4" t="s">
        <v>12</v>
      </c>
      <c r="I982" s="5" t="s">
        <v>1016</v>
      </c>
      <c r="J982" s="5"/>
      <c r="K982" s="22">
        <f>YEAR(Tabla1[[#This Row],[Fecha]])</f>
        <v>2023</v>
      </c>
      <c r="L982" s="22">
        <f>MONTH(Tabla1[[#This Row],[Fecha]])</f>
        <v>9</v>
      </c>
    </row>
    <row r="983" spans="2:12" hidden="1" x14ac:dyDescent="0.25">
      <c r="B983" s="5" t="s">
        <v>106</v>
      </c>
      <c r="C983" s="5" t="s">
        <v>110</v>
      </c>
      <c r="D983" s="5" t="s">
        <v>11</v>
      </c>
      <c r="E983" s="6">
        <v>45177</v>
      </c>
      <c r="F983" s="11" t="s">
        <v>15</v>
      </c>
      <c r="G983" s="11" t="s">
        <v>36</v>
      </c>
      <c r="H983" s="11" t="s">
        <v>145</v>
      </c>
      <c r="I983" s="11" t="s">
        <v>1018</v>
      </c>
      <c r="J983" s="5"/>
      <c r="K983" s="22">
        <f>YEAR(Tabla1[[#This Row],[Fecha]])</f>
        <v>2023</v>
      </c>
      <c r="L983" s="22">
        <f>MONTH(Tabla1[[#This Row],[Fecha]])</f>
        <v>9</v>
      </c>
    </row>
    <row r="984" spans="2:12" hidden="1" x14ac:dyDescent="0.25">
      <c r="B984" s="5" t="s">
        <v>106</v>
      </c>
      <c r="C984" s="5" t="s">
        <v>110</v>
      </c>
      <c r="D984" s="5" t="s">
        <v>11</v>
      </c>
      <c r="E984" s="6">
        <v>45175</v>
      </c>
      <c r="F984" s="4" t="s">
        <v>15</v>
      </c>
      <c r="G984" s="4" t="s">
        <v>47</v>
      </c>
      <c r="H984" s="4" t="s">
        <v>333</v>
      </c>
      <c r="I984" s="5" t="s">
        <v>1019</v>
      </c>
      <c r="J984" s="5"/>
      <c r="K984" s="22">
        <f>YEAR(Tabla1[[#This Row],[Fecha]])</f>
        <v>2023</v>
      </c>
      <c r="L984" s="22">
        <f>MONTH(Tabla1[[#This Row],[Fecha]])</f>
        <v>9</v>
      </c>
    </row>
    <row r="985" spans="2:12" hidden="1" x14ac:dyDescent="0.25">
      <c r="B985" s="5" t="s">
        <v>309</v>
      </c>
      <c r="C985" s="5" t="s">
        <v>378</v>
      </c>
      <c r="D985" s="5" t="s">
        <v>11</v>
      </c>
      <c r="E985" s="6">
        <v>45175</v>
      </c>
      <c r="F985" s="11" t="s">
        <v>15</v>
      </c>
      <c r="G985" s="11" t="s">
        <v>36</v>
      </c>
      <c r="H985" s="11" t="s">
        <v>37</v>
      </c>
      <c r="I985" s="11" t="s">
        <v>1021</v>
      </c>
      <c r="J985" s="5"/>
      <c r="K985" s="22">
        <f>YEAR(Tabla1[[#This Row],[Fecha]])</f>
        <v>2023</v>
      </c>
      <c r="L985" s="22">
        <f>MONTH(Tabla1[[#This Row],[Fecha]])</f>
        <v>9</v>
      </c>
    </row>
    <row r="986" spans="2:12" hidden="1" x14ac:dyDescent="0.25">
      <c r="B986" s="5" t="s">
        <v>9</v>
      </c>
      <c r="C986" s="5" t="s">
        <v>87</v>
      </c>
      <c r="D986" s="5" t="s">
        <v>11</v>
      </c>
      <c r="E986" s="6">
        <v>45170</v>
      </c>
      <c r="F986" s="4" t="s">
        <v>15</v>
      </c>
      <c r="G986" s="4" t="s">
        <v>16</v>
      </c>
      <c r="H986" s="4" t="s">
        <v>63</v>
      </c>
      <c r="I986" s="5" t="s">
        <v>1026</v>
      </c>
      <c r="J986" s="5"/>
      <c r="K986" s="22">
        <f>YEAR(Tabla1[[#This Row],[Fecha]])</f>
        <v>2023</v>
      </c>
      <c r="L986" s="22">
        <f>MONTH(Tabla1[[#This Row],[Fecha]])</f>
        <v>9</v>
      </c>
    </row>
    <row r="987" spans="2:12" hidden="1" x14ac:dyDescent="0.25">
      <c r="B987" s="5" t="s">
        <v>9</v>
      </c>
      <c r="C987" s="5" t="s">
        <v>93</v>
      </c>
      <c r="D987" s="5" t="s">
        <v>11</v>
      </c>
      <c r="E987" s="6">
        <v>45170</v>
      </c>
      <c r="F987" s="11" t="s">
        <v>15</v>
      </c>
      <c r="G987" s="11" t="s">
        <v>16</v>
      </c>
      <c r="H987" s="11" t="s">
        <v>34</v>
      </c>
      <c r="I987" s="11" t="s">
        <v>1027</v>
      </c>
      <c r="J987" s="5"/>
      <c r="K987" s="22">
        <f>YEAR(Tabla1[[#This Row],[Fecha]])</f>
        <v>2023</v>
      </c>
      <c r="L987" s="22">
        <f>MONTH(Tabla1[[#This Row],[Fecha]])</f>
        <v>9</v>
      </c>
    </row>
    <row r="988" spans="2:12" hidden="1" x14ac:dyDescent="0.25">
      <c r="B988" s="5" t="s">
        <v>309</v>
      </c>
      <c r="C988" s="5" t="s">
        <v>320</v>
      </c>
      <c r="D988" s="5" t="s">
        <v>131</v>
      </c>
      <c r="E988" s="6">
        <v>45167</v>
      </c>
      <c r="F988" s="4" t="s">
        <v>15</v>
      </c>
      <c r="G988" s="4" t="s">
        <v>16</v>
      </c>
      <c r="H988" s="4" t="s">
        <v>34</v>
      </c>
      <c r="I988" s="5" t="s">
        <v>1028</v>
      </c>
      <c r="J988" s="5"/>
      <c r="K988" s="22">
        <f>YEAR(Tabla1[[#This Row],[Fecha]])</f>
        <v>2023</v>
      </c>
      <c r="L988" s="22">
        <f>MONTH(Tabla1[[#This Row],[Fecha]])</f>
        <v>8</v>
      </c>
    </row>
    <row r="989" spans="2:12" hidden="1" x14ac:dyDescent="0.25">
      <c r="B989" s="5" t="s">
        <v>309</v>
      </c>
      <c r="C989" s="5" t="s">
        <v>321</v>
      </c>
      <c r="D989" s="5" t="s">
        <v>131</v>
      </c>
      <c r="E989" s="6">
        <v>45167</v>
      </c>
      <c r="F989" s="4" t="s">
        <v>15</v>
      </c>
      <c r="G989" s="4" t="s">
        <v>16</v>
      </c>
      <c r="H989" s="4" t="s">
        <v>34</v>
      </c>
      <c r="I989" s="5" t="s">
        <v>1029</v>
      </c>
      <c r="J989" s="5"/>
      <c r="K989" s="22">
        <f>YEAR(Tabla1[[#This Row],[Fecha]])</f>
        <v>2023</v>
      </c>
      <c r="L989" s="22">
        <f>MONTH(Tabla1[[#This Row],[Fecha]])</f>
        <v>8</v>
      </c>
    </row>
    <row r="990" spans="2:12" hidden="1" x14ac:dyDescent="0.25">
      <c r="B990" s="5" t="s">
        <v>32</v>
      </c>
      <c r="C990" s="5" t="s">
        <v>33</v>
      </c>
      <c r="D990" s="5" t="s">
        <v>11</v>
      </c>
      <c r="E990" s="6">
        <v>45163</v>
      </c>
      <c r="F990" s="4" t="s">
        <v>15</v>
      </c>
      <c r="G990" s="4" t="s">
        <v>36</v>
      </c>
      <c r="H990" s="4" t="s">
        <v>37</v>
      </c>
      <c r="I990" s="5" t="s">
        <v>1030</v>
      </c>
      <c r="J990" s="5"/>
      <c r="K990" s="22">
        <f>YEAR(Tabla1[[#This Row],[Fecha]])</f>
        <v>2023</v>
      </c>
      <c r="L990" s="22">
        <f>MONTH(Tabla1[[#This Row],[Fecha]])</f>
        <v>8</v>
      </c>
    </row>
    <row r="991" spans="2:12" hidden="1" x14ac:dyDescent="0.25">
      <c r="B991" s="5" t="s">
        <v>32</v>
      </c>
      <c r="C991" s="5" t="s">
        <v>1031</v>
      </c>
      <c r="D991" s="5" t="s">
        <v>11</v>
      </c>
      <c r="E991" s="6">
        <v>45163</v>
      </c>
      <c r="F991" s="4" t="s">
        <v>91</v>
      </c>
      <c r="G991" s="4" t="s">
        <v>24</v>
      </c>
      <c r="H991" s="4" t="s">
        <v>1790</v>
      </c>
      <c r="I991" s="5" t="s">
        <v>1032</v>
      </c>
      <c r="J991" s="5"/>
      <c r="K991" s="22">
        <f>YEAR(Tabla1[[#This Row],[Fecha]])</f>
        <v>2023</v>
      </c>
      <c r="L991" s="22">
        <f>MONTH(Tabla1[[#This Row],[Fecha]])</f>
        <v>8</v>
      </c>
    </row>
    <row r="992" spans="2:12" hidden="1" x14ac:dyDescent="0.25">
      <c r="B992" s="5" t="s">
        <v>309</v>
      </c>
      <c r="C992" s="5" t="s">
        <v>728</v>
      </c>
      <c r="D992" s="5" t="s">
        <v>11</v>
      </c>
      <c r="E992" s="6">
        <v>45162</v>
      </c>
      <c r="F992" s="11" t="s">
        <v>15</v>
      </c>
      <c r="G992" s="11" t="s">
        <v>47</v>
      </c>
      <c r="H992" s="11" t="s">
        <v>41</v>
      </c>
      <c r="I992" s="11" t="s">
        <v>1033</v>
      </c>
      <c r="J992" s="5"/>
      <c r="K992" s="22">
        <f>YEAR(Tabla1[[#This Row],[Fecha]])</f>
        <v>2023</v>
      </c>
      <c r="L992" s="22">
        <f>MONTH(Tabla1[[#This Row],[Fecha]])</f>
        <v>8</v>
      </c>
    </row>
    <row r="993" spans="2:12" hidden="1" x14ac:dyDescent="0.25">
      <c r="B993" s="5" t="s">
        <v>9</v>
      </c>
      <c r="C993" s="5" t="s">
        <v>93</v>
      </c>
      <c r="D993" s="5" t="s">
        <v>11</v>
      </c>
      <c r="E993" s="6">
        <v>45161</v>
      </c>
      <c r="F993" s="11" t="s">
        <v>15</v>
      </c>
      <c r="G993" s="11" t="s">
        <v>16</v>
      </c>
      <c r="H993" s="11" t="s">
        <v>34</v>
      </c>
      <c r="I993" s="11" t="s">
        <v>1034</v>
      </c>
      <c r="J993" s="5"/>
      <c r="K993" s="22">
        <f>YEAR(Tabla1[[#This Row],[Fecha]])</f>
        <v>2023</v>
      </c>
      <c r="L993" s="22">
        <f>MONTH(Tabla1[[#This Row],[Fecha]])</f>
        <v>8</v>
      </c>
    </row>
    <row r="994" spans="2:12" hidden="1" x14ac:dyDescent="0.25">
      <c r="B994" s="5" t="s">
        <v>32</v>
      </c>
      <c r="C994" s="5" t="s">
        <v>541</v>
      </c>
      <c r="D994" s="5" t="s">
        <v>11</v>
      </c>
      <c r="E994" s="6">
        <v>45159</v>
      </c>
      <c r="F994" s="4" t="s">
        <v>91</v>
      </c>
      <c r="G994" s="32" t="s">
        <v>24</v>
      </c>
      <c r="H994" s="32" t="s">
        <v>83</v>
      </c>
      <c r="I994" s="5" t="s">
        <v>1036</v>
      </c>
      <c r="J994" s="5"/>
      <c r="K994" s="15">
        <f>YEAR(Tabla1[[#This Row],[Fecha]])</f>
        <v>2023</v>
      </c>
      <c r="L994" s="15">
        <f>MONTH(Tabla1[[#This Row],[Fecha]])</f>
        <v>8</v>
      </c>
    </row>
    <row r="995" spans="2:12" hidden="1" x14ac:dyDescent="0.25">
      <c r="B995" s="5" t="s">
        <v>32</v>
      </c>
      <c r="C995" s="5" t="s">
        <v>1037</v>
      </c>
      <c r="D995" s="5" t="s">
        <v>11</v>
      </c>
      <c r="E995" s="6">
        <v>45159</v>
      </c>
      <c r="F995" s="4" t="s">
        <v>91</v>
      </c>
      <c r="G995" s="4" t="s">
        <v>24</v>
      </c>
      <c r="H995" s="8" t="s">
        <v>118</v>
      </c>
      <c r="I995" s="5" t="s">
        <v>1038</v>
      </c>
      <c r="J995" s="5"/>
      <c r="K995" s="15">
        <f>YEAR(Tabla1[[#This Row],[Fecha]])</f>
        <v>2023</v>
      </c>
      <c r="L995" s="15">
        <f>MONTH(Tabla1[[#This Row],[Fecha]])</f>
        <v>8</v>
      </c>
    </row>
    <row r="996" spans="2:12" hidden="1" x14ac:dyDescent="0.25">
      <c r="B996" s="5" t="s">
        <v>32</v>
      </c>
      <c r="C996" s="5" t="s">
        <v>1011</v>
      </c>
      <c r="D996" s="5" t="s">
        <v>11</v>
      </c>
      <c r="E996" s="6">
        <v>45159</v>
      </c>
      <c r="F996" s="4" t="s">
        <v>91</v>
      </c>
      <c r="G996" s="4" t="s">
        <v>36</v>
      </c>
      <c r="H996" s="8" t="s">
        <v>37</v>
      </c>
      <c r="I996" s="5" t="s">
        <v>1039</v>
      </c>
      <c r="J996" s="5"/>
      <c r="K996" s="15">
        <f>YEAR(Tabla1[[#This Row],[Fecha]])</f>
        <v>2023</v>
      </c>
      <c r="L996" s="15">
        <f>MONTH(Tabla1[[#This Row],[Fecha]])</f>
        <v>8</v>
      </c>
    </row>
    <row r="997" spans="2:12" hidden="1" x14ac:dyDescent="0.25">
      <c r="B997" s="5" t="s">
        <v>32</v>
      </c>
      <c r="C997" s="5" t="s">
        <v>1031</v>
      </c>
      <c r="D997" s="5" t="s">
        <v>11</v>
      </c>
      <c r="E997" s="6">
        <v>45159</v>
      </c>
      <c r="F997" s="4" t="s">
        <v>91</v>
      </c>
      <c r="G997" s="4" t="s">
        <v>36</v>
      </c>
      <c r="H997" s="8" t="s">
        <v>1774</v>
      </c>
      <c r="I997" s="5" t="s">
        <v>1040</v>
      </c>
      <c r="J997" s="5"/>
      <c r="K997" s="15">
        <f>YEAR(Tabla1[[#This Row],[Fecha]])</f>
        <v>2023</v>
      </c>
      <c r="L997" s="15">
        <f>MONTH(Tabla1[[#This Row],[Fecha]])</f>
        <v>8</v>
      </c>
    </row>
    <row r="998" spans="2:12" hidden="1" x14ac:dyDescent="0.25">
      <c r="B998" s="5" t="s">
        <v>32</v>
      </c>
      <c r="C998" s="5" t="s">
        <v>539</v>
      </c>
      <c r="D998" s="5" t="s">
        <v>11</v>
      </c>
      <c r="E998" s="6">
        <v>45159</v>
      </c>
      <c r="F998" s="4" t="s">
        <v>91</v>
      </c>
      <c r="G998" s="32" t="s">
        <v>24</v>
      </c>
      <c r="H998" s="32" t="s">
        <v>83</v>
      </c>
      <c r="I998" s="5" t="s">
        <v>1041</v>
      </c>
      <c r="J998" s="5"/>
      <c r="K998" s="15">
        <f>YEAR(Tabla1[[#This Row],[Fecha]])</f>
        <v>2023</v>
      </c>
      <c r="L998" s="15">
        <f>MONTH(Tabla1[[#This Row],[Fecha]])</f>
        <v>8</v>
      </c>
    </row>
    <row r="999" spans="2:12" hidden="1" x14ac:dyDescent="0.25">
      <c r="B999" s="5" t="s">
        <v>106</v>
      </c>
      <c r="C999" s="5" t="s">
        <v>110</v>
      </c>
      <c r="D999" s="5" t="s">
        <v>11</v>
      </c>
      <c r="E999" s="6">
        <v>45156</v>
      </c>
      <c r="F999" s="4" t="s">
        <v>15</v>
      </c>
      <c r="G999" s="4" t="s">
        <v>24</v>
      </c>
      <c r="H999" s="4" t="s">
        <v>41</v>
      </c>
      <c r="I999" s="5" t="s">
        <v>1024</v>
      </c>
      <c r="J999" s="5"/>
      <c r="K999" s="22">
        <f>YEAR(Tabla1[[#This Row],[Fecha]])</f>
        <v>2023</v>
      </c>
      <c r="L999" s="22">
        <f>MONTH(Tabla1[[#This Row],[Fecha]])</f>
        <v>8</v>
      </c>
    </row>
    <row r="1000" spans="2:12" hidden="1" x14ac:dyDescent="0.25">
      <c r="B1000" s="5" t="s">
        <v>309</v>
      </c>
      <c r="C1000" s="5" t="s">
        <v>728</v>
      </c>
      <c r="D1000" s="5" t="s">
        <v>11</v>
      </c>
      <c r="E1000" s="6">
        <v>45156</v>
      </c>
      <c r="F1000" s="4" t="s">
        <v>91</v>
      </c>
      <c r="G1000" s="4" t="s">
        <v>36</v>
      </c>
      <c r="H1000" s="8" t="s">
        <v>37</v>
      </c>
      <c r="I1000" s="5" t="s">
        <v>1035</v>
      </c>
      <c r="J1000" s="5"/>
      <c r="K1000" s="15">
        <f>YEAR(Tabla1[[#This Row],[Fecha]])</f>
        <v>2023</v>
      </c>
      <c r="L1000" s="15">
        <f>MONTH(Tabla1[[#This Row],[Fecha]])</f>
        <v>8</v>
      </c>
    </row>
    <row r="1001" spans="2:12" hidden="1" x14ac:dyDescent="0.25">
      <c r="B1001" s="5" t="s">
        <v>193</v>
      </c>
      <c r="C1001" s="5" t="s">
        <v>1043</v>
      </c>
      <c r="D1001" s="5" t="s">
        <v>11</v>
      </c>
      <c r="E1001" s="6">
        <v>45154</v>
      </c>
      <c r="F1001" s="4" t="s">
        <v>91</v>
      </c>
      <c r="G1001" s="4" t="s">
        <v>24</v>
      </c>
      <c r="H1001" s="8" t="s">
        <v>118</v>
      </c>
      <c r="I1001" s="5" t="s">
        <v>1044</v>
      </c>
      <c r="J1001" s="5"/>
      <c r="K1001" s="15">
        <f>YEAR(Tabla1[[#This Row],[Fecha]])</f>
        <v>2023</v>
      </c>
      <c r="L1001" s="15">
        <f>MONTH(Tabla1[[#This Row],[Fecha]])</f>
        <v>8</v>
      </c>
    </row>
    <row r="1002" spans="2:12" hidden="1" x14ac:dyDescent="0.25">
      <c r="B1002" s="5" t="s">
        <v>193</v>
      </c>
      <c r="C1002" s="5" t="s">
        <v>752</v>
      </c>
      <c r="D1002" s="5" t="s">
        <v>11</v>
      </c>
      <c r="E1002" s="6">
        <v>45154</v>
      </c>
      <c r="F1002" s="4" t="s">
        <v>15</v>
      </c>
      <c r="G1002" s="4" t="s">
        <v>24</v>
      </c>
      <c r="H1002" s="4" t="s">
        <v>83</v>
      </c>
      <c r="I1002" s="5" t="s">
        <v>1045</v>
      </c>
      <c r="J1002" s="5"/>
      <c r="K1002" s="22">
        <f>YEAR(Tabla1[[#This Row],[Fecha]])</f>
        <v>2023</v>
      </c>
      <c r="L1002" s="22">
        <f>MONTH(Tabla1[[#This Row],[Fecha]])</f>
        <v>8</v>
      </c>
    </row>
    <row r="1003" spans="2:12" hidden="1" x14ac:dyDescent="0.25">
      <c r="B1003" s="5" t="s">
        <v>193</v>
      </c>
      <c r="C1003" s="5" t="s">
        <v>253</v>
      </c>
      <c r="D1003" s="5" t="s">
        <v>11</v>
      </c>
      <c r="E1003" s="6">
        <v>45154</v>
      </c>
      <c r="F1003" s="11" t="s">
        <v>15</v>
      </c>
      <c r="G1003" s="11" t="s">
        <v>16</v>
      </c>
      <c r="H1003" s="11" t="s">
        <v>74</v>
      </c>
      <c r="I1003" s="11" t="s">
        <v>1046</v>
      </c>
      <c r="J1003" s="5"/>
      <c r="K1003" s="22">
        <f>YEAR(Tabla1[[#This Row],[Fecha]])</f>
        <v>2023</v>
      </c>
      <c r="L1003" s="22">
        <f>MONTH(Tabla1[[#This Row],[Fecha]])</f>
        <v>8</v>
      </c>
    </row>
    <row r="1004" spans="2:12" hidden="1" x14ac:dyDescent="0.25">
      <c r="B1004" s="5" t="s">
        <v>181</v>
      </c>
      <c r="C1004" s="5" t="s">
        <v>551</v>
      </c>
      <c r="D1004" s="5" t="s">
        <v>11</v>
      </c>
      <c r="E1004" s="6">
        <v>45154</v>
      </c>
      <c r="F1004" s="4" t="s">
        <v>15</v>
      </c>
      <c r="G1004" s="4" t="s">
        <v>24</v>
      </c>
      <c r="H1004" s="4" t="s">
        <v>1773</v>
      </c>
      <c r="I1004" s="5" t="s">
        <v>1054</v>
      </c>
      <c r="J1004" s="5"/>
      <c r="K1004" s="22">
        <f>YEAR(Tabla1[[#This Row],[Fecha]])</f>
        <v>2023</v>
      </c>
      <c r="L1004" s="22">
        <f>MONTH(Tabla1[[#This Row],[Fecha]])</f>
        <v>8</v>
      </c>
    </row>
    <row r="1005" spans="2:12" hidden="1" x14ac:dyDescent="0.25">
      <c r="B1005" s="5" t="s">
        <v>181</v>
      </c>
      <c r="C1005" s="5" t="s">
        <v>209</v>
      </c>
      <c r="D1005" s="5" t="s">
        <v>11</v>
      </c>
      <c r="E1005" s="6">
        <v>45154</v>
      </c>
      <c r="F1005" s="4" t="s">
        <v>91</v>
      </c>
      <c r="G1005" s="4" t="s">
        <v>47</v>
      </c>
      <c r="H1005" s="4" t="s">
        <v>1789</v>
      </c>
      <c r="I1005" s="36" t="s">
        <v>1055</v>
      </c>
      <c r="J1005" s="5"/>
      <c r="K1005" s="22">
        <f>YEAR(Tabla1[[#This Row],[Fecha]])</f>
        <v>2023</v>
      </c>
      <c r="L1005" s="22">
        <f>MONTH(Tabla1[[#This Row],[Fecha]])</f>
        <v>8</v>
      </c>
    </row>
    <row r="1006" spans="2:12" hidden="1" x14ac:dyDescent="0.25">
      <c r="B1006" s="5" t="s">
        <v>181</v>
      </c>
      <c r="C1006" s="5" t="s">
        <v>274</v>
      </c>
      <c r="D1006" s="5" t="s">
        <v>11</v>
      </c>
      <c r="E1006" s="6">
        <v>45154</v>
      </c>
      <c r="F1006" s="4" t="s">
        <v>15</v>
      </c>
      <c r="G1006" s="4" t="s">
        <v>24</v>
      </c>
      <c r="H1006" s="4" t="s">
        <v>1773</v>
      </c>
      <c r="I1006" s="5" t="s">
        <v>1056</v>
      </c>
      <c r="J1006" s="5"/>
      <c r="K1006" s="22">
        <f>YEAR(Tabla1[[#This Row],[Fecha]])</f>
        <v>2023</v>
      </c>
      <c r="L1006" s="22">
        <f>MONTH(Tabla1[[#This Row],[Fecha]])</f>
        <v>8</v>
      </c>
    </row>
    <row r="1007" spans="2:12" hidden="1" x14ac:dyDescent="0.25">
      <c r="B1007" s="5" t="s">
        <v>248</v>
      </c>
      <c r="C1007" s="5" t="s">
        <v>261</v>
      </c>
      <c r="D1007" s="5" t="s">
        <v>131</v>
      </c>
      <c r="E1007" s="6">
        <v>45150</v>
      </c>
      <c r="F1007" s="4" t="s">
        <v>15</v>
      </c>
      <c r="G1007" s="4" t="s">
        <v>16</v>
      </c>
      <c r="H1007" s="4" t="s">
        <v>74</v>
      </c>
      <c r="I1007" s="5" t="s">
        <v>1022</v>
      </c>
      <c r="J1007" s="5"/>
      <c r="K1007" s="22">
        <f>YEAR(Tabla1[[#This Row],[Fecha]])</f>
        <v>2023</v>
      </c>
      <c r="L1007" s="22">
        <f>MONTH(Tabla1[[#This Row],[Fecha]])</f>
        <v>8</v>
      </c>
    </row>
    <row r="1008" spans="2:12" hidden="1" x14ac:dyDescent="0.25">
      <c r="B1008" s="5" t="s">
        <v>193</v>
      </c>
      <c r="C1008" s="5" t="s">
        <v>407</v>
      </c>
      <c r="D1008" s="5" t="s">
        <v>11</v>
      </c>
      <c r="E1008" s="6">
        <v>45149</v>
      </c>
      <c r="F1008" s="11" t="s">
        <v>15</v>
      </c>
      <c r="G1008" s="11" t="s">
        <v>36</v>
      </c>
      <c r="H1008" s="11" t="s">
        <v>145</v>
      </c>
      <c r="I1008" s="11" t="s">
        <v>1047</v>
      </c>
      <c r="J1008" s="5"/>
      <c r="K1008" s="22">
        <f>YEAR(Tabla1[[#This Row],[Fecha]])</f>
        <v>2023</v>
      </c>
      <c r="L1008" s="22">
        <f>MONTH(Tabla1[[#This Row],[Fecha]])</f>
        <v>8</v>
      </c>
    </row>
    <row r="1009" spans="2:12" hidden="1" x14ac:dyDescent="0.25">
      <c r="B1009" s="5" t="s">
        <v>193</v>
      </c>
      <c r="C1009" s="5" t="s">
        <v>752</v>
      </c>
      <c r="D1009" s="5" t="s">
        <v>11</v>
      </c>
      <c r="E1009" s="6">
        <v>45149</v>
      </c>
      <c r="F1009" s="4" t="s">
        <v>15</v>
      </c>
      <c r="G1009" s="4" t="s">
        <v>16</v>
      </c>
      <c r="H1009" s="4" t="s">
        <v>1704</v>
      </c>
      <c r="I1009" s="36" t="s">
        <v>1048</v>
      </c>
      <c r="J1009" s="5"/>
      <c r="K1009" s="22">
        <f>YEAR(Tabla1[[#This Row],[Fecha]])</f>
        <v>2023</v>
      </c>
      <c r="L1009" s="22">
        <f>MONTH(Tabla1[[#This Row],[Fecha]])</f>
        <v>8</v>
      </c>
    </row>
    <row r="1010" spans="2:12" hidden="1" x14ac:dyDescent="0.25">
      <c r="B1010" s="5" t="s">
        <v>193</v>
      </c>
      <c r="C1010" s="5" t="s">
        <v>1049</v>
      </c>
      <c r="D1010" s="5" t="s">
        <v>11</v>
      </c>
      <c r="E1010" s="6">
        <v>45149</v>
      </c>
      <c r="F1010" s="4" t="s">
        <v>15</v>
      </c>
      <c r="G1010" s="4" t="s">
        <v>16</v>
      </c>
      <c r="H1010" s="4" t="s">
        <v>1704</v>
      </c>
      <c r="I1010" s="36" t="s">
        <v>1048</v>
      </c>
      <c r="J1010" s="5"/>
      <c r="K1010" s="22">
        <f>YEAR(Tabla1[[#This Row],[Fecha]])</f>
        <v>2023</v>
      </c>
      <c r="L1010" s="22">
        <f>MONTH(Tabla1[[#This Row],[Fecha]])</f>
        <v>8</v>
      </c>
    </row>
    <row r="1011" spans="2:12" hidden="1" x14ac:dyDescent="0.25">
      <c r="B1011" s="5" t="s">
        <v>248</v>
      </c>
      <c r="C1011" s="5" t="s">
        <v>249</v>
      </c>
      <c r="D1011" s="5" t="s">
        <v>11</v>
      </c>
      <c r="E1011" s="6">
        <v>45149</v>
      </c>
      <c r="F1011" s="4" t="s">
        <v>15</v>
      </c>
      <c r="G1011" s="4" t="s">
        <v>47</v>
      </c>
      <c r="H1011" s="4" t="s">
        <v>333</v>
      </c>
      <c r="I1011" s="5" t="s">
        <v>1023</v>
      </c>
      <c r="J1011" s="5"/>
      <c r="K1011" s="22">
        <f>YEAR(Tabla1[[#This Row],[Fecha]])</f>
        <v>2023</v>
      </c>
      <c r="L1011" s="22">
        <f>MONTH(Tabla1[[#This Row],[Fecha]])</f>
        <v>8</v>
      </c>
    </row>
    <row r="1012" spans="2:12" hidden="1" x14ac:dyDescent="0.25">
      <c r="B1012" s="5" t="s">
        <v>309</v>
      </c>
      <c r="C1012" s="5" t="s">
        <v>320</v>
      </c>
      <c r="D1012" s="5" t="s">
        <v>11</v>
      </c>
      <c r="E1012" s="6">
        <v>45148</v>
      </c>
      <c r="F1012" s="4" t="s">
        <v>15</v>
      </c>
      <c r="G1012" s="4" t="s">
        <v>16</v>
      </c>
      <c r="H1012" s="4" t="s">
        <v>34</v>
      </c>
      <c r="I1012" s="5" t="s">
        <v>1064</v>
      </c>
      <c r="J1012" s="5"/>
      <c r="K1012" s="22">
        <f>YEAR(Tabla1[[#This Row],[Fecha]])</f>
        <v>2023</v>
      </c>
      <c r="L1012" s="22">
        <f>MONTH(Tabla1[[#This Row],[Fecha]])</f>
        <v>8</v>
      </c>
    </row>
    <row r="1013" spans="2:12" hidden="1" x14ac:dyDescent="0.25">
      <c r="B1013" s="5" t="s">
        <v>309</v>
      </c>
      <c r="C1013" s="5" t="s">
        <v>321</v>
      </c>
      <c r="D1013" s="5" t="s">
        <v>11</v>
      </c>
      <c r="E1013" s="6">
        <v>45148</v>
      </c>
      <c r="F1013" s="4" t="s">
        <v>15</v>
      </c>
      <c r="G1013" s="4" t="s">
        <v>16</v>
      </c>
      <c r="H1013" s="4" t="s">
        <v>34</v>
      </c>
      <c r="I1013" s="5" t="s">
        <v>1065</v>
      </c>
      <c r="J1013" s="5"/>
      <c r="K1013" s="22">
        <f>YEAR(Tabla1[[#This Row],[Fecha]])</f>
        <v>2023</v>
      </c>
      <c r="L1013" s="22">
        <f>MONTH(Tabla1[[#This Row],[Fecha]])</f>
        <v>8</v>
      </c>
    </row>
    <row r="1014" spans="2:12" hidden="1" x14ac:dyDescent="0.25">
      <c r="B1014" s="5" t="s">
        <v>309</v>
      </c>
      <c r="C1014" s="5" t="s">
        <v>310</v>
      </c>
      <c r="D1014" s="5" t="s">
        <v>11</v>
      </c>
      <c r="E1014" s="6">
        <v>45146</v>
      </c>
      <c r="F1014" s="4" t="s">
        <v>15</v>
      </c>
      <c r="G1014" s="4" t="s">
        <v>16</v>
      </c>
      <c r="H1014" s="4" t="s">
        <v>34</v>
      </c>
      <c r="I1014" s="5" t="s">
        <v>1060</v>
      </c>
      <c r="J1014" s="5"/>
      <c r="K1014" s="22">
        <f>YEAR(Tabla1[[#This Row],[Fecha]])</f>
        <v>2023</v>
      </c>
      <c r="L1014" s="22">
        <f>MONTH(Tabla1[[#This Row],[Fecha]])</f>
        <v>8</v>
      </c>
    </row>
    <row r="1015" spans="2:12" hidden="1" x14ac:dyDescent="0.25">
      <c r="B1015" s="5" t="s">
        <v>49</v>
      </c>
      <c r="C1015" s="5" t="s">
        <v>60</v>
      </c>
      <c r="D1015" s="5" t="s">
        <v>11</v>
      </c>
      <c r="E1015" s="6">
        <v>45146</v>
      </c>
      <c r="F1015" s="4" t="s">
        <v>15</v>
      </c>
      <c r="G1015" s="4" t="s">
        <v>16</v>
      </c>
      <c r="H1015" s="4" t="s">
        <v>74</v>
      </c>
      <c r="I1015" s="5" t="s">
        <v>1071</v>
      </c>
      <c r="J1015" s="5"/>
      <c r="K1015" s="22">
        <f>YEAR(Tabla1[[#This Row],[Fecha]])</f>
        <v>2023</v>
      </c>
      <c r="L1015" s="22">
        <f>MONTH(Tabla1[[#This Row],[Fecha]])</f>
        <v>8</v>
      </c>
    </row>
    <row r="1016" spans="2:12" hidden="1" x14ac:dyDescent="0.25">
      <c r="B1016" s="5" t="s">
        <v>106</v>
      </c>
      <c r="C1016" s="5" t="s">
        <v>110</v>
      </c>
      <c r="D1016" s="5" t="s">
        <v>11</v>
      </c>
      <c r="E1016" s="6">
        <v>45145</v>
      </c>
      <c r="F1016" s="11" t="s">
        <v>15</v>
      </c>
      <c r="G1016" s="34" t="s">
        <v>47</v>
      </c>
      <c r="H1016" s="34" t="s">
        <v>121</v>
      </c>
      <c r="I1016" s="11" t="s">
        <v>1020</v>
      </c>
      <c r="J1016" s="5"/>
      <c r="K1016" s="22">
        <f>YEAR(Tabla1[[#This Row],[Fecha]])</f>
        <v>2023</v>
      </c>
      <c r="L1016" s="22">
        <f>MONTH(Tabla1[[#This Row],[Fecha]])</f>
        <v>8</v>
      </c>
    </row>
    <row r="1017" spans="2:12" hidden="1" x14ac:dyDescent="0.25">
      <c r="B1017" s="5" t="s">
        <v>32</v>
      </c>
      <c r="C1017" s="5" t="s">
        <v>33</v>
      </c>
      <c r="D1017" s="5" t="s">
        <v>11</v>
      </c>
      <c r="E1017" s="6">
        <v>45145</v>
      </c>
      <c r="F1017" s="4" t="s">
        <v>15</v>
      </c>
      <c r="G1017" s="4" t="s">
        <v>16</v>
      </c>
      <c r="H1017" s="4" t="s">
        <v>34</v>
      </c>
      <c r="I1017" s="5" t="s">
        <v>1068</v>
      </c>
      <c r="J1017" s="5"/>
      <c r="K1017" s="22">
        <f>YEAR(Tabla1[[#This Row],[Fecha]])</f>
        <v>2023</v>
      </c>
      <c r="L1017" s="22">
        <f>MONTH(Tabla1[[#This Row],[Fecha]])</f>
        <v>8</v>
      </c>
    </row>
    <row r="1018" spans="2:12" hidden="1" x14ac:dyDescent="0.25">
      <c r="B1018" s="5" t="s">
        <v>49</v>
      </c>
      <c r="C1018" s="5" t="s">
        <v>66</v>
      </c>
      <c r="D1018" s="5" t="s">
        <v>11</v>
      </c>
      <c r="E1018" s="6">
        <v>45145</v>
      </c>
      <c r="F1018" s="4" t="s">
        <v>15</v>
      </c>
      <c r="G1018" s="4" t="s">
        <v>16</v>
      </c>
      <c r="H1018" s="4" t="s">
        <v>41</v>
      </c>
      <c r="I1018" s="5" t="s">
        <v>1070</v>
      </c>
      <c r="J1018" s="5"/>
      <c r="K1018" s="22">
        <f>YEAR(Tabla1[[#This Row],[Fecha]])</f>
        <v>2023</v>
      </c>
      <c r="L1018" s="22">
        <f>MONTH(Tabla1[[#This Row],[Fecha]])</f>
        <v>8</v>
      </c>
    </row>
    <row r="1019" spans="2:12" hidden="1" x14ac:dyDescent="0.25">
      <c r="B1019" s="5" t="s">
        <v>49</v>
      </c>
      <c r="C1019" s="5" t="s">
        <v>60</v>
      </c>
      <c r="D1019" s="5" t="s">
        <v>11</v>
      </c>
      <c r="E1019" s="6">
        <v>45145</v>
      </c>
      <c r="F1019" s="4" t="s">
        <v>15</v>
      </c>
      <c r="G1019" s="4" t="s">
        <v>16</v>
      </c>
      <c r="H1019" s="4" t="s">
        <v>74</v>
      </c>
      <c r="I1019" s="5" t="s">
        <v>1072</v>
      </c>
      <c r="J1019" s="5"/>
      <c r="K1019" s="22">
        <f>YEAR(Tabla1[[#This Row],[Fecha]])</f>
        <v>2023</v>
      </c>
      <c r="L1019" s="22">
        <f>MONTH(Tabla1[[#This Row],[Fecha]])</f>
        <v>8</v>
      </c>
    </row>
    <row r="1020" spans="2:12" hidden="1" x14ac:dyDescent="0.25">
      <c r="B1020" s="5" t="s">
        <v>248</v>
      </c>
      <c r="C1020" s="5" t="s">
        <v>278</v>
      </c>
      <c r="D1020" s="5" t="s">
        <v>11</v>
      </c>
      <c r="E1020" s="6">
        <v>45145</v>
      </c>
      <c r="F1020" s="11" t="s">
        <v>15</v>
      </c>
      <c r="G1020" s="11" t="s">
        <v>36</v>
      </c>
      <c r="H1020" s="11" t="s">
        <v>1791</v>
      </c>
      <c r="I1020" s="11" t="s">
        <v>1059</v>
      </c>
      <c r="J1020" s="5"/>
      <c r="K1020" s="22">
        <f>YEAR(Tabla1[[#This Row],[Fecha]])</f>
        <v>2023</v>
      </c>
      <c r="L1020" s="22">
        <f>MONTH(Tabla1[[#This Row],[Fecha]])</f>
        <v>8</v>
      </c>
    </row>
    <row r="1021" spans="2:12" hidden="1" x14ac:dyDescent="0.25">
      <c r="B1021" s="5" t="s">
        <v>190</v>
      </c>
      <c r="C1021" s="5" t="s">
        <v>1057</v>
      </c>
      <c r="D1021" s="5" t="s">
        <v>11</v>
      </c>
      <c r="E1021" s="6">
        <v>45142</v>
      </c>
      <c r="F1021" s="4" t="s">
        <v>15</v>
      </c>
      <c r="G1021" s="4" t="s">
        <v>108</v>
      </c>
      <c r="H1021" s="4"/>
      <c r="I1021" s="5" t="s">
        <v>1058</v>
      </c>
      <c r="J1021" s="5"/>
      <c r="K1021" s="22">
        <f>YEAR(Tabla1[[#This Row],[Fecha]])</f>
        <v>2023</v>
      </c>
      <c r="L1021" s="22">
        <f>MONTH(Tabla1[[#This Row],[Fecha]])</f>
        <v>8</v>
      </c>
    </row>
    <row r="1022" spans="2:12" hidden="1" x14ac:dyDescent="0.25">
      <c r="B1022" s="5" t="s">
        <v>32</v>
      </c>
      <c r="C1022" s="5" t="s">
        <v>33</v>
      </c>
      <c r="D1022" s="5" t="s">
        <v>11</v>
      </c>
      <c r="E1022" s="6">
        <v>45140</v>
      </c>
      <c r="F1022" s="4" t="s">
        <v>91</v>
      </c>
      <c r="G1022" s="4" t="s">
        <v>303</v>
      </c>
      <c r="H1022" s="20" t="s">
        <v>434</v>
      </c>
      <c r="I1022" s="5" t="s">
        <v>1066</v>
      </c>
      <c r="J1022" s="5"/>
      <c r="K1022" s="22">
        <f>YEAR(Tabla1[[#This Row],[Fecha]])</f>
        <v>2023</v>
      </c>
      <c r="L1022" s="22">
        <f>MONTH(Tabla1[[#This Row],[Fecha]])</f>
        <v>8</v>
      </c>
    </row>
    <row r="1023" spans="2:12" hidden="1" x14ac:dyDescent="0.25">
      <c r="B1023" s="5" t="s">
        <v>32</v>
      </c>
      <c r="C1023" s="5" t="s">
        <v>33</v>
      </c>
      <c r="D1023" s="5" t="s">
        <v>11</v>
      </c>
      <c r="E1023" s="6">
        <v>45139</v>
      </c>
      <c r="F1023" s="4" t="s">
        <v>91</v>
      </c>
      <c r="G1023" s="4" t="s">
        <v>303</v>
      </c>
      <c r="H1023" s="4" t="s">
        <v>431</v>
      </c>
      <c r="I1023" s="5" t="s">
        <v>1067</v>
      </c>
      <c r="J1023" s="5"/>
      <c r="K1023" s="22">
        <f>YEAR(Tabla1[[#This Row],[Fecha]])</f>
        <v>2023</v>
      </c>
      <c r="L1023" s="22">
        <f>MONTH(Tabla1[[#This Row],[Fecha]])</f>
        <v>8</v>
      </c>
    </row>
    <row r="1024" spans="2:12" hidden="1" x14ac:dyDescent="0.25">
      <c r="B1024" s="5" t="s">
        <v>309</v>
      </c>
      <c r="C1024" s="5" t="s">
        <v>313</v>
      </c>
      <c r="D1024" s="5" t="s">
        <v>11</v>
      </c>
      <c r="E1024" s="6">
        <v>45138</v>
      </c>
      <c r="F1024" s="4" t="s">
        <v>15</v>
      </c>
      <c r="G1024" s="4" t="s">
        <v>16</v>
      </c>
      <c r="H1024" s="4" t="s">
        <v>34</v>
      </c>
      <c r="I1024" s="5" t="s">
        <v>1061</v>
      </c>
      <c r="J1024" s="5"/>
      <c r="K1024" s="22">
        <f>YEAR(Tabla1[[#This Row],[Fecha]])</f>
        <v>2023</v>
      </c>
      <c r="L1024" s="22">
        <f>MONTH(Tabla1[[#This Row],[Fecha]])</f>
        <v>7</v>
      </c>
    </row>
    <row r="1025" spans="2:12" hidden="1" x14ac:dyDescent="0.25">
      <c r="B1025" s="5" t="s">
        <v>32</v>
      </c>
      <c r="C1025" s="5" t="s">
        <v>33</v>
      </c>
      <c r="D1025" s="5" t="s">
        <v>11</v>
      </c>
      <c r="E1025" s="6">
        <v>45138</v>
      </c>
      <c r="F1025" s="4" t="s">
        <v>15</v>
      </c>
      <c r="G1025" s="4" t="s">
        <v>16</v>
      </c>
      <c r="H1025" s="4" t="s">
        <v>1775</v>
      </c>
      <c r="I1025" s="5" t="s">
        <v>1069</v>
      </c>
      <c r="J1025" s="5"/>
      <c r="K1025" s="22">
        <f>YEAR(Tabla1[[#This Row],[Fecha]])</f>
        <v>2023</v>
      </c>
      <c r="L1025" s="22">
        <f>MONTH(Tabla1[[#This Row],[Fecha]])</f>
        <v>7</v>
      </c>
    </row>
    <row r="1026" spans="2:12" hidden="1" x14ac:dyDescent="0.25">
      <c r="B1026" s="5" t="s">
        <v>193</v>
      </c>
      <c r="C1026" s="5" t="s">
        <v>1049</v>
      </c>
      <c r="D1026" s="5" t="s">
        <v>11</v>
      </c>
      <c r="E1026" s="6">
        <v>45135</v>
      </c>
      <c r="F1026" s="4" t="s">
        <v>15</v>
      </c>
      <c r="G1026" s="4" t="s">
        <v>47</v>
      </c>
      <c r="H1026" s="4" t="s">
        <v>41</v>
      </c>
      <c r="I1026" s="36" t="s">
        <v>1050</v>
      </c>
      <c r="J1026" s="5"/>
      <c r="K1026" s="22">
        <f>YEAR(Tabla1[[#This Row],[Fecha]])</f>
        <v>2023</v>
      </c>
      <c r="L1026" s="22">
        <f>MONTH(Tabla1[[#This Row],[Fecha]])</f>
        <v>7</v>
      </c>
    </row>
    <row r="1027" spans="2:12" hidden="1" x14ac:dyDescent="0.25">
      <c r="B1027" s="5" t="s">
        <v>193</v>
      </c>
      <c r="C1027" s="5" t="s">
        <v>1049</v>
      </c>
      <c r="D1027" s="5" t="s">
        <v>11</v>
      </c>
      <c r="E1027" s="6">
        <v>45135</v>
      </c>
      <c r="F1027" s="11" t="s">
        <v>15</v>
      </c>
      <c r="G1027" s="11" t="s">
        <v>36</v>
      </c>
      <c r="H1027" s="11" t="s">
        <v>37</v>
      </c>
      <c r="I1027" s="11" t="s">
        <v>1051</v>
      </c>
      <c r="J1027" s="5"/>
      <c r="K1027" s="22">
        <f>YEAR(Tabla1[[#This Row],[Fecha]])</f>
        <v>2023</v>
      </c>
      <c r="L1027" s="22">
        <f>MONTH(Tabla1[[#This Row],[Fecha]])</f>
        <v>7</v>
      </c>
    </row>
    <row r="1028" spans="2:12" hidden="1" x14ac:dyDescent="0.25">
      <c r="B1028" s="5" t="s">
        <v>193</v>
      </c>
      <c r="C1028" s="5" t="s">
        <v>752</v>
      </c>
      <c r="D1028" s="5" t="s">
        <v>11</v>
      </c>
      <c r="E1028" s="6">
        <v>45135</v>
      </c>
      <c r="F1028" s="11" t="s">
        <v>15</v>
      </c>
      <c r="G1028" s="11" t="s">
        <v>36</v>
      </c>
      <c r="H1028" s="11" t="s">
        <v>37</v>
      </c>
      <c r="I1028" s="11" t="s">
        <v>1051</v>
      </c>
      <c r="J1028" s="5"/>
      <c r="K1028" s="22">
        <f>YEAR(Tabla1[[#This Row],[Fecha]])</f>
        <v>2023</v>
      </c>
      <c r="L1028" s="22">
        <f>MONTH(Tabla1[[#This Row],[Fecha]])</f>
        <v>7</v>
      </c>
    </row>
    <row r="1029" spans="2:12" hidden="1" x14ac:dyDescent="0.25">
      <c r="B1029" s="5" t="s">
        <v>193</v>
      </c>
      <c r="C1029" s="5" t="s">
        <v>253</v>
      </c>
      <c r="D1029" s="5" t="s">
        <v>11</v>
      </c>
      <c r="E1029" s="6">
        <v>45135</v>
      </c>
      <c r="F1029" s="11" t="s">
        <v>15</v>
      </c>
      <c r="G1029" s="11" t="s">
        <v>36</v>
      </c>
      <c r="H1029" s="11" t="s">
        <v>37</v>
      </c>
      <c r="I1029" s="11" t="s">
        <v>1052</v>
      </c>
      <c r="J1029" s="5"/>
      <c r="K1029" s="22">
        <f>YEAR(Tabla1[[#This Row],[Fecha]])</f>
        <v>2023</v>
      </c>
      <c r="L1029" s="22">
        <f>MONTH(Tabla1[[#This Row],[Fecha]])</f>
        <v>7</v>
      </c>
    </row>
    <row r="1030" spans="2:12" hidden="1" x14ac:dyDescent="0.25">
      <c r="B1030" s="5" t="s">
        <v>193</v>
      </c>
      <c r="C1030" s="5" t="s">
        <v>407</v>
      </c>
      <c r="D1030" s="5" t="s">
        <v>11</v>
      </c>
      <c r="E1030" s="6">
        <v>45135</v>
      </c>
      <c r="F1030" s="11" t="s">
        <v>91</v>
      </c>
      <c r="G1030" s="11" t="s">
        <v>36</v>
      </c>
      <c r="H1030" s="11" t="s">
        <v>1790</v>
      </c>
      <c r="I1030" s="11" t="s">
        <v>1053</v>
      </c>
      <c r="J1030" s="5"/>
      <c r="K1030" s="22">
        <f>YEAR(Tabla1[[#This Row],[Fecha]])</f>
        <v>2023</v>
      </c>
      <c r="L1030" s="22">
        <f>MONTH(Tabla1[[#This Row],[Fecha]])</f>
        <v>7</v>
      </c>
    </row>
    <row r="1031" spans="2:12" ht="30" hidden="1" x14ac:dyDescent="0.25">
      <c r="B1031" s="5" t="s">
        <v>49</v>
      </c>
      <c r="C1031" s="5" t="s">
        <v>115</v>
      </c>
      <c r="D1031" s="5" t="s">
        <v>11</v>
      </c>
      <c r="E1031" s="6">
        <v>45135</v>
      </c>
      <c r="F1031" s="4" t="s">
        <v>91</v>
      </c>
      <c r="G1031" s="4" t="s">
        <v>24</v>
      </c>
      <c r="H1031" s="8" t="s">
        <v>118</v>
      </c>
      <c r="I1031" s="23" t="s">
        <v>1735</v>
      </c>
      <c r="J1031" s="7"/>
      <c r="K1031" s="15">
        <f>YEAR(Tabla1[[#This Row],[Fecha]])</f>
        <v>2023</v>
      </c>
      <c r="L1031" s="15">
        <f>MONTH(Tabla1[[#This Row],[Fecha]])</f>
        <v>7</v>
      </c>
    </row>
    <row r="1032" spans="2:12" ht="30" hidden="1" x14ac:dyDescent="0.25">
      <c r="B1032" s="5" t="s">
        <v>49</v>
      </c>
      <c r="C1032" s="5" t="s">
        <v>115</v>
      </c>
      <c r="D1032" s="5" t="s">
        <v>11</v>
      </c>
      <c r="E1032" s="6">
        <v>45135</v>
      </c>
      <c r="F1032" s="4" t="s">
        <v>91</v>
      </c>
      <c r="G1032" s="4" t="s">
        <v>24</v>
      </c>
      <c r="H1032" s="8" t="s">
        <v>118</v>
      </c>
      <c r="I1032" s="23" t="s">
        <v>1735</v>
      </c>
      <c r="J1032" s="7"/>
      <c r="K1032" s="15">
        <f>YEAR(Tabla1[[#This Row],[Fecha]])</f>
        <v>2023</v>
      </c>
      <c r="L1032" s="15">
        <f>MONTH(Tabla1[[#This Row],[Fecha]])</f>
        <v>7</v>
      </c>
    </row>
    <row r="1033" spans="2:12" ht="30" hidden="1" x14ac:dyDescent="0.25">
      <c r="B1033" s="5" t="s">
        <v>49</v>
      </c>
      <c r="C1033" s="5" t="s">
        <v>50</v>
      </c>
      <c r="D1033" s="5" t="s">
        <v>11</v>
      </c>
      <c r="E1033" s="6">
        <v>45135</v>
      </c>
      <c r="F1033" s="4" t="s">
        <v>91</v>
      </c>
      <c r="G1033" s="4" t="s">
        <v>24</v>
      </c>
      <c r="H1033" s="8" t="s">
        <v>118</v>
      </c>
      <c r="I1033" s="23" t="s">
        <v>1735</v>
      </c>
      <c r="J1033" s="7"/>
      <c r="K1033" s="15">
        <f>YEAR(Tabla1[[#This Row],[Fecha]])</f>
        <v>2023</v>
      </c>
      <c r="L1033" s="15">
        <f>MONTH(Tabla1[[#This Row],[Fecha]])</f>
        <v>7</v>
      </c>
    </row>
    <row r="1034" spans="2:12" ht="30" hidden="1" x14ac:dyDescent="0.25">
      <c r="B1034" s="5" t="s">
        <v>49</v>
      </c>
      <c r="C1034" s="5" t="s">
        <v>60</v>
      </c>
      <c r="D1034" s="5" t="s">
        <v>11</v>
      </c>
      <c r="E1034" s="6">
        <v>45135</v>
      </c>
      <c r="F1034" s="4" t="s">
        <v>91</v>
      </c>
      <c r="G1034" s="4" t="s">
        <v>24</v>
      </c>
      <c r="H1034" s="8" t="s">
        <v>118</v>
      </c>
      <c r="I1034" s="23" t="s">
        <v>1735</v>
      </c>
      <c r="J1034" s="7"/>
      <c r="K1034" s="15">
        <f>YEAR(Tabla1[[#This Row],[Fecha]])</f>
        <v>2023</v>
      </c>
      <c r="L1034" s="15">
        <f>MONTH(Tabla1[[#This Row],[Fecha]])</f>
        <v>7</v>
      </c>
    </row>
    <row r="1035" spans="2:12" ht="30" hidden="1" x14ac:dyDescent="0.25">
      <c r="B1035" s="5" t="s">
        <v>49</v>
      </c>
      <c r="C1035" s="5" t="s">
        <v>176</v>
      </c>
      <c r="D1035" s="5" t="s">
        <v>11</v>
      </c>
      <c r="E1035" s="6">
        <v>45135</v>
      </c>
      <c r="F1035" s="4" t="s">
        <v>15</v>
      </c>
      <c r="G1035" s="4" t="s">
        <v>24</v>
      </c>
      <c r="H1035" s="29" t="s">
        <v>51</v>
      </c>
      <c r="I1035" s="23" t="s">
        <v>1736</v>
      </c>
      <c r="J1035" s="7"/>
      <c r="K1035" s="15">
        <f>YEAR(Tabla1[[#This Row],[Fecha]])</f>
        <v>2023</v>
      </c>
      <c r="L1035" s="15">
        <f>MONTH(Tabla1[[#This Row],[Fecha]])</f>
        <v>7</v>
      </c>
    </row>
    <row r="1036" spans="2:12" hidden="1" x14ac:dyDescent="0.25">
      <c r="B1036" s="5" t="s">
        <v>49</v>
      </c>
      <c r="C1036" s="5" t="s">
        <v>56</v>
      </c>
      <c r="D1036" s="5" t="s">
        <v>11</v>
      </c>
      <c r="E1036" s="6">
        <v>45135</v>
      </c>
      <c r="F1036" s="4" t="s">
        <v>91</v>
      </c>
      <c r="G1036" s="4" t="s">
        <v>24</v>
      </c>
      <c r="H1036" s="8" t="s">
        <v>118</v>
      </c>
      <c r="I1036" s="5" t="s">
        <v>1737</v>
      </c>
      <c r="J1036" s="7"/>
      <c r="K1036" s="15">
        <f>YEAR(Tabla1[[#This Row],[Fecha]])</f>
        <v>2023</v>
      </c>
      <c r="L1036" s="15">
        <f>MONTH(Tabla1[[#This Row],[Fecha]])</f>
        <v>7</v>
      </c>
    </row>
    <row r="1037" spans="2:12" hidden="1" x14ac:dyDescent="0.25">
      <c r="B1037" s="5" t="s">
        <v>49</v>
      </c>
      <c r="C1037" s="5" t="s">
        <v>66</v>
      </c>
      <c r="D1037" s="5" t="s">
        <v>11</v>
      </c>
      <c r="E1037" s="6">
        <v>45135</v>
      </c>
      <c r="F1037" s="4" t="s">
        <v>91</v>
      </c>
      <c r="G1037" s="4" t="s">
        <v>24</v>
      </c>
      <c r="H1037" s="8" t="s">
        <v>118</v>
      </c>
      <c r="I1037" s="5" t="s">
        <v>1737</v>
      </c>
      <c r="J1037" s="7"/>
      <c r="K1037" s="15">
        <f>YEAR(Tabla1[[#This Row],[Fecha]])</f>
        <v>2023</v>
      </c>
      <c r="L1037" s="15">
        <f>MONTH(Tabla1[[#This Row],[Fecha]])</f>
        <v>7</v>
      </c>
    </row>
    <row r="1038" spans="2:12" hidden="1" x14ac:dyDescent="0.25">
      <c r="B1038" s="5" t="s">
        <v>49</v>
      </c>
      <c r="C1038" s="5" t="s">
        <v>111</v>
      </c>
      <c r="D1038" s="5" t="s">
        <v>11</v>
      </c>
      <c r="E1038" s="6">
        <v>45135</v>
      </c>
      <c r="F1038" s="4" t="s">
        <v>91</v>
      </c>
      <c r="G1038" s="4" t="s">
        <v>24</v>
      </c>
      <c r="H1038" s="8" t="s">
        <v>118</v>
      </c>
      <c r="I1038" s="5" t="s">
        <v>1737</v>
      </c>
      <c r="J1038" s="7"/>
      <c r="K1038" s="15">
        <f>YEAR(Tabla1[[#This Row],[Fecha]])</f>
        <v>2023</v>
      </c>
      <c r="L1038" s="15">
        <f>MONTH(Tabla1[[#This Row],[Fecha]])</f>
        <v>7</v>
      </c>
    </row>
    <row r="1039" spans="2:12" ht="30" hidden="1" x14ac:dyDescent="0.25">
      <c r="B1039" s="5" t="s">
        <v>49</v>
      </c>
      <c r="C1039" s="5" t="s">
        <v>53</v>
      </c>
      <c r="D1039" s="5" t="s">
        <v>11</v>
      </c>
      <c r="E1039" s="6">
        <v>45135</v>
      </c>
      <c r="F1039" s="4" t="s">
        <v>91</v>
      </c>
      <c r="G1039" s="4" t="s">
        <v>24</v>
      </c>
      <c r="H1039" s="8" t="s">
        <v>118</v>
      </c>
      <c r="I1039" s="23" t="s">
        <v>1738</v>
      </c>
      <c r="J1039" s="7"/>
      <c r="K1039" s="15">
        <f>YEAR(Tabla1[[#This Row],[Fecha]])</f>
        <v>2023</v>
      </c>
      <c r="L1039" s="15">
        <f>MONTH(Tabla1[[#This Row],[Fecha]])</f>
        <v>7</v>
      </c>
    </row>
    <row r="1040" spans="2:12" ht="30" hidden="1" x14ac:dyDescent="0.25">
      <c r="B1040" s="5" t="s">
        <v>49</v>
      </c>
      <c r="C1040" s="5" t="s">
        <v>117</v>
      </c>
      <c r="D1040" s="5" t="s">
        <v>11</v>
      </c>
      <c r="E1040" s="6">
        <v>45135</v>
      </c>
      <c r="F1040" s="4" t="s">
        <v>91</v>
      </c>
      <c r="G1040" s="4" t="s">
        <v>24</v>
      </c>
      <c r="H1040" s="8" t="s">
        <v>118</v>
      </c>
      <c r="I1040" s="23" t="s">
        <v>1739</v>
      </c>
      <c r="J1040" s="7"/>
      <c r="K1040" s="15">
        <f>YEAR(Tabla1[[#This Row],[Fecha]])</f>
        <v>2023</v>
      </c>
      <c r="L1040" s="15">
        <f>MONTH(Tabla1[[#This Row],[Fecha]])</f>
        <v>7</v>
      </c>
    </row>
    <row r="1041" spans="2:12" ht="30" hidden="1" x14ac:dyDescent="0.25">
      <c r="B1041" s="5" t="s">
        <v>49</v>
      </c>
      <c r="C1041" s="5" t="s">
        <v>57</v>
      </c>
      <c r="D1041" s="5" t="s">
        <v>11</v>
      </c>
      <c r="E1041" s="6">
        <v>45135</v>
      </c>
      <c r="F1041" s="4" t="s">
        <v>91</v>
      </c>
      <c r="G1041" s="4" t="s">
        <v>24</v>
      </c>
      <c r="H1041" s="8" t="s">
        <v>118</v>
      </c>
      <c r="I1041" s="23" t="s">
        <v>1740</v>
      </c>
      <c r="J1041" s="7"/>
      <c r="K1041" s="15">
        <f>YEAR(Tabla1[[#This Row],[Fecha]])</f>
        <v>2023</v>
      </c>
      <c r="L1041" s="15">
        <f>MONTH(Tabla1[[#This Row],[Fecha]])</f>
        <v>7</v>
      </c>
    </row>
    <row r="1042" spans="2:12" hidden="1" x14ac:dyDescent="0.25">
      <c r="B1042" s="5" t="s">
        <v>309</v>
      </c>
      <c r="C1042" s="5" t="s">
        <v>320</v>
      </c>
      <c r="D1042" s="5" t="s">
        <v>11</v>
      </c>
      <c r="E1042" s="6">
        <v>45133</v>
      </c>
      <c r="F1042" s="4" t="s">
        <v>15</v>
      </c>
      <c r="G1042" s="4" t="s">
        <v>16</v>
      </c>
      <c r="H1042" s="4" t="s">
        <v>34</v>
      </c>
      <c r="I1042" s="5" t="s">
        <v>1062</v>
      </c>
      <c r="J1042" s="5"/>
      <c r="K1042" s="22">
        <f>YEAR(Tabla1[[#This Row],[Fecha]])</f>
        <v>2023</v>
      </c>
      <c r="L1042" s="22">
        <f>MONTH(Tabla1[[#This Row],[Fecha]])</f>
        <v>7</v>
      </c>
    </row>
    <row r="1043" spans="2:12" hidden="1" x14ac:dyDescent="0.25">
      <c r="B1043" s="5" t="s">
        <v>309</v>
      </c>
      <c r="C1043" s="5" t="s">
        <v>321</v>
      </c>
      <c r="D1043" s="5" t="s">
        <v>11</v>
      </c>
      <c r="E1043" s="6">
        <v>45133</v>
      </c>
      <c r="F1043" s="4" t="s">
        <v>15</v>
      </c>
      <c r="G1043" s="4" t="s">
        <v>16</v>
      </c>
      <c r="H1043" s="4" t="s">
        <v>34</v>
      </c>
      <c r="I1043" s="5" t="s">
        <v>1063</v>
      </c>
      <c r="J1043" s="5"/>
      <c r="K1043" s="22">
        <f>YEAR(Tabla1[[#This Row],[Fecha]])</f>
        <v>2023</v>
      </c>
      <c r="L1043" s="22">
        <f>MONTH(Tabla1[[#This Row],[Fecha]])</f>
        <v>7</v>
      </c>
    </row>
    <row r="1044" spans="2:12" hidden="1" x14ac:dyDescent="0.25">
      <c r="B1044" s="5" t="s">
        <v>27</v>
      </c>
      <c r="C1044" s="5" t="s">
        <v>28</v>
      </c>
      <c r="D1044" s="5" t="s">
        <v>11</v>
      </c>
      <c r="E1044" s="6">
        <v>45131</v>
      </c>
      <c r="F1044" s="4" t="s">
        <v>15</v>
      </c>
      <c r="G1044" s="4" t="s">
        <v>16</v>
      </c>
      <c r="H1044" s="4" t="s">
        <v>63</v>
      </c>
      <c r="I1044" s="5" t="s">
        <v>1075</v>
      </c>
      <c r="J1044" s="5"/>
      <c r="K1044" s="22">
        <f>YEAR(Tabla1[[#This Row],[Fecha]])</f>
        <v>2023</v>
      </c>
      <c r="L1044" s="22">
        <f>MONTH(Tabla1[[#This Row],[Fecha]])</f>
        <v>7</v>
      </c>
    </row>
    <row r="1045" spans="2:12" hidden="1" x14ac:dyDescent="0.25">
      <c r="B1045" s="5" t="s">
        <v>248</v>
      </c>
      <c r="C1045" s="5" t="s">
        <v>499</v>
      </c>
      <c r="D1045" s="5" t="s">
        <v>11</v>
      </c>
      <c r="E1045" s="6">
        <v>45131</v>
      </c>
      <c r="F1045" s="4" t="s">
        <v>15</v>
      </c>
      <c r="G1045" s="4" t="s">
        <v>24</v>
      </c>
      <c r="H1045" s="4" t="s">
        <v>83</v>
      </c>
      <c r="I1045" s="5" t="s">
        <v>1073</v>
      </c>
      <c r="J1045" s="5"/>
      <c r="K1045" s="22">
        <f>YEAR(Tabla1[[#This Row],[Fecha]])</f>
        <v>2023</v>
      </c>
      <c r="L1045" s="22">
        <f>MONTH(Tabla1[[#This Row],[Fecha]])</f>
        <v>7</v>
      </c>
    </row>
    <row r="1046" spans="2:12" ht="45" hidden="1" x14ac:dyDescent="0.25">
      <c r="B1046" s="5" t="s">
        <v>106</v>
      </c>
      <c r="C1046" s="5" t="s">
        <v>110</v>
      </c>
      <c r="D1046" s="5" t="s">
        <v>11</v>
      </c>
      <c r="E1046" s="6">
        <v>45127</v>
      </c>
      <c r="F1046" s="4" t="s">
        <v>15</v>
      </c>
      <c r="G1046" s="4" t="s">
        <v>24</v>
      </c>
      <c r="H1046" s="8" t="s">
        <v>37</v>
      </c>
      <c r="I1046" s="23" t="s">
        <v>1729</v>
      </c>
      <c r="J1046" s="5"/>
      <c r="K1046" s="15">
        <f>YEAR(Tabla1[[#This Row],[Fecha]])</f>
        <v>2023</v>
      </c>
      <c r="L1046" s="15">
        <f>MONTH(Tabla1[[#This Row],[Fecha]])</f>
        <v>7</v>
      </c>
    </row>
    <row r="1047" spans="2:12" ht="45" hidden="1" x14ac:dyDescent="0.25">
      <c r="B1047" s="5" t="s">
        <v>9</v>
      </c>
      <c r="C1047" s="5" t="s">
        <v>87</v>
      </c>
      <c r="D1047" s="5" t="s">
        <v>11</v>
      </c>
      <c r="E1047" s="6">
        <v>45127</v>
      </c>
      <c r="F1047" s="4" t="s">
        <v>15</v>
      </c>
      <c r="G1047" s="4" t="s">
        <v>24</v>
      </c>
      <c r="H1047" s="8" t="s">
        <v>37</v>
      </c>
      <c r="I1047" s="23" t="s">
        <v>1731</v>
      </c>
      <c r="J1047" s="5"/>
      <c r="K1047" s="15">
        <f>YEAR(Tabla1[[#This Row],[Fecha]])</f>
        <v>2023</v>
      </c>
      <c r="L1047" s="15">
        <f>MONTH(Tabla1[[#This Row],[Fecha]])</f>
        <v>7</v>
      </c>
    </row>
    <row r="1048" spans="2:12" ht="45" hidden="1" x14ac:dyDescent="0.25">
      <c r="B1048" s="5" t="s">
        <v>9</v>
      </c>
      <c r="C1048" s="5" t="s">
        <v>102</v>
      </c>
      <c r="D1048" s="5" t="s">
        <v>11</v>
      </c>
      <c r="E1048" s="6">
        <v>45127</v>
      </c>
      <c r="F1048" s="4" t="s">
        <v>15</v>
      </c>
      <c r="G1048" s="4" t="s">
        <v>16</v>
      </c>
      <c r="H1048" s="8" t="s">
        <v>1775</v>
      </c>
      <c r="I1048" s="23" t="s">
        <v>1732</v>
      </c>
      <c r="J1048" s="5"/>
      <c r="K1048" s="15">
        <f>YEAR(Tabla1[[#This Row],[Fecha]])</f>
        <v>2023</v>
      </c>
      <c r="L1048" s="15">
        <f>MONTH(Tabla1[[#This Row],[Fecha]])</f>
        <v>7</v>
      </c>
    </row>
    <row r="1049" spans="2:12" ht="30" hidden="1" x14ac:dyDescent="0.25">
      <c r="B1049" s="5" t="s">
        <v>49</v>
      </c>
      <c r="C1049" s="5" t="s">
        <v>57</v>
      </c>
      <c r="D1049" s="5" t="s">
        <v>131</v>
      </c>
      <c r="E1049" s="6">
        <v>45127</v>
      </c>
      <c r="F1049" s="4" t="s">
        <v>91</v>
      </c>
      <c r="G1049" s="4" t="s">
        <v>16</v>
      </c>
      <c r="H1049" s="8" t="s">
        <v>34</v>
      </c>
      <c r="I1049" s="23" t="s">
        <v>1741</v>
      </c>
      <c r="J1049" s="7"/>
      <c r="K1049" s="15">
        <f>YEAR(Tabla1[[#This Row],[Fecha]])</f>
        <v>2023</v>
      </c>
      <c r="L1049" s="15">
        <f>MONTH(Tabla1[[#This Row],[Fecha]])</f>
        <v>7</v>
      </c>
    </row>
    <row r="1050" spans="2:12" hidden="1" x14ac:dyDescent="0.25">
      <c r="B1050" s="5" t="s">
        <v>9</v>
      </c>
      <c r="C1050" s="5" t="s">
        <v>14</v>
      </c>
      <c r="D1050" s="5" t="s">
        <v>11</v>
      </c>
      <c r="E1050" s="6">
        <v>45126</v>
      </c>
      <c r="F1050" s="4" t="s">
        <v>15</v>
      </c>
      <c r="G1050" s="4" t="s">
        <v>16</v>
      </c>
      <c r="H1050" s="8" t="s">
        <v>1775</v>
      </c>
      <c r="I1050" s="5" t="s">
        <v>1078</v>
      </c>
      <c r="J1050" s="5"/>
      <c r="K1050" s="15">
        <f>YEAR(Tabla1[[#This Row],[Fecha]])</f>
        <v>2023</v>
      </c>
      <c r="L1050" s="15">
        <f>MONTH(Tabla1[[#This Row],[Fecha]])</f>
        <v>7</v>
      </c>
    </row>
    <row r="1051" spans="2:12" hidden="1" x14ac:dyDescent="0.25">
      <c r="B1051" s="5" t="s">
        <v>9</v>
      </c>
      <c r="C1051" s="5" t="s">
        <v>68</v>
      </c>
      <c r="D1051" s="5" t="s">
        <v>11</v>
      </c>
      <c r="E1051" s="6">
        <v>45126</v>
      </c>
      <c r="F1051" s="4" t="s">
        <v>91</v>
      </c>
      <c r="G1051" s="4" t="s">
        <v>24</v>
      </c>
      <c r="H1051" s="4" t="s">
        <v>1790</v>
      </c>
      <c r="I1051" s="5" t="s">
        <v>1079</v>
      </c>
      <c r="J1051" s="5"/>
      <c r="K1051" s="15">
        <f>YEAR(Tabla1[[#This Row],[Fecha]])</f>
        <v>2023</v>
      </c>
      <c r="L1051" s="15">
        <f>MONTH(Tabla1[[#This Row],[Fecha]])</f>
        <v>7</v>
      </c>
    </row>
    <row r="1052" spans="2:12" hidden="1" x14ac:dyDescent="0.25">
      <c r="B1052" s="5" t="s">
        <v>9</v>
      </c>
      <c r="C1052" s="5" t="s">
        <v>62</v>
      </c>
      <c r="D1052" s="5" t="s">
        <v>11</v>
      </c>
      <c r="E1052" s="6">
        <v>45126</v>
      </c>
      <c r="F1052" s="4" t="s">
        <v>91</v>
      </c>
      <c r="G1052" s="4" t="s">
        <v>16</v>
      </c>
      <c r="H1052" s="8" t="s">
        <v>34</v>
      </c>
      <c r="I1052" s="5" t="s">
        <v>1728</v>
      </c>
      <c r="J1052" s="5"/>
      <c r="K1052" s="15">
        <f>YEAR(Tabla1[[#This Row],[Fecha]])</f>
        <v>2023</v>
      </c>
      <c r="L1052" s="15">
        <f>MONTH(Tabla1[[#This Row],[Fecha]])</f>
        <v>7</v>
      </c>
    </row>
    <row r="1053" spans="2:12" ht="45" hidden="1" x14ac:dyDescent="0.25">
      <c r="B1053" s="5" t="s">
        <v>49</v>
      </c>
      <c r="C1053" s="5" t="s">
        <v>123</v>
      </c>
      <c r="D1053" s="5" t="s">
        <v>11</v>
      </c>
      <c r="E1053" s="6">
        <v>45126</v>
      </c>
      <c r="F1053" s="4" t="s">
        <v>15</v>
      </c>
      <c r="G1053" s="4" t="s">
        <v>16</v>
      </c>
      <c r="H1053" s="8" t="s">
        <v>1775</v>
      </c>
      <c r="I1053" s="23" t="s">
        <v>1730</v>
      </c>
      <c r="J1053" s="5"/>
      <c r="K1053" s="15">
        <f>YEAR(Tabla1[[#This Row],[Fecha]])</f>
        <v>2023</v>
      </c>
      <c r="L1053" s="15">
        <f>MONTH(Tabla1[[#This Row],[Fecha]])</f>
        <v>7</v>
      </c>
    </row>
    <row r="1054" spans="2:12" ht="120" hidden="1" x14ac:dyDescent="0.25">
      <c r="B1054" s="5" t="s">
        <v>45</v>
      </c>
      <c r="C1054" s="5" t="s">
        <v>130</v>
      </c>
      <c r="D1054" s="5" t="s">
        <v>11</v>
      </c>
      <c r="E1054" s="6">
        <v>45126</v>
      </c>
      <c r="F1054" s="4" t="s">
        <v>15</v>
      </c>
      <c r="G1054" s="4" t="s">
        <v>47</v>
      </c>
      <c r="H1054" s="4" t="s">
        <v>333</v>
      </c>
      <c r="I1054" s="23" t="s">
        <v>1733</v>
      </c>
      <c r="J1054" s="5"/>
      <c r="K1054" s="22">
        <f>YEAR(Tabla1[[#This Row],[Fecha]])</f>
        <v>2023</v>
      </c>
      <c r="L1054" s="22">
        <f>MONTH(Tabla1[[#This Row],[Fecha]])</f>
        <v>7</v>
      </c>
    </row>
    <row r="1055" spans="2:12" hidden="1" x14ac:dyDescent="0.25">
      <c r="B1055" s="5" t="s">
        <v>309</v>
      </c>
      <c r="C1055" s="5" t="s">
        <v>320</v>
      </c>
      <c r="D1055" s="5" t="s">
        <v>11</v>
      </c>
      <c r="E1055" s="6">
        <v>45121</v>
      </c>
      <c r="F1055" s="4" t="s">
        <v>91</v>
      </c>
      <c r="G1055" s="31" t="s">
        <v>36</v>
      </c>
      <c r="H1055" s="31" t="s">
        <v>1774</v>
      </c>
      <c r="I1055" s="5" t="s">
        <v>1111</v>
      </c>
      <c r="J1055" s="7"/>
      <c r="K1055" s="15">
        <f>YEAR(Tabla1[[#This Row],[Fecha]])</f>
        <v>2023</v>
      </c>
      <c r="L1055" s="15">
        <f>MONTH(Tabla1[[#This Row],[Fecha]])</f>
        <v>7</v>
      </c>
    </row>
    <row r="1056" spans="2:12" ht="30" hidden="1" x14ac:dyDescent="0.25">
      <c r="B1056" s="5" t="s">
        <v>45</v>
      </c>
      <c r="C1056" s="5" t="s">
        <v>130</v>
      </c>
      <c r="D1056" s="5" t="s">
        <v>11</v>
      </c>
      <c r="E1056" s="6">
        <v>45120</v>
      </c>
      <c r="F1056" s="4" t="s">
        <v>91</v>
      </c>
      <c r="G1056" s="4" t="s">
        <v>16</v>
      </c>
      <c r="H1056" s="8" t="s">
        <v>43</v>
      </c>
      <c r="I1056" s="23" t="s">
        <v>1734</v>
      </c>
      <c r="J1056" s="7"/>
      <c r="K1056" s="15">
        <f>YEAR(Tabla1[[#This Row],[Fecha]])</f>
        <v>2023</v>
      </c>
      <c r="L1056" s="15">
        <f>MONTH(Tabla1[[#This Row],[Fecha]])</f>
        <v>7</v>
      </c>
    </row>
    <row r="1057" spans="2:12" hidden="1" x14ac:dyDescent="0.25">
      <c r="B1057" s="5" t="s">
        <v>106</v>
      </c>
      <c r="C1057" s="5" t="s">
        <v>110</v>
      </c>
      <c r="D1057" s="5" t="s">
        <v>11</v>
      </c>
      <c r="E1057" s="6">
        <v>45120</v>
      </c>
      <c r="F1057" s="4" t="s">
        <v>15</v>
      </c>
      <c r="G1057" s="4" t="s">
        <v>1705</v>
      </c>
      <c r="H1057" s="4" t="s">
        <v>1706</v>
      </c>
      <c r="I1057" s="5" t="s">
        <v>1767</v>
      </c>
      <c r="J1057" s="5"/>
      <c r="K1057" s="22">
        <f>YEAR(Tabla1[[#This Row],[Fecha]])</f>
        <v>2023</v>
      </c>
      <c r="L1057" s="22">
        <f>MONTH(Tabla1[[#This Row],[Fecha]])</f>
        <v>7</v>
      </c>
    </row>
    <row r="1058" spans="2:12" hidden="1" x14ac:dyDescent="0.25">
      <c r="B1058" s="5" t="s">
        <v>309</v>
      </c>
      <c r="C1058" s="5" t="s">
        <v>728</v>
      </c>
      <c r="D1058" s="5" t="s">
        <v>11</v>
      </c>
      <c r="E1058" s="6">
        <v>45119</v>
      </c>
      <c r="F1058" s="4" t="s">
        <v>91</v>
      </c>
      <c r="G1058" s="31" t="s">
        <v>36</v>
      </c>
      <c r="H1058" s="31" t="s">
        <v>1774</v>
      </c>
      <c r="I1058" s="5" t="s">
        <v>1110</v>
      </c>
      <c r="J1058" s="7"/>
      <c r="K1058" s="15">
        <f>YEAR(Tabla1[[#This Row],[Fecha]])</f>
        <v>2023</v>
      </c>
      <c r="L1058" s="15">
        <f>MONTH(Tabla1[[#This Row],[Fecha]])</f>
        <v>7</v>
      </c>
    </row>
    <row r="1059" spans="2:12" hidden="1" x14ac:dyDescent="0.25">
      <c r="B1059" s="5" t="s">
        <v>309</v>
      </c>
      <c r="C1059" s="5" t="s">
        <v>321</v>
      </c>
      <c r="D1059" s="5" t="s">
        <v>11</v>
      </c>
      <c r="E1059" s="6">
        <v>45119</v>
      </c>
      <c r="F1059" s="4" t="s">
        <v>91</v>
      </c>
      <c r="G1059" s="31" t="s">
        <v>36</v>
      </c>
      <c r="H1059" s="31" t="s">
        <v>1774</v>
      </c>
      <c r="I1059" s="5" t="s">
        <v>1110</v>
      </c>
      <c r="J1059" s="7"/>
      <c r="K1059" s="15">
        <f>YEAR(Tabla1[[#This Row],[Fecha]])</f>
        <v>2023</v>
      </c>
      <c r="L1059" s="15">
        <f>MONTH(Tabla1[[#This Row],[Fecha]])</f>
        <v>7</v>
      </c>
    </row>
    <row r="1060" spans="2:12" hidden="1" x14ac:dyDescent="0.25">
      <c r="B1060" s="5" t="s">
        <v>309</v>
      </c>
      <c r="C1060" s="5" t="s">
        <v>315</v>
      </c>
      <c r="D1060" s="5" t="s">
        <v>11</v>
      </c>
      <c r="E1060" s="6">
        <v>45118</v>
      </c>
      <c r="F1060" s="4" t="s">
        <v>91</v>
      </c>
      <c r="G1060" s="31" t="s">
        <v>36</v>
      </c>
      <c r="H1060" s="31" t="s">
        <v>1774</v>
      </c>
      <c r="I1060" s="5" t="s">
        <v>1110</v>
      </c>
      <c r="J1060" s="7"/>
      <c r="K1060" s="15">
        <f>YEAR(Tabla1[[#This Row],[Fecha]])</f>
        <v>2023</v>
      </c>
      <c r="L1060" s="15">
        <f>MONTH(Tabla1[[#This Row],[Fecha]])</f>
        <v>7</v>
      </c>
    </row>
    <row r="1061" spans="2:12" hidden="1" x14ac:dyDescent="0.25">
      <c r="B1061" s="5" t="s">
        <v>309</v>
      </c>
      <c r="C1061" s="5" t="s">
        <v>322</v>
      </c>
      <c r="D1061" s="5" t="s">
        <v>11</v>
      </c>
      <c r="E1061" s="6">
        <v>45118</v>
      </c>
      <c r="F1061" s="4" t="s">
        <v>91</v>
      </c>
      <c r="G1061" s="31" t="s">
        <v>36</v>
      </c>
      <c r="H1061" s="31" t="s">
        <v>1774</v>
      </c>
      <c r="I1061" s="5" t="s">
        <v>1110</v>
      </c>
      <c r="J1061" s="7"/>
      <c r="K1061" s="15">
        <f>YEAR(Tabla1[[#This Row],[Fecha]])</f>
        <v>2023</v>
      </c>
      <c r="L1061" s="15">
        <f>MONTH(Tabla1[[#This Row],[Fecha]])</f>
        <v>7</v>
      </c>
    </row>
    <row r="1062" spans="2:12" ht="30" hidden="1" x14ac:dyDescent="0.25">
      <c r="B1062" s="5" t="s">
        <v>841</v>
      </c>
      <c r="C1062" s="5" t="s">
        <v>261</v>
      </c>
      <c r="D1062" s="5" t="s">
        <v>131</v>
      </c>
      <c r="E1062" s="6">
        <v>45117</v>
      </c>
      <c r="F1062" s="4" t="s">
        <v>91</v>
      </c>
      <c r="G1062" s="4" t="s">
        <v>36</v>
      </c>
      <c r="H1062" s="8" t="s">
        <v>1777</v>
      </c>
      <c r="I1062" s="23" t="s">
        <v>1109</v>
      </c>
      <c r="J1062" s="7"/>
      <c r="K1062" s="15">
        <f>YEAR(Tabla1[[#This Row],[Fecha]])</f>
        <v>2023</v>
      </c>
      <c r="L1062" s="15">
        <f>MONTH(Tabla1[[#This Row],[Fecha]])</f>
        <v>7</v>
      </c>
    </row>
    <row r="1063" spans="2:12" hidden="1" x14ac:dyDescent="0.25">
      <c r="B1063" s="5" t="s">
        <v>248</v>
      </c>
      <c r="C1063" s="5" t="s">
        <v>266</v>
      </c>
      <c r="D1063" s="5" t="s">
        <v>11</v>
      </c>
      <c r="E1063" s="6">
        <v>45114</v>
      </c>
      <c r="F1063" s="11" t="s">
        <v>15</v>
      </c>
      <c r="G1063" s="11" t="s">
        <v>36</v>
      </c>
      <c r="H1063" s="11" t="s">
        <v>37</v>
      </c>
      <c r="I1063" s="11" t="s">
        <v>1107</v>
      </c>
      <c r="J1063" s="5"/>
      <c r="K1063" s="22">
        <f>YEAR(Tabla1[[#This Row],[Fecha]])</f>
        <v>2023</v>
      </c>
      <c r="L1063" s="22">
        <f>MONTH(Tabla1[[#This Row],[Fecha]])</f>
        <v>7</v>
      </c>
    </row>
    <row r="1064" spans="2:12" hidden="1" x14ac:dyDescent="0.25">
      <c r="B1064" s="5" t="s">
        <v>309</v>
      </c>
      <c r="C1064" s="5" t="s">
        <v>711</v>
      </c>
      <c r="D1064" s="5" t="s">
        <v>11</v>
      </c>
      <c r="E1064" s="6">
        <v>45113</v>
      </c>
      <c r="F1064" s="4" t="s">
        <v>91</v>
      </c>
      <c r="G1064" s="31" t="s">
        <v>36</v>
      </c>
      <c r="H1064" s="31" t="s">
        <v>1774</v>
      </c>
      <c r="I1064" s="5" t="s">
        <v>1110</v>
      </c>
      <c r="J1064" s="7"/>
      <c r="K1064" s="15">
        <f>YEAR(Tabla1[[#This Row],[Fecha]])</f>
        <v>2023</v>
      </c>
      <c r="L1064" s="15">
        <f>MONTH(Tabla1[[#This Row],[Fecha]])</f>
        <v>7</v>
      </c>
    </row>
    <row r="1065" spans="2:12" hidden="1" x14ac:dyDescent="0.25">
      <c r="B1065" s="5" t="s">
        <v>309</v>
      </c>
      <c r="C1065" s="5" t="s">
        <v>310</v>
      </c>
      <c r="D1065" s="5" t="s">
        <v>11</v>
      </c>
      <c r="E1065" s="6">
        <v>45113</v>
      </c>
      <c r="F1065" s="4" t="s">
        <v>91</v>
      </c>
      <c r="G1065" s="31" t="s">
        <v>36</v>
      </c>
      <c r="H1065" s="31" t="s">
        <v>1774</v>
      </c>
      <c r="I1065" s="5" t="s">
        <v>1110</v>
      </c>
      <c r="J1065" s="7"/>
      <c r="K1065" s="15">
        <f>YEAR(Tabla1[[#This Row],[Fecha]])</f>
        <v>2023</v>
      </c>
      <c r="L1065" s="15">
        <f>MONTH(Tabla1[[#This Row],[Fecha]])</f>
        <v>7</v>
      </c>
    </row>
    <row r="1066" spans="2:12" hidden="1" x14ac:dyDescent="0.25">
      <c r="B1066" s="5" t="s">
        <v>248</v>
      </c>
      <c r="C1066" s="5" t="s">
        <v>264</v>
      </c>
      <c r="D1066" s="5" t="s">
        <v>11</v>
      </c>
      <c r="E1066" s="6">
        <v>45112</v>
      </c>
      <c r="F1066" s="4" t="s">
        <v>91</v>
      </c>
      <c r="G1066" s="4" t="s">
        <v>36</v>
      </c>
      <c r="H1066" s="8" t="s">
        <v>1777</v>
      </c>
      <c r="I1066" s="5" t="s">
        <v>1769</v>
      </c>
      <c r="J1066" s="7"/>
      <c r="K1066" s="15">
        <f>YEAR(Tabla1[[#This Row],[Fecha]])</f>
        <v>2023</v>
      </c>
      <c r="L1066" s="15">
        <f>MONTH(Tabla1[[#This Row],[Fecha]])</f>
        <v>7</v>
      </c>
    </row>
    <row r="1067" spans="2:12" hidden="1" x14ac:dyDescent="0.25">
      <c r="B1067" s="5" t="s">
        <v>248</v>
      </c>
      <c r="C1067" s="5" t="s">
        <v>266</v>
      </c>
      <c r="D1067" s="5" t="s">
        <v>11</v>
      </c>
      <c r="E1067" s="6">
        <v>45112</v>
      </c>
      <c r="F1067" s="4" t="s">
        <v>91</v>
      </c>
      <c r="G1067" s="4" t="s">
        <v>36</v>
      </c>
      <c r="H1067" s="8" t="s">
        <v>1777</v>
      </c>
      <c r="I1067" s="5" t="s">
        <v>1769</v>
      </c>
      <c r="J1067" s="7"/>
      <c r="K1067" s="15">
        <f>YEAR(Tabla1[[#This Row],[Fecha]])</f>
        <v>2023</v>
      </c>
      <c r="L1067" s="15">
        <f>MONTH(Tabla1[[#This Row],[Fecha]])</f>
        <v>7</v>
      </c>
    </row>
    <row r="1068" spans="2:12" hidden="1" x14ac:dyDescent="0.25">
      <c r="B1068" s="5" t="s">
        <v>32</v>
      </c>
      <c r="C1068" s="5" t="s">
        <v>144</v>
      </c>
      <c r="D1068" s="5" t="s">
        <v>11</v>
      </c>
      <c r="E1068" s="6">
        <v>45112</v>
      </c>
      <c r="F1068" s="4" t="s">
        <v>91</v>
      </c>
      <c r="G1068" s="31" t="s">
        <v>36</v>
      </c>
      <c r="H1068" s="31" t="s">
        <v>1774</v>
      </c>
      <c r="I1068" s="5" t="s">
        <v>1110</v>
      </c>
      <c r="J1068" s="7"/>
      <c r="K1068" s="15">
        <f>YEAR(Tabla1[[#This Row],[Fecha]])</f>
        <v>2023</v>
      </c>
      <c r="L1068" s="15">
        <f>MONTH(Tabla1[[#This Row],[Fecha]])</f>
        <v>7</v>
      </c>
    </row>
    <row r="1069" spans="2:12" hidden="1" x14ac:dyDescent="0.25">
      <c r="B1069" s="5" t="s">
        <v>32</v>
      </c>
      <c r="C1069" s="5" t="s">
        <v>33</v>
      </c>
      <c r="D1069" s="5" t="s">
        <v>11</v>
      </c>
      <c r="E1069" s="6">
        <v>45112</v>
      </c>
      <c r="F1069" s="4" t="s">
        <v>91</v>
      </c>
      <c r="G1069" s="31" t="s">
        <v>36</v>
      </c>
      <c r="H1069" s="31" t="s">
        <v>1774</v>
      </c>
      <c r="I1069" s="5" t="s">
        <v>1110</v>
      </c>
      <c r="J1069" s="7"/>
      <c r="K1069" s="15">
        <f>YEAR(Tabla1[[#This Row],[Fecha]])</f>
        <v>2023</v>
      </c>
      <c r="L1069" s="15">
        <f>MONTH(Tabla1[[#This Row],[Fecha]])</f>
        <v>7</v>
      </c>
    </row>
    <row r="1070" spans="2:12" hidden="1" x14ac:dyDescent="0.25">
      <c r="B1070" s="5" t="s">
        <v>32</v>
      </c>
      <c r="C1070" s="5" t="s">
        <v>700</v>
      </c>
      <c r="D1070" s="5" t="s">
        <v>11</v>
      </c>
      <c r="E1070" s="6">
        <v>45112</v>
      </c>
      <c r="F1070" s="4" t="s">
        <v>91</v>
      </c>
      <c r="G1070" s="31" t="s">
        <v>36</v>
      </c>
      <c r="H1070" s="31" t="s">
        <v>1774</v>
      </c>
      <c r="I1070" s="5" t="s">
        <v>1110</v>
      </c>
      <c r="J1070" s="7"/>
      <c r="K1070" s="15">
        <f>YEAR(Tabla1[[#This Row],[Fecha]])</f>
        <v>2023</v>
      </c>
      <c r="L1070" s="15">
        <f>MONTH(Tabla1[[#This Row],[Fecha]])</f>
        <v>7</v>
      </c>
    </row>
    <row r="1071" spans="2:12" hidden="1" x14ac:dyDescent="0.25">
      <c r="B1071" s="5" t="s">
        <v>32</v>
      </c>
      <c r="C1071" s="5" t="s">
        <v>147</v>
      </c>
      <c r="D1071" s="5" t="s">
        <v>11</v>
      </c>
      <c r="E1071" s="6">
        <v>45112</v>
      </c>
      <c r="F1071" s="4" t="s">
        <v>91</v>
      </c>
      <c r="G1071" s="31" t="s">
        <v>36</v>
      </c>
      <c r="H1071" s="31" t="s">
        <v>1774</v>
      </c>
      <c r="I1071" s="5" t="s">
        <v>1110</v>
      </c>
      <c r="J1071" s="7"/>
      <c r="K1071" s="15">
        <f>YEAR(Tabla1[[#This Row],[Fecha]])</f>
        <v>2023</v>
      </c>
      <c r="L1071" s="15">
        <f>MONTH(Tabla1[[#This Row],[Fecha]])</f>
        <v>7</v>
      </c>
    </row>
    <row r="1072" spans="2:12" hidden="1" x14ac:dyDescent="0.25">
      <c r="B1072" s="5" t="s">
        <v>32</v>
      </c>
      <c r="C1072" s="5" t="s">
        <v>740</v>
      </c>
      <c r="D1072" s="5" t="s">
        <v>11</v>
      </c>
      <c r="E1072" s="6">
        <v>45112</v>
      </c>
      <c r="F1072" s="4" t="s">
        <v>91</v>
      </c>
      <c r="G1072" s="31" t="s">
        <v>36</v>
      </c>
      <c r="H1072" s="31" t="s">
        <v>1774</v>
      </c>
      <c r="I1072" s="5" t="s">
        <v>1110</v>
      </c>
      <c r="J1072" s="7"/>
      <c r="K1072" s="15">
        <f>YEAR(Tabla1[[#This Row],[Fecha]])</f>
        <v>2023</v>
      </c>
      <c r="L1072" s="15">
        <f>MONTH(Tabla1[[#This Row],[Fecha]])</f>
        <v>7</v>
      </c>
    </row>
    <row r="1073" spans="2:12" hidden="1" x14ac:dyDescent="0.25">
      <c r="B1073" s="5" t="s">
        <v>309</v>
      </c>
      <c r="C1073" s="5" t="s">
        <v>371</v>
      </c>
      <c r="D1073" s="5" t="s">
        <v>11</v>
      </c>
      <c r="E1073" s="6">
        <v>45112</v>
      </c>
      <c r="F1073" s="4" t="s">
        <v>91</v>
      </c>
      <c r="G1073" s="31" t="s">
        <v>36</v>
      </c>
      <c r="H1073" s="31" t="s">
        <v>1774</v>
      </c>
      <c r="I1073" s="5" t="s">
        <v>1112</v>
      </c>
      <c r="J1073" s="7"/>
      <c r="K1073" s="15">
        <f>YEAR(Tabla1[[#This Row],[Fecha]])</f>
        <v>2023</v>
      </c>
      <c r="L1073" s="15">
        <f>MONTH(Tabla1[[#This Row],[Fecha]])</f>
        <v>7</v>
      </c>
    </row>
    <row r="1074" spans="2:12" hidden="1" x14ac:dyDescent="0.25">
      <c r="B1074" s="5" t="s">
        <v>248</v>
      </c>
      <c r="C1074" s="5" t="s">
        <v>499</v>
      </c>
      <c r="D1074" s="5" t="s">
        <v>11</v>
      </c>
      <c r="E1074" s="6">
        <v>45112</v>
      </c>
      <c r="F1074" s="4" t="s">
        <v>91</v>
      </c>
      <c r="G1074" s="4" t="s">
        <v>36</v>
      </c>
      <c r="H1074" s="8" t="s">
        <v>1774</v>
      </c>
      <c r="I1074" s="5" t="s">
        <v>1108</v>
      </c>
      <c r="J1074" s="7"/>
      <c r="K1074" s="15">
        <f>YEAR(Tabla1[[#This Row],[Fecha]])</f>
        <v>2023</v>
      </c>
      <c r="L1074" s="15">
        <f>MONTH(Tabla1[[#This Row],[Fecha]])</f>
        <v>7</v>
      </c>
    </row>
    <row r="1075" spans="2:12" hidden="1" x14ac:dyDescent="0.25">
      <c r="B1075" s="5" t="s">
        <v>106</v>
      </c>
      <c r="C1075" s="5" t="s">
        <v>110</v>
      </c>
      <c r="D1075" s="5" t="s">
        <v>11</v>
      </c>
      <c r="E1075" s="6">
        <v>45111</v>
      </c>
      <c r="F1075" s="4" t="s">
        <v>91</v>
      </c>
      <c r="G1075" s="4" t="s">
        <v>36</v>
      </c>
      <c r="H1075" s="8" t="s">
        <v>37</v>
      </c>
      <c r="I1075" s="5" t="s">
        <v>1042</v>
      </c>
      <c r="J1075" s="5"/>
      <c r="K1075" s="15">
        <f>YEAR(Tabla1[[#This Row],[Fecha]])</f>
        <v>2023</v>
      </c>
      <c r="L1075" s="15">
        <f>MONTH(Tabla1[[#This Row],[Fecha]])</f>
        <v>7</v>
      </c>
    </row>
    <row r="1076" spans="2:12" hidden="1" x14ac:dyDescent="0.25">
      <c r="B1076" s="5" t="s">
        <v>106</v>
      </c>
      <c r="C1076" s="5" t="s">
        <v>110</v>
      </c>
      <c r="D1076" s="5" t="s">
        <v>11</v>
      </c>
      <c r="E1076" s="6">
        <v>45106</v>
      </c>
      <c r="F1076" s="4" t="s">
        <v>15</v>
      </c>
      <c r="G1076" s="4" t="s">
        <v>47</v>
      </c>
      <c r="H1076" s="4" t="s">
        <v>333</v>
      </c>
      <c r="I1076" s="5" t="s">
        <v>1074</v>
      </c>
      <c r="J1076" s="5"/>
      <c r="K1076" s="22">
        <f>YEAR(Tabla1[[#This Row],[Fecha]])</f>
        <v>2023</v>
      </c>
      <c r="L1076" s="22">
        <f>MONTH(Tabla1[[#This Row],[Fecha]])</f>
        <v>6</v>
      </c>
    </row>
    <row r="1077" spans="2:12" hidden="1" x14ac:dyDescent="0.25">
      <c r="B1077" s="5" t="s">
        <v>309</v>
      </c>
      <c r="C1077" s="5" t="s">
        <v>321</v>
      </c>
      <c r="D1077" s="5" t="s">
        <v>11</v>
      </c>
      <c r="E1077" s="6">
        <v>45106</v>
      </c>
      <c r="F1077" s="4" t="s">
        <v>100</v>
      </c>
      <c r="G1077" s="4"/>
      <c r="H1077" s="4"/>
      <c r="I1077" s="5" t="s">
        <v>1076</v>
      </c>
      <c r="J1077" s="5"/>
      <c r="K1077" s="22">
        <f>YEAR(Tabla1[[#This Row],[Fecha]])</f>
        <v>2023</v>
      </c>
      <c r="L1077" s="22">
        <f>MONTH(Tabla1[[#This Row],[Fecha]])</f>
        <v>6</v>
      </c>
    </row>
    <row r="1078" spans="2:12" hidden="1" x14ac:dyDescent="0.25">
      <c r="B1078" s="5" t="s">
        <v>309</v>
      </c>
      <c r="C1078" s="5" t="s">
        <v>371</v>
      </c>
      <c r="D1078" s="5" t="s">
        <v>11</v>
      </c>
      <c r="E1078" s="6">
        <v>45104</v>
      </c>
      <c r="F1078" s="4" t="s">
        <v>91</v>
      </c>
      <c r="G1078" s="4" t="s">
        <v>16</v>
      </c>
      <c r="H1078" s="8" t="s">
        <v>34</v>
      </c>
      <c r="I1078" s="5" t="s">
        <v>1077</v>
      </c>
      <c r="J1078" s="5"/>
      <c r="K1078" s="15">
        <f>YEAR(Tabla1[[#This Row],[Fecha]])</f>
        <v>2023</v>
      </c>
      <c r="L1078" s="15">
        <f>MONTH(Tabla1[[#This Row],[Fecha]])</f>
        <v>6</v>
      </c>
    </row>
    <row r="1079" spans="2:12" hidden="1" x14ac:dyDescent="0.25">
      <c r="B1079" s="5" t="s">
        <v>309</v>
      </c>
      <c r="C1079" s="5" t="s">
        <v>371</v>
      </c>
      <c r="D1079" s="5" t="s">
        <v>11</v>
      </c>
      <c r="E1079" s="6">
        <v>45096</v>
      </c>
      <c r="F1079" s="4" t="s">
        <v>15</v>
      </c>
      <c r="G1079" s="4" t="s">
        <v>16</v>
      </c>
      <c r="H1079" s="4" t="s">
        <v>34</v>
      </c>
      <c r="I1079" s="11" t="s">
        <v>1234</v>
      </c>
      <c r="J1079" s="5"/>
      <c r="K1079" s="22">
        <f>YEAR(Tabla1[[#This Row],[Fecha]])</f>
        <v>2023</v>
      </c>
      <c r="L1079" s="22">
        <f>MONTH(Tabla1[[#This Row],[Fecha]])</f>
        <v>6</v>
      </c>
    </row>
    <row r="1080" spans="2:12" hidden="1" x14ac:dyDescent="0.25">
      <c r="B1080" s="5" t="s">
        <v>106</v>
      </c>
      <c r="C1080" s="5" t="s">
        <v>110</v>
      </c>
      <c r="D1080" s="5" t="s">
        <v>11</v>
      </c>
      <c r="E1080" s="6">
        <v>45093</v>
      </c>
      <c r="F1080" s="11" t="s">
        <v>15</v>
      </c>
      <c r="G1080" s="11" t="s">
        <v>24</v>
      </c>
      <c r="H1080" s="11" t="s">
        <v>12</v>
      </c>
      <c r="I1080" s="11" t="s">
        <v>1236</v>
      </c>
      <c r="J1080" s="5"/>
      <c r="K1080" s="22">
        <f>YEAR(Tabla1[[#This Row],[Fecha]])</f>
        <v>2023</v>
      </c>
      <c r="L1080" s="22">
        <f>MONTH(Tabla1[[#This Row],[Fecha]])</f>
        <v>6</v>
      </c>
    </row>
    <row r="1081" spans="2:12" hidden="1" x14ac:dyDescent="0.25">
      <c r="B1081" s="5" t="s">
        <v>248</v>
      </c>
      <c r="C1081" s="5" t="s">
        <v>735</v>
      </c>
      <c r="D1081" s="5" t="s">
        <v>11</v>
      </c>
      <c r="E1081" s="6">
        <v>45092</v>
      </c>
      <c r="F1081" s="11" t="s">
        <v>15</v>
      </c>
      <c r="G1081" s="11" t="s">
        <v>36</v>
      </c>
      <c r="H1081" s="11" t="s">
        <v>37</v>
      </c>
      <c r="I1081" s="11" t="s">
        <v>1237</v>
      </c>
      <c r="J1081" s="5"/>
      <c r="K1081" s="22">
        <f>YEAR(Tabla1[[#This Row],[Fecha]])</f>
        <v>2023</v>
      </c>
      <c r="L1081" s="22">
        <f>MONTH(Tabla1[[#This Row],[Fecha]])</f>
        <v>6</v>
      </c>
    </row>
    <row r="1082" spans="2:12" hidden="1" x14ac:dyDescent="0.25">
      <c r="B1082" s="5" t="s">
        <v>248</v>
      </c>
      <c r="C1082" s="5" t="s">
        <v>698</v>
      </c>
      <c r="D1082" s="5" t="s">
        <v>11</v>
      </c>
      <c r="E1082" s="6">
        <v>45092</v>
      </c>
      <c r="F1082" s="11" t="s">
        <v>15</v>
      </c>
      <c r="G1082" s="11" t="s">
        <v>36</v>
      </c>
      <c r="H1082" s="11" t="s">
        <v>37</v>
      </c>
      <c r="I1082" s="11" t="s">
        <v>1237</v>
      </c>
      <c r="J1082" s="5"/>
      <c r="K1082" s="22">
        <f>YEAR(Tabla1[[#This Row],[Fecha]])</f>
        <v>2023</v>
      </c>
      <c r="L1082" s="22">
        <f>MONTH(Tabla1[[#This Row],[Fecha]])</f>
        <v>6</v>
      </c>
    </row>
    <row r="1083" spans="2:12" hidden="1" x14ac:dyDescent="0.25">
      <c r="B1083" s="5" t="s">
        <v>248</v>
      </c>
      <c r="C1083" s="5" t="s">
        <v>266</v>
      </c>
      <c r="D1083" s="5" t="s">
        <v>11</v>
      </c>
      <c r="E1083" s="6">
        <v>45092</v>
      </c>
      <c r="F1083" s="4" t="s">
        <v>15</v>
      </c>
      <c r="G1083" s="4" t="s">
        <v>36</v>
      </c>
      <c r="H1083" s="2" t="s">
        <v>1788</v>
      </c>
      <c r="I1083" s="11" t="s">
        <v>1768</v>
      </c>
      <c r="J1083" s="5"/>
      <c r="K1083" s="22">
        <f>YEAR(Tabla1[[#This Row],[Fecha]])</f>
        <v>2023</v>
      </c>
      <c r="L1083" s="22">
        <f>MONTH(Tabla1[[#This Row],[Fecha]])</f>
        <v>6</v>
      </c>
    </row>
    <row r="1084" spans="2:12" hidden="1" x14ac:dyDescent="0.25">
      <c r="B1084" s="5" t="s">
        <v>248</v>
      </c>
      <c r="C1084" s="5" t="s">
        <v>278</v>
      </c>
      <c r="D1084" s="5" t="s">
        <v>11</v>
      </c>
      <c r="E1084" s="6">
        <v>45092</v>
      </c>
      <c r="F1084" s="11" t="s">
        <v>15</v>
      </c>
      <c r="G1084" s="11" t="s">
        <v>36</v>
      </c>
      <c r="H1084" s="11" t="s">
        <v>1792</v>
      </c>
      <c r="I1084" s="11" t="s">
        <v>1237</v>
      </c>
      <c r="J1084" s="5"/>
      <c r="K1084" s="22">
        <f>YEAR(Tabla1[[#This Row],[Fecha]])</f>
        <v>2023</v>
      </c>
      <c r="L1084" s="22">
        <f>MONTH(Tabla1[[#This Row],[Fecha]])</f>
        <v>6</v>
      </c>
    </row>
    <row r="1085" spans="2:12" hidden="1" x14ac:dyDescent="0.25">
      <c r="B1085" s="5" t="s">
        <v>309</v>
      </c>
      <c r="C1085" s="5" t="s">
        <v>371</v>
      </c>
      <c r="D1085" s="5" t="s">
        <v>11</v>
      </c>
      <c r="E1085" s="6">
        <v>45091</v>
      </c>
      <c r="F1085" s="4" t="s">
        <v>15</v>
      </c>
      <c r="G1085" s="4" t="s">
        <v>16</v>
      </c>
      <c r="H1085" s="4" t="s">
        <v>34</v>
      </c>
      <c r="I1085" s="5" t="s">
        <v>1235</v>
      </c>
      <c r="J1085" s="5"/>
      <c r="K1085" s="22">
        <f>YEAR(Tabla1[[#This Row],[Fecha]])</f>
        <v>2023</v>
      </c>
      <c r="L1085" s="22">
        <f>MONTH(Tabla1[[#This Row],[Fecha]])</f>
        <v>6</v>
      </c>
    </row>
    <row r="1086" spans="2:12" hidden="1" x14ac:dyDescent="0.25">
      <c r="B1086" s="5" t="s">
        <v>27</v>
      </c>
      <c r="C1086" s="5" t="s">
        <v>28</v>
      </c>
      <c r="D1086" s="5" t="s">
        <v>131</v>
      </c>
      <c r="E1086" s="6">
        <v>45089</v>
      </c>
      <c r="F1086" s="4" t="s">
        <v>15</v>
      </c>
      <c r="G1086" s="4" t="s">
        <v>16</v>
      </c>
      <c r="H1086" s="2" t="s">
        <v>1775</v>
      </c>
      <c r="I1086" s="11" t="s">
        <v>1279</v>
      </c>
      <c r="J1086" s="5"/>
      <c r="K1086" s="22">
        <f>YEAR(Tabla1[[#This Row],[Fecha]])</f>
        <v>2023</v>
      </c>
      <c r="L1086" s="22">
        <f>MONTH(Tabla1[[#This Row],[Fecha]])</f>
        <v>6</v>
      </c>
    </row>
    <row r="1087" spans="2:12" hidden="1" x14ac:dyDescent="0.25">
      <c r="B1087" s="5" t="s">
        <v>309</v>
      </c>
      <c r="C1087" s="5" t="s">
        <v>321</v>
      </c>
      <c r="D1087" s="5" t="s">
        <v>11</v>
      </c>
      <c r="E1087" s="6">
        <v>45086</v>
      </c>
      <c r="F1087" s="4" t="s">
        <v>91</v>
      </c>
      <c r="G1087" s="4" t="s">
        <v>303</v>
      </c>
      <c r="H1087" s="20" t="s">
        <v>434</v>
      </c>
      <c r="I1087" s="11" t="s">
        <v>1307</v>
      </c>
      <c r="J1087" s="5" t="s">
        <v>1308</v>
      </c>
      <c r="K1087" s="22">
        <f>YEAR(Tabla1[[#This Row],[Fecha]])</f>
        <v>2023</v>
      </c>
      <c r="L1087" s="22">
        <f>MONTH(Tabla1[[#This Row],[Fecha]])</f>
        <v>6</v>
      </c>
    </row>
    <row r="1088" spans="2:12" hidden="1" x14ac:dyDescent="0.25">
      <c r="B1088" s="5" t="s">
        <v>309</v>
      </c>
      <c r="C1088" s="5" t="s">
        <v>320</v>
      </c>
      <c r="D1088" s="5" t="s">
        <v>11</v>
      </c>
      <c r="E1088" s="6">
        <v>45084</v>
      </c>
      <c r="F1088" s="4" t="s">
        <v>91</v>
      </c>
      <c r="G1088" s="4" t="s">
        <v>303</v>
      </c>
      <c r="H1088" s="20" t="s">
        <v>434</v>
      </c>
      <c r="I1088" s="11" t="s">
        <v>1278</v>
      </c>
      <c r="J1088" s="5"/>
      <c r="K1088" s="22">
        <f>YEAR(Tabla1[[#This Row],[Fecha]])</f>
        <v>2023</v>
      </c>
      <c r="L1088" s="22">
        <f>MONTH(Tabla1[[#This Row],[Fecha]])</f>
        <v>6</v>
      </c>
    </row>
    <row r="1089" spans="2:12" hidden="1" x14ac:dyDescent="0.25">
      <c r="B1089" s="5" t="s">
        <v>9</v>
      </c>
      <c r="C1089" s="5" t="s">
        <v>93</v>
      </c>
      <c r="D1089" s="5" t="s">
        <v>11</v>
      </c>
      <c r="E1089" s="6">
        <v>45084</v>
      </c>
      <c r="F1089" s="4" t="s">
        <v>15</v>
      </c>
      <c r="G1089" s="4" t="s">
        <v>24</v>
      </c>
      <c r="H1089" s="4" t="s">
        <v>1773</v>
      </c>
      <c r="I1089" s="11" t="s">
        <v>1306</v>
      </c>
      <c r="J1089" s="5"/>
      <c r="K1089" s="22">
        <f>YEAR(Tabla1[[#This Row],[Fecha]])</f>
        <v>2023</v>
      </c>
      <c r="L1089" s="22">
        <f>MONTH(Tabla1[[#This Row],[Fecha]])</f>
        <v>6</v>
      </c>
    </row>
    <row r="1090" spans="2:12" hidden="1" x14ac:dyDescent="0.25">
      <c r="B1090" s="5" t="s">
        <v>309</v>
      </c>
      <c r="C1090" s="5" t="s">
        <v>313</v>
      </c>
      <c r="D1090" s="5" t="s">
        <v>11</v>
      </c>
      <c r="E1090" s="6">
        <v>45084</v>
      </c>
      <c r="F1090" s="4" t="s">
        <v>91</v>
      </c>
      <c r="G1090" s="4" t="s">
        <v>47</v>
      </c>
      <c r="H1090" s="4" t="s">
        <v>121</v>
      </c>
      <c r="I1090" s="11" t="s">
        <v>1309</v>
      </c>
      <c r="J1090" s="5"/>
      <c r="K1090" s="22">
        <f>YEAR(Tabla1[[#This Row],[Fecha]])</f>
        <v>2023</v>
      </c>
      <c r="L1090" s="22">
        <f>MONTH(Tabla1[[#This Row],[Fecha]])</f>
        <v>6</v>
      </c>
    </row>
    <row r="1091" spans="2:12" hidden="1" x14ac:dyDescent="0.25">
      <c r="B1091" s="5" t="s">
        <v>1266</v>
      </c>
      <c r="C1091" s="5" t="s">
        <v>1267</v>
      </c>
      <c r="D1091" s="5" t="s">
        <v>11</v>
      </c>
      <c r="E1091" s="6">
        <v>45083</v>
      </c>
      <c r="F1091" s="4" t="s">
        <v>15</v>
      </c>
      <c r="G1091" s="4" t="s">
        <v>16</v>
      </c>
      <c r="H1091" s="2" t="s">
        <v>1704</v>
      </c>
      <c r="I1091" s="26" t="s">
        <v>1268</v>
      </c>
      <c r="J1091" s="5"/>
      <c r="K1091" s="22">
        <f>YEAR(Tabla1[[#This Row],[Fecha]])</f>
        <v>2023</v>
      </c>
      <c r="L1091" s="22">
        <f>MONTH(Tabla1[[#This Row],[Fecha]])</f>
        <v>6</v>
      </c>
    </row>
    <row r="1092" spans="2:12" hidden="1" x14ac:dyDescent="0.25">
      <c r="B1092" s="5" t="s">
        <v>1266</v>
      </c>
      <c r="C1092" s="5" t="s">
        <v>1269</v>
      </c>
      <c r="D1092" s="5" t="s">
        <v>11</v>
      </c>
      <c r="E1092" s="6">
        <v>45083</v>
      </c>
      <c r="F1092" s="4" t="s">
        <v>15</v>
      </c>
      <c r="G1092" s="4" t="s">
        <v>16</v>
      </c>
      <c r="H1092" s="2" t="s">
        <v>1704</v>
      </c>
      <c r="I1092" s="26" t="s">
        <v>1268</v>
      </c>
      <c r="J1092" s="5"/>
      <c r="K1092" s="22">
        <f>YEAR(Tabla1[[#This Row],[Fecha]])</f>
        <v>2023</v>
      </c>
      <c r="L1092" s="22">
        <f>MONTH(Tabla1[[#This Row],[Fecha]])</f>
        <v>6</v>
      </c>
    </row>
    <row r="1093" spans="2:12" hidden="1" x14ac:dyDescent="0.25">
      <c r="B1093" s="5" t="s">
        <v>309</v>
      </c>
      <c r="C1093" s="5" t="s">
        <v>313</v>
      </c>
      <c r="D1093" s="5" t="s">
        <v>11</v>
      </c>
      <c r="E1093" s="6">
        <v>45082</v>
      </c>
      <c r="F1093" s="4" t="s">
        <v>15</v>
      </c>
      <c r="G1093" s="4" t="s">
        <v>16</v>
      </c>
      <c r="H1093" s="4" t="s">
        <v>1775</v>
      </c>
      <c r="I1093" s="11" t="s">
        <v>1355</v>
      </c>
      <c r="J1093" s="5" t="s">
        <v>1356</v>
      </c>
      <c r="K1093" s="22">
        <f>YEAR(Tabla1[[#This Row],[Fecha]])</f>
        <v>2023</v>
      </c>
      <c r="L1093" s="22">
        <f>MONTH(Tabla1[[#This Row],[Fecha]])</f>
        <v>6</v>
      </c>
    </row>
    <row r="1094" spans="2:12" hidden="1" x14ac:dyDescent="0.25">
      <c r="B1094" s="5" t="s">
        <v>309</v>
      </c>
      <c r="C1094" s="5" t="s">
        <v>321</v>
      </c>
      <c r="D1094" s="5" t="s">
        <v>11</v>
      </c>
      <c r="E1094" s="6">
        <v>45082</v>
      </c>
      <c r="F1094" s="4" t="s">
        <v>91</v>
      </c>
      <c r="G1094" s="4" t="s">
        <v>303</v>
      </c>
      <c r="H1094" s="4" t="s">
        <v>431</v>
      </c>
      <c r="I1094" s="11" t="s">
        <v>1357</v>
      </c>
      <c r="J1094" s="5" t="s">
        <v>1358</v>
      </c>
      <c r="K1094" s="22">
        <f>YEAR(Tabla1[[#This Row],[Fecha]])</f>
        <v>2023</v>
      </c>
      <c r="L1094" s="22">
        <f>MONTH(Tabla1[[#This Row],[Fecha]])</f>
        <v>6</v>
      </c>
    </row>
    <row r="1095" spans="2:12" hidden="1" x14ac:dyDescent="0.25">
      <c r="B1095" s="5" t="s">
        <v>309</v>
      </c>
      <c r="C1095" s="5" t="s">
        <v>320</v>
      </c>
      <c r="D1095" s="5" t="s">
        <v>11</v>
      </c>
      <c r="E1095" s="6">
        <v>45082</v>
      </c>
      <c r="F1095" s="4" t="s">
        <v>91</v>
      </c>
      <c r="G1095" s="4" t="s">
        <v>303</v>
      </c>
      <c r="H1095" s="4" t="s">
        <v>431</v>
      </c>
      <c r="I1095" s="11" t="s">
        <v>1359</v>
      </c>
      <c r="J1095" s="5"/>
      <c r="K1095" s="22">
        <f>YEAR(Tabla1[[#This Row],[Fecha]])</f>
        <v>2023</v>
      </c>
      <c r="L1095" s="22">
        <f>MONTH(Tabla1[[#This Row],[Fecha]])</f>
        <v>6</v>
      </c>
    </row>
    <row r="1096" spans="2:12" hidden="1" x14ac:dyDescent="0.25">
      <c r="B1096" s="5" t="s">
        <v>1266</v>
      </c>
      <c r="C1096" s="5" t="s">
        <v>1269</v>
      </c>
      <c r="D1096" s="5" t="s">
        <v>11</v>
      </c>
      <c r="E1096" s="6">
        <v>45076</v>
      </c>
      <c r="F1096" s="4" t="s">
        <v>15</v>
      </c>
      <c r="G1096" s="4" t="s">
        <v>16</v>
      </c>
      <c r="H1096" s="2" t="s">
        <v>1704</v>
      </c>
      <c r="I1096" s="26" t="s">
        <v>1270</v>
      </c>
      <c r="J1096" s="5"/>
      <c r="K1096" s="22">
        <f>YEAR(Tabla1[[#This Row],[Fecha]])</f>
        <v>2023</v>
      </c>
      <c r="L1096" s="22">
        <f>MONTH(Tabla1[[#This Row],[Fecha]])</f>
        <v>5</v>
      </c>
    </row>
    <row r="1097" spans="2:12" hidden="1" x14ac:dyDescent="0.25">
      <c r="B1097" s="5" t="s">
        <v>1266</v>
      </c>
      <c r="C1097" s="5" t="s">
        <v>1267</v>
      </c>
      <c r="D1097" s="5" t="s">
        <v>11</v>
      </c>
      <c r="E1097" s="6">
        <v>45076</v>
      </c>
      <c r="F1097" s="4" t="s">
        <v>15</v>
      </c>
      <c r="G1097" s="4" t="s">
        <v>16</v>
      </c>
      <c r="H1097" s="2" t="s">
        <v>1704</v>
      </c>
      <c r="I1097" s="26" t="s">
        <v>1270</v>
      </c>
      <c r="J1097" s="5"/>
      <c r="K1097" s="22">
        <f>YEAR(Tabla1[[#This Row],[Fecha]])</f>
        <v>2023</v>
      </c>
      <c r="L1097" s="22">
        <f>MONTH(Tabla1[[#This Row],[Fecha]])</f>
        <v>5</v>
      </c>
    </row>
    <row r="1098" spans="2:12" hidden="1" x14ac:dyDescent="0.25">
      <c r="B1098" s="5" t="s">
        <v>181</v>
      </c>
      <c r="C1098" s="5" t="s">
        <v>182</v>
      </c>
      <c r="D1098" s="5" t="s">
        <v>11</v>
      </c>
      <c r="E1098" s="6">
        <v>45069</v>
      </c>
      <c r="F1098" s="4" t="s">
        <v>15</v>
      </c>
      <c r="G1098" s="4" t="s">
        <v>16</v>
      </c>
      <c r="H1098" s="2" t="s">
        <v>74</v>
      </c>
      <c r="I1098" s="26" t="s">
        <v>1261</v>
      </c>
      <c r="J1098" s="5"/>
      <c r="K1098" s="22">
        <f>YEAR(Tabla1[[#This Row],[Fecha]])</f>
        <v>2023</v>
      </c>
      <c r="L1098" s="22">
        <f>MONTH(Tabla1[[#This Row],[Fecha]])</f>
        <v>5</v>
      </c>
    </row>
    <row r="1099" spans="2:12" hidden="1" x14ac:dyDescent="0.25">
      <c r="B1099" s="5" t="s">
        <v>181</v>
      </c>
      <c r="C1099" s="5" t="s">
        <v>182</v>
      </c>
      <c r="D1099" s="5" t="s">
        <v>11</v>
      </c>
      <c r="E1099" s="6">
        <v>45069</v>
      </c>
      <c r="F1099" s="4" t="s">
        <v>15</v>
      </c>
      <c r="G1099" s="4" t="s">
        <v>16</v>
      </c>
      <c r="H1099" s="2" t="s">
        <v>74</v>
      </c>
      <c r="I1099" s="26" t="s">
        <v>1360</v>
      </c>
      <c r="J1099" s="5"/>
      <c r="K1099" s="22">
        <f>YEAR(Tabla1[[#This Row],[Fecha]])</f>
        <v>2023</v>
      </c>
      <c r="L1099" s="22">
        <f>MONTH(Tabla1[[#This Row],[Fecha]])</f>
        <v>5</v>
      </c>
    </row>
    <row r="1100" spans="2:12" hidden="1" x14ac:dyDescent="0.25">
      <c r="B1100" s="2" t="s">
        <v>309</v>
      </c>
      <c r="C1100" s="2" t="s">
        <v>321</v>
      </c>
      <c r="D1100" s="2" t="s">
        <v>1583</v>
      </c>
      <c r="E1100" s="12">
        <v>45069</v>
      </c>
      <c r="F1100" s="4" t="s">
        <v>15</v>
      </c>
      <c r="G1100" s="4" t="s">
        <v>16</v>
      </c>
      <c r="H1100" s="2" t="s">
        <v>43</v>
      </c>
      <c r="I1100" s="26" t="s">
        <v>1586</v>
      </c>
      <c r="J1100" s="2" t="s">
        <v>1587</v>
      </c>
      <c r="K1100" s="22">
        <f>YEAR(Tabla1[[#This Row],[Fecha]])</f>
        <v>2023</v>
      </c>
      <c r="L1100" s="22">
        <f>MONTH(Tabla1[[#This Row],[Fecha]])</f>
        <v>5</v>
      </c>
    </row>
    <row r="1101" spans="2:12" hidden="1" x14ac:dyDescent="0.25">
      <c r="B1101" s="2" t="s">
        <v>181</v>
      </c>
      <c r="C1101" s="2" t="s">
        <v>182</v>
      </c>
      <c r="D1101" s="2" t="s">
        <v>1583</v>
      </c>
      <c r="E1101" s="12">
        <v>45069</v>
      </c>
      <c r="F1101" s="2" t="s">
        <v>15</v>
      </c>
      <c r="G1101" s="2" t="s">
        <v>16</v>
      </c>
      <c r="H1101" s="2" t="s">
        <v>41</v>
      </c>
      <c r="I1101" s="2" t="s">
        <v>1590</v>
      </c>
      <c r="J1101" s="11"/>
      <c r="K1101" s="22">
        <f>YEAR(Tabla1[[#This Row],[Fecha]])</f>
        <v>2023</v>
      </c>
      <c r="L1101" s="22">
        <f>MONTH(Tabla1[[#This Row],[Fecha]])</f>
        <v>5</v>
      </c>
    </row>
    <row r="1102" spans="2:12" hidden="1" x14ac:dyDescent="0.25">
      <c r="B1102" s="5" t="s">
        <v>309</v>
      </c>
      <c r="C1102" s="5" t="s">
        <v>321</v>
      </c>
      <c r="D1102" s="5" t="s">
        <v>11</v>
      </c>
      <c r="E1102" s="6">
        <v>45068</v>
      </c>
      <c r="F1102" s="4" t="s">
        <v>15</v>
      </c>
      <c r="G1102" s="2" t="s">
        <v>16</v>
      </c>
      <c r="H1102" s="33" t="s">
        <v>63</v>
      </c>
      <c r="I1102" s="2" t="s">
        <v>1376</v>
      </c>
      <c r="J1102" s="5" t="s">
        <v>1377</v>
      </c>
      <c r="K1102" s="15">
        <f>YEAR(Tabla1[[#This Row],[Fecha]])</f>
        <v>2023</v>
      </c>
      <c r="L1102" s="15">
        <f>MONTH(Tabla1[[#This Row],[Fecha]])</f>
        <v>5</v>
      </c>
    </row>
    <row r="1103" spans="2:12" hidden="1" x14ac:dyDescent="0.25">
      <c r="B1103" s="5" t="s">
        <v>32</v>
      </c>
      <c r="C1103" s="5" t="s">
        <v>700</v>
      </c>
      <c r="D1103" s="5" t="s">
        <v>131</v>
      </c>
      <c r="E1103" s="6">
        <v>45065</v>
      </c>
      <c r="F1103" s="4" t="s">
        <v>15</v>
      </c>
      <c r="G1103" s="4" t="s">
        <v>36</v>
      </c>
      <c r="H1103" s="2" t="s">
        <v>1788</v>
      </c>
      <c r="I1103" s="11" t="s">
        <v>1345</v>
      </c>
      <c r="J1103" s="5"/>
      <c r="K1103" s="22">
        <f>YEAR(Tabla1[[#This Row],[Fecha]])</f>
        <v>2023</v>
      </c>
      <c r="L1103" s="22">
        <f>MONTH(Tabla1[[#This Row],[Fecha]])</f>
        <v>5</v>
      </c>
    </row>
    <row r="1104" spans="2:12" hidden="1" x14ac:dyDescent="0.25">
      <c r="B1104" s="5" t="s">
        <v>309</v>
      </c>
      <c r="C1104" s="5" t="s">
        <v>321</v>
      </c>
      <c r="D1104" s="5" t="s">
        <v>131</v>
      </c>
      <c r="E1104" s="6">
        <v>45065</v>
      </c>
      <c r="F1104" s="4" t="s">
        <v>91</v>
      </c>
      <c r="G1104" s="32" t="s">
        <v>36</v>
      </c>
      <c r="H1104" s="32" t="s">
        <v>72</v>
      </c>
      <c r="I1104" s="2" t="s">
        <v>1378</v>
      </c>
      <c r="J1104" s="7"/>
      <c r="K1104" s="15">
        <f>YEAR(Tabla1[[#This Row],[Fecha]])</f>
        <v>2023</v>
      </c>
      <c r="L1104" s="15">
        <f>MONTH(Tabla1[[#This Row],[Fecha]])</f>
        <v>5</v>
      </c>
    </row>
    <row r="1105" spans="2:12" hidden="1" x14ac:dyDescent="0.25">
      <c r="B1105" s="2" t="s">
        <v>309</v>
      </c>
      <c r="C1105" s="2" t="s">
        <v>321</v>
      </c>
      <c r="D1105" s="2" t="s">
        <v>131</v>
      </c>
      <c r="E1105" s="12">
        <v>45065</v>
      </c>
      <c r="F1105" s="4" t="s">
        <v>15</v>
      </c>
      <c r="G1105" s="4" t="s">
        <v>36</v>
      </c>
      <c r="H1105" s="2" t="s">
        <v>1788</v>
      </c>
      <c r="I1105" s="2" t="s">
        <v>1588</v>
      </c>
      <c r="J1105" s="2" t="s">
        <v>1589</v>
      </c>
      <c r="K1105" s="22">
        <f>YEAR(Tabla1[[#This Row],[Fecha]])</f>
        <v>2023</v>
      </c>
      <c r="L1105" s="22">
        <f>MONTH(Tabla1[[#This Row],[Fecha]])</f>
        <v>5</v>
      </c>
    </row>
    <row r="1106" spans="2:12" hidden="1" x14ac:dyDescent="0.25">
      <c r="B1106" s="5" t="s">
        <v>309</v>
      </c>
      <c r="C1106" s="5" t="s">
        <v>378</v>
      </c>
      <c r="D1106" s="5" t="s">
        <v>11</v>
      </c>
      <c r="E1106" s="6">
        <v>45064</v>
      </c>
      <c r="F1106" s="4" t="s">
        <v>15</v>
      </c>
      <c r="G1106" s="4" t="s">
        <v>16</v>
      </c>
      <c r="H1106" s="4" t="s">
        <v>34</v>
      </c>
      <c r="I1106" s="11" t="s">
        <v>1477</v>
      </c>
      <c r="J1106" s="5"/>
      <c r="K1106" s="22">
        <f>YEAR(Tabla1[[#This Row],[Fecha]])</f>
        <v>2023</v>
      </c>
      <c r="L1106" s="22">
        <f>MONTH(Tabla1[[#This Row],[Fecha]])</f>
        <v>5</v>
      </c>
    </row>
    <row r="1107" spans="2:12" hidden="1" x14ac:dyDescent="0.25">
      <c r="B1107" s="5" t="s">
        <v>309</v>
      </c>
      <c r="C1107" s="5" t="s">
        <v>378</v>
      </c>
      <c r="D1107" s="5" t="s">
        <v>11</v>
      </c>
      <c r="E1107" s="6">
        <v>45063</v>
      </c>
      <c r="F1107" s="4" t="s">
        <v>91</v>
      </c>
      <c r="G1107" s="2" t="s">
        <v>16</v>
      </c>
      <c r="H1107" s="2" t="s">
        <v>1775</v>
      </c>
      <c r="I1107" s="2" t="s">
        <v>1478</v>
      </c>
      <c r="J1107" s="5" t="s">
        <v>1479</v>
      </c>
      <c r="K1107" s="15">
        <f>YEAR(Tabla1[[#This Row],[Fecha]])</f>
        <v>2023</v>
      </c>
      <c r="L1107" s="15">
        <f>MONTH(Tabla1[[#This Row],[Fecha]])</f>
        <v>5</v>
      </c>
    </row>
    <row r="1108" spans="2:12" hidden="1" x14ac:dyDescent="0.25">
      <c r="B1108" s="2" t="s">
        <v>309</v>
      </c>
      <c r="C1108" s="2" t="s">
        <v>310</v>
      </c>
      <c r="D1108" s="2" t="s">
        <v>11</v>
      </c>
      <c r="E1108" s="12">
        <v>45063</v>
      </c>
      <c r="F1108" s="2" t="s">
        <v>91</v>
      </c>
      <c r="G1108" s="4" t="s">
        <v>16</v>
      </c>
      <c r="H1108" s="2" t="s">
        <v>1775</v>
      </c>
      <c r="I1108" s="2" t="s">
        <v>1581</v>
      </c>
      <c r="J1108" s="2" t="s">
        <v>1582</v>
      </c>
      <c r="K1108" s="22">
        <f>YEAR(Tabla1[[#This Row],[Fecha]])</f>
        <v>2023</v>
      </c>
      <c r="L1108" s="22">
        <f>MONTH(Tabla1[[#This Row],[Fecha]])</f>
        <v>5</v>
      </c>
    </row>
    <row r="1109" spans="2:12" hidden="1" x14ac:dyDescent="0.25">
      <c r="B1109" s="5" t="s">
        <v>309</v>
      </c>
      <c r="C1109" s="5" t="s">
        <v>728</v>
      </c>
      <c r="D1109" s="5" t="s">
        <v>131</v>
      </c>
      <c r="E1109" s="13">
        <v>45062</v>
      </c>
      <c r="F1109" s="4" t="s">
        <v>91</v>
      </c>
      <c r="G1109" s="2" t="s">
        <v>16</v>
      </c>
      <c r="H1109" s="2" t="s">
        <v>1775</v>
      </c>
      <c r="I1109" s="2" t="s">
        <v>1659</v>
      </c>
      <c r="J1109" s="7"/>
      <c r="K1109" s="15">
        <f>YEAR(Tabla1[[#This Row],[Fecha]])</f>
        <v>2023</v>
      </c>
      <c r="L1109" s="15">
        <f>MONTH(Tabla1[[#This Row],[Fecha]])</f>
        <v>5</v>
      </c>
    </row>
    <row r="1110" spans="2:12" hidden="1" x14ac:dyDescent="0.25">
      <c r="B1110" s="5" t="s">
        <v>309</v>
      </c>
      <c r="C1110" s="5" t="s">
        <v>711</v>
      </c>
      <c r="D1110" s="5" t="s">
        <v>131</v>
      </c>
      <c r="E1110" s="13">
        <v>45062</v>
      </c>
      <c r="F1110" s="4" t="s">
        <v>91</v>
      </c>
      <c r="G1110" s="2" t="s">
        <v>16</v>
      </c>
      <c r="H1110" s="2" t="s">
        <v>1775</v>
      </c>
      <c r="I1110" s="2" t="s">
        <v>1660</v>
      </c>
      <c r="J1110" s="7"/>
      <c r="K1110" s="15">
        <f>YEAR(Tabla1[[#This Row],[Fecha]])</f>
        <v>2023</v>
      </c>
      <c r="L1110" s="15">
        <f>MONTH(Tabla1[[#This Row],[Fecha]])</f>
        <v>5</v>
      </c>
    </row>
    <row r="1111" spans="2:12" ht="30" hidden="1" x14ac:dyDescent="0.25">
      <c r="B1111" s="5" t="s">
        <v>49</v>
      </c>
      <c r="C1111" s="5" t="s">
        <v>117</v>
      </c>
      <c r="D1111" s="5" t="s">
        <v>131</v>
      </c>
      <c r="E1111" s="6">
        <v>45061</v>
      </c>
      <c r="F1111" s="4" t="s">
        <v>15</v>
      </c>
      <c r="G1111" s="4" t="s">
        <v>47</v>
      </c>
      <c r="H1111" s="4" t="s">
        <v>333</v>
      </c>
      <c r="I1111" s="23" t="s">
        <v>1742</v>
      </c>
      <c r="J1111" s="5"/>
      <c r="K1111" s="22">
        <f>YEAR(Tabla1[[#This Row],[Fecha]])</f>
        <v>2023</v>
      </c>
      <c r="L1111" s="22">
        <f>MONTH(Tabla1[[#This Row],[Fecha]])</f>
        <v>5</v>
      </c>
    </row>
    <row r="1112" spans="2:12" ht="30" hidden="1" x14ac:dyDescent="0.25">
      <c r="B1112" s="5" t="s">
        <v>49</v>
      </c>
      <c r="C1112" s="5" t="s">
        <v>117</v>
      </c>
      <c r="D1112" s="5" t="s">
        <v>131</v>
      </c>
      <c r="E1112" s="6">
        <v>45061</v>
      </c>
      <c r="F1112" s="4" t="s">
        <v>91</v>
      </c>
      <c r="G1112" s="4" t="s">
        <v>24</v>
      </c>
      <c r="H1112" s="8" t="s">
        <v>83</v>
      </c>
      <c r="I1112" s="23" t="s">
        <v>1743</v>
      </c>
      <c r="J1112" s="7"/>
      <c r="K1112" s="15">
        <f>YEAR(Tabla1[[#This Row],[Fecha]])</f>
        <v>2023</v>
      </c>
      <c r="L1112" s="15">
        <f>MONTH(Tabla1[[#This Row],[Fecha]])</f>
        <v>5</v>
      </c>
    </row>
    <row r="1113" spans="2:12" hidden="1" x14ac:dyDescent="0.25">
      <c r="B1113" s="5" t="s">
        <v>32</v>
      </c>
      <c r="C1113" s="5" t="s">
        <v>33</v>
      </c>
      <c r="D1113" s="5" t="s">
        <v>131</v>
      </c>
      <c r="E1113" s="6">
        <v>45061</v>
      </c>
      <c r="F1113" s="4" t="s">
        <v>91</v>
      </c>
      <c r="G1113" s="2" t="s">
        <v>16</v>
      </c>
      <c r="H1113" s="2" t="s">
        <v>1775</v>
      </c>
      <c r="I1113" s="2" t="s">
        <v>1346</v>
      </c>
      <c r="J1113" s="7"/>
      <c r="K1113" s="15">
        <f>YEAR(Tabla1[[#This Row],[Fecha]])</f>
        <v>2023</v>
      </c>
      <c r="L1113" s="15">
        <f>MONTH(Tabla1[[#This Row],[Fecha]])</f>
        <v>5</v>
      </c>
    </row>
    <row r="1114" spans="2:12" hidden="1" x14ac:dyDescent="0.25">
      <c r="B1114" s="5" t="s">
        <v>27</v>
      </c>
      <c r="C1114" s="5" t="s">
        <v>28</v>
      </c>
      <c r="D1114" s="5" t="s">
        <v>131</v>
      </c>
      <c r="E1114" s="6">
        <v>45058</v>
      </c>
      <c r="F1114" s="4" t="s">
        <v>91</v>
      </c>
      <c r="G1114" s="31" t="s">
        <v>103</v>
      </c>
      <c r="H1114" s="31" t="s">
        <v>1779</v>
      </c>
      <c r="I1114" s="11" t="s">
        <v>1280</v>
      </c>
      <c r="J1114" s="5"/>
      <c r="K1114" s="22">
        <f>YEAR(Tabla1[[#This Row],[Fecha]])</f>
        <v>2023</v>
      </c>
      <c r="L1114" s="22">
        <f>MONTH(Tabla1[[#This Row],[Fecha]])</f>
        <v>5</v>
      </c>
    </row>
    <row r="1115" spans="2:12" hidden="1" x14ac:dyDescent="0.25">
      <c r="B1115" s="5" t="s">
        <v>32</v>
      </c>
      <c r="C1115" s="5" t="s">
        <v>700</v>
      </c>
      <c r="D1115" s="5" t="s">
        <v>131</v>
      </c>
      <c r="E1115" s="6">
        <v>45058</v>
      </c>
      <c r="F1115" s="11" t="s">
        <v>15</v>
      </c>
      <c r="G1115" s="11" t="s">
        <v>36</v>
      </c>
      <c r="H1115" s="11" t="s">
        <v>1783</v>
      </c>
      <c r="I1115" s="11" t="s">
        <v>1344</v>
      </c>
      <c r="J1115" s="5"/>
      <c r="K1115" s="22">
        <f>YEAR(Tabla1[[#This Row],[Fecha]])</f>
        <v>2023</v>
      </c>
      <c r="L1115" s="22">
        <f>MONTH(Tabla1[[#This Row],[Fecha]])</f>
        <v>5</v>
      </c>
    </row>
    <row r="1116" spans="2:12" hidden="1" x14ac:dyDescent="0.25">
      <c r="B1116" s="5" t="s">
        <v>49</v>
      </c>
      <c r="C1116" s="5" t="s">
        <v>50</v>
      </c>
      <c r="D1116" s="5" t="s">
        <v>131</v>
      </c>
      <c r="E1116" s="6">
        <v>45055</v>
      </c>
      <c r="F1116" s="4" t="s">
        <v>91</v>
      </c>
      <c r="G1116" s="4" t="s">
        <v>24</v>
      </c>
      <c r="H1116" s="8" t="s">
        <v>118</v>
      </c>
      <c r="I1116" s="5" t="s">
        <v>1080</v>
      </c>
      <c r="J1116" s="7"/>
      <c r="K1116" s="15">
        <f>YEAR(Tabla1[[#This Row],[Fecha]])</f>
        <v>2023</v>
      </c>
      <c r="L1116" s="15">
        <f>MONTH(Tabla1[[#This Row],[Fecha]])</f>
        <v>5</v>
      </c>
    </row>
    <row r="1117" spans="2:12" hidden="1" x14ac:dyDescent="0.25">
      <c r="B1117" s="5" t="s">
        <v>49</v>
      </c>
      <c r="C1117" s="5" t="s">
        <v>115</v>
      </c>
      <c r="D1117" s="5" t="s">
        <v>131</v>
      </c>
      <c r="E1117" s="6">
        <v>45055</v>
      </c>
      <c r="F1117" s="4" t="s">
        <v>91</v>
      </c>
      <c r="G1117" s="4" t="s">
        <v>24</v>
      </c>
      <c r="H1117" s="8" t="s">
        <v>118</v>
      </c>
      <c r="I1117" s="5" t="s">
        <v>1744</v>
      </c>
      <c r="J1117" s="7"/>
      <c r="K1117" s="15">
        <f>YEAR(Tabla1[[#This Row],[Fecha]])</f>
        <v>2023</v>
      </c>
      <c r="L1117" s="15">
        <f>MONTH(Tabla1[[#This Row],[Fecha]])</f>
        <v>5</v>
      </c>
    </row>
    <row r="1118" spans="2:12" hidden="1" x14ac:dyDescent="0.25">
      <c r="B1118" s="5" t="s">
        <v>49</v>
      </c>
      <c r="C1118" s="5" t="s">
        <v>117</v>
      </c>
      <c r="D1118" s="5" t="s">
        <v>131</v>
      </c>
      <c r="E1118" s="6">
        <v>45055</v>
      </c>
      <c r="F1118" s="4" t="s">
        <v>91</v>
      </c>
      <c r="G1118" s="4" t="s">
        <v>24</v>
      </c>
      <c r="H1118" s="8" t="s">
        <v>118</v>
      </c>
      <c r="I1118" s="5" t="s">
        <v>1081</v>
      </c>
      <c r="J1118" s="7"/>
      <c r="K1118" s="15">
        <f>YEAR(Tabla1[[#This Row],[Fecha]])</f>
        <v>2023</v>
      </c>
      <c r="L1118" s="15">
        <f>MONTH(Tabla1[[#This Row],[Fecha]])</f>
        <v>5</v>
      </c>
    </row>
    <row r="1119" spans="2:12" hidden="1" x14ac:dyDescent="0.25">
      <c r="B1119" s="5" t="s">
        <v>49</v>
      </c>
      <c r="C1119" s="5" t="s">
        <v>123</v>
      </c>
      <c r="D1119" s="5" t="s">
        <v>131</v>
      </c>
      <c r="E1119" s="6">
        <v>45055</v>
      </c>
      <c r="F1119" s="4" t="s">
        <v>91</v>
      </c>
      <c r="G1119" s="4" t="s">
        <v>24</v>
      </c>
      <c r="H1119" s="8" t="s">
        <v>118</v>
      </c>
      <c r="I1119" s="5" t="s">
        <v>1081</v>
      </c>
      <c r="J1119" s="7"/>
      <c r="K1119" s="15">
        <f>YEAR(Tabla1[[#This Row],[Fecha]])</f>
        <v>2023</v>
      </c>
      <c r="L1119" s="15">
        <f>MONTH(Tabla1[[#This Row],[Fecha]])</f>
        <v>5</v>
      </c>
    </row>
    <row r="1120" spans="2:12" ht="30" hidden="1" x14ac:dyDescent="0.25">
      <c r="B1120" s="5" t="s">
        <v>49</v>
      </c>
      <c r="C1120" s="5" t="s">
        <v>57</v>
      </c>
      <c r="D1120" s="5" t="s">
        <v>131</v>
      </c>
      <c r="E1120" s="6">
        <v>45055</v>
      </c>
      <c r="F1120" s="4" t="s">
        <v>91</v>
      </c>
      <c r="G1120" s="4" t="s">
        <v>24</v>
      </c>
      <c r="H1120" s="8" t="s">
        <v>118</v>
      </c>
      <c r="I1120" s="23" t="s">
        <v>1745</v>
      </c>
      <c r="J1120" s="7"/>
      <c r="K1120" s="15">
        <f>YEAR(Tabla1[[#This Row],[Fecha]])</f>
        <v>2023</v>
      </c>
      <c r="L1120" s="15">
        <f>MONTH(Tabla1[[#This Row],[Fecha]])</f>
        <v>5</v>
      </c>
    </row>
    <row r="1121" spans="2:12" hidden="1" x14ac:dyDescent="0.25">
      <c r="B1121" s="5" t="s">
        <v>49</v>
      </c>
      <c r="C1121" s="5" t="s">
        <v>176</v>
      </c>
      <c r="D1121" s="5" t="s">
        <v>131</v>
      </c>
      <c r="E1121" s="6">
        <v>45055</v>
      </c>
      <c r="F1121" s="4" t="s">
        <v>91</v>
      </c>
      <c r="G1121" s="4" t="s">
        <v>24</v>
      </c>
      <c r="H1121" s="8" t="s">
        <v>118</v>
      </c>
      <c r="I1121" s="5" t="s">
        <v>1081</v>
      </c>
      <c r="J1121" s="7"/>
      <c r="K1121" s="15">
        <f>YEAR(Tabla1[[#This Row],[Fecha]])</f>
        <v>2023</v>
      </c>
      <c r="L1121" s="15">
        <f>MONTH(Tabla1[[#This Row],[Fecha]])</f>
        <v>5</v>
      </c>
    </row>
    <row r="1122" spans="2:12" hidden="1" x14ac:dyDescent="0.25">
      <c r="B1122" s="5" t="s">
        <v>49</v>
      </c>
      <c r="C1122" s="5" t="s">
        <v>66</v>
      </c>
      <c r="D1122" s="5" t="s">
        <v>131</v>
      </c>
      <c r="E1122" s="6">
        <v>45055</v>
      </c>
      <c r="F1122" s="4" t="s">
        <v>91</v>
      </c>
      <c r="G1122" s="4" t="s">
        <v>303</v>
      </c>
      <c r="H1122" s="4" t="s">
        <v>431</v>
      </c>
      <c r="I1122" s="5" t="s">
        <v>1082</v>
      </c>
      <c r="J1122" s="5"/>
      <c r="K1122" s="22">
        <f>YEAR(Tabla1[[#This Row],[Fecha]])</f>
        <v>2023</v>
      </c>
      <c r="L1122" s="22">
        <f>MONTH(Tabla1[[#This Row],[Fecha]])</f>
        <v>5</v>
      </c>
    </row>
    <row r="1123" spans="2:12" hidden="1" x14ac:dyDescent="0.25">
      <c r="B1123" s="5" t="s">
        <v>49</v>
      </c>
      <c r="C1123" s="5" t="s">
        <v>111</v>
      </c>
      <c r="D1123" s="5" t="s">
        <v>131</v>
      </c>
      <c r="E1123" s="6">
        <v>45055</v>
      </c>
      <c r="F1123" s="4" t="s">
        <v>91</v>
      </c>
      <c r="G1123" s="4" t="s">
        <v>24</v>
      </c>
      <c r="H1123" s="8" t="s">
        <v>118</v>
      </c>
      <c r="I1123" s="5" t="s">
        <v>1746</v>
      </c>
      <c r="J1123" s="7"/>
      <c r="K1123" s="15">
        <f>YEAR(Tabla1[[#This Row],[Fecha]])</f>
        <v>2023</v>
      </c>
      <c r="L1123" s="15">
        <f>MONTH(Tabla1[[#This Row],[Fecha]])</f>
        <v>5</v>
      </c>
    </row>
    <row r="1124" spans="2:12" hidden="1" x14ac:dyDescent="0.25">
      <c r="B1124" s="5" t="s">
        <v>181</v>
      </c>
      <c r="C1124" s="5" t="s">
        <v>182</v>
      </c>
      <c r="D1124" s="5" t="s">
        <v>11</v>
      </c>
      <c r="E1124" s="6">
        <v>45051</v>
      </c>
      <c r="F1124" s="4" t="s">
        <v>15</v>
      </c>
      <c r="G1124" s="4" t="s">
        <v>36</v>
      </c>
      <c r="H1124" s="2" t="s">
        <v>1788</v>
      </c>
      <c r="I1124" s="11" t="s">
        <v>1260</v>
      </c>
      <c r="J1124" s="5"/>
      <c r="K1124" s="22">
        <f>YEAR(Tabla1[[#This Row],[Fecha]])</f>
        <v>2023</v>
      </c>
      <c r="L1124" s="22">
        <f>MONTH(Tabla1[[#This Row],[Fecha]])</f>
        <v>5</v>
      </c>
    </row>
    <row r="1125" spans="2:12" hidden="1" x14ac:dyDescent="0.25">
      <c r="B1125" s="5" t="s">
        <v>309</v>
      </c>
      <c r="C1125" s="5" t="s">
        <v>322</v>
      </c>
      <c r="D1125" s="5" t="s">
        <v>11</v>
      </c>
      <c r="E1125" s="6">
        <v>45051</v>
      </c>
      <c r="F1125" s="4" t="s">
        <v>15</v>
      </c>
      <c r="G1125" s="4" t="s">
        <v>47</v>
      </c>
      <c r="H1125" s="4" t="s">
        <v>121</v>
      </c>
      <c r="I1125" s="11" t="s">
        <v>1480</v>
      </c>
      <c r="J1125" s="5" t="s">
        <v>1481</v>
      </c>
      <c r="K1125" s="22">
        <f>YEAR(Tabla1[[#This Row],[Fecha]])</f>
        <v>2023</v>
      </c>
      <c r="L1125" s="22">
        <f>MONTH(Tabla1[[#This Row],[Fecha]])</f>
        <v>5</v>
      </c>
    </row>
    <row r="1126" spans="2:12" hidden="1" x14ac:dyDescent="0.25">
      <c r="B1126" s="5" t="s">
        <v>49</v>
      </c>
      <c r="C1126" s="5" t="s">
        <v>57</v>
      </c>
      <c r="D1126" s="5" t="s">
        <v>11</v>
      </c>
      <c r="E1126" s="6">
        <v>45048</v>
      </c>
      <c r="F1126" s="4" t="s">
        <v>91</v>
      </c>
      <c r="G1126" s="4" t="s">
        <v>16</v>
      </c>
      <c r="H1126" s="4" t="s">
        <v>34</v>
      </c>
      <c r="I1126" s="5" t="s">
        <v>1747</v>
      </c>
      <c r="J1126" s="5"/>
      <c r="K1126" s="22">
        <f>YEAR(Tabla1[[#This Row],[Fecha]])</f>
        <v>2023</v>
      </c>
      <c r="L1126" s="22">
        <f>MONTH(Tabla1[[#This Row],[Fecha]])</f>
        <v>5</v>
      </c>
    </row>
    <row r="1127" spans="2:12" hidden="1" x14ac:dyDescent="0.25">
      <c r="B1127" s="5" t="s">
        <v>49</v>
      </c>
      <c r="C1127" s="5" t="s">
        <v>176</v>
      </c>
      <c r="D1127" s="5" t="s">
        <v>11</v>
      </c>
      <c r="E1127" s="6">
        <v>45048</v>
      </c>
      <c r="F1127" s="4" t="s">
        <v>91</v>
      </c>
      <c r="G1127" s="4" t="s">
        <v>16</v>
      </c>
      <c r="H1127" s="4" t="s">
        <v>34</v>
      </c>
      <c r="I1127" s="5" t="s">
        <v>1747</v>
      </c>
      <c r="J1127" s="5"/>
      <c r="K1127" s="22">
        <f>YEAR(Tabla1[[#This Row],[Fecha]])</f>
        <v>2023</v>
      </c>
      <c r="L1127" s="22">
        <f>MONTH(Tabla1[[#This Row],[Fecha]])</f>
        <v>5</v>
      </c>
    </row>
    <row r="1128" spans="2:12" hidden="1" x14ac:dyDescent="0.25">
      <c r="B1128" s="5" t="s">
        <v>49</v>
      </c>
      <c r="C1128" s="5" t="s">
        <v>66</v>
      </c>
      <c r="D1128" s="5" t="s">
        <v>131</v>
      </c>
      <c r="E1128" s="6">
        <v>45048</v>
      </c>
      <c r="F1128" s="4" t="s">
        <v>91</v>
      </c>
      <c r="G1128" s="4" t="s">
        <v>303</v>
      </c>
      <c r="H1128" s="4" t="s">
        <v>431</v>
      </c>
      <c r="I1128" s="5" t="s">
        <v>1748</v>
      </c>
      <c r="J1128" s="5"/>
      <c r="K1128" s="22">
        <f>YEAR(Tabla1[[#This Row],[Fecha]])</f>
        <v>2023</v>
      </c>
      <c r="L1128" s="22">
        <f>MONTH(Tabla1[[#This Row],[Fecha]])</f>
        <v>5</v>
      </c>
    </row>
    <row r="1129" spans="2:12" hidden="1" x14ac:dyDescent="0.25">
      <c r="B1129" s="5" t="s">
        <v>49</v>
      </c>
      <c r="C1129" s="5" t="s">
        <v>111</v>
      </c>
      <c r="D1129" s="5" t="s">
        <v>131</v>
      </c>
      <c r="E1129" s="6">
        <v>45048</v>
      </c>
      <c r="F1129" s="4" t="s">
        <v>15</v>
      </c>
      <c r="G1129" s="4" t="s">
        <v>16</v>
      </c>
      <c r="H1129" s="4" t="s">
        <v>63</v>
      </c>
      <c r="I1129" s="5" t="s">
        <v>1747</v>
      </c>
      <c r="J1129" s="5"/>
      <c r="K1129" s="22">
        <f>YEAR(Tabla1[[#This Row],[Fecha]])</f>
        <v>2023</v>
      </c>
      <c r="L1129" s="22">
        <f>MONTH(Tabla1[[#This Row],[Fecha]])</f>
        <v>5</v>
      </c>
    </row>
    <row r="1130" spans="2:12" hidden="1" x14ac:dyDescent="0.25">
      <c r="B1130" s="5" t="s">
        <v>49</v>
      </c>
      <c r="C1130" s="5" t="s">
        <v>60</v>
      </c>
      <c r="D1130" s="5" t="s">
        <v>131</v>
      </c>
      <c r="E1130" s="6">
        <v>45048</v>
      </c>
      <c r="F1130" s="4" t="s">
        <v>15</v>
      </c>
      <c r="G1130" s="4" t="s">
        <v>16</v>
      </c>
      <c r="H1130" s="4" t="s">
        <v>63</v>
      </c>
      <c r="I1130" s="5" t="s">
        <v>1747</v>
      </c>
      <c r="J1130" s="5"/>
      <c r="K1130" s="22">
        <f>YEAR(Tabla1[[#This Row],[Fecha]])</f>
        <v>2023</v>
      </c>
      <c r="L1130" s="22">
        <f>MONTH(Tabla1[[#This Row],[Fecha]])</f>
        <v>5</v>
      </c>
    </row>
    <row r="1131" spans="2:12" hidden="1" x14ac:dyDescent="0.25">
      <c r="B1131" s="5" t="s">
        <v>49</v>
      </c>
      <c r="C1131" s="5" t="s">
        <v>53</v>
      </c>
      <c r="D1131" s="5" t="s">
        <v>11</v>
      </c>
      <c r="E1131" s="6">
        <v>45048</v>
      </c>
      <c r="F1131" s="4" t="s">
        <v>15</v>
      </c>
      <c r="G1131" s="4" t="s">
        <v>16</v>
      </c>
      <c r="H1131" s="4" t="s">
        <v>63</v>
      </c>
      <c r="I1131" s="5" t="s">
        <v>1747</v>
      </c>
      <c r="J1131" s="5"/>
      <c r="K1131" s="22">
        <f>YEAR(Tabla1[[#This Row],[Fecha]])</f>
        <v>2023</v>
      </c>
      <c r="L1131" s="22">
        <f>MONTH(Tabla1[[#This Row],[Fecha]])</f>
        <v>5</v>
      </c>
    </row>
    <row r="1132" spans="2:12" hidden="1" x14ac:dyDescent="0.25">
      <c r="B1132" s="5" t="s">
        <v>49</v>
      </c>
      <c r="C1132" s="5" t="s">
        <v>50</v>
      </c>
      <c r="D1132" s="5" t="s">
        <v>11</v>
      </c>
      <c r="E1132" s="6">
        <v>45048</v>
      </c>
      <c r="F1132" s="4" t="s">
        <v>15</v>
      </c>
      <c r="G1132" s="4" t="s">
        <v>16</v>
      </c>
      <c r="H1132" s="4" t="s">
        <v>63</v>
      </c>
      <c r="I1132" s="5" t="s">
        <v>1747</v>
      </c>
      <c r="J1132" s="5"/>
      <c r="K1132" s="22">
        <f>YEAR(Tabla1[[#This Row],[Fecha]])</f>
        <v>2023</v>
      </c>
      <c r="L1132" s="22">
        <f>MONTH(Tabla1[[#This Row],[Fecha]])</f>
        <v>5</v>
      </c>
    </row>
    <row r="1133" spans="2:12" hidden="1" x14ac:dyDescent="0.25">
      <c r="B1133" s="5" t="s">
        <v>49</v>
      </c>
      <c r="C1133" s="5" t="s">
        <v>115</v>
      </c>
      <c r="D1133" s="5" t="s">
        <v>11</v>
      </c>
      <c r="E1133" s="6">
        <v>45048</v>
      </c>
      <c r="F1133" s="4" t="s">
        <v>15</v>
      </c>
      <c r="G1133" s="4" t="s">
        <v>16</v>
      </c>
      <c r="H1133" s="4" t="s">
        <v>63</v>
      </c>
      <c r="I1133" s="5" t="s">
        <v>1747</v>
      </c>
      <c r="J1133" s="5"/>
      <c r="K1133" s="22">
        <f>YEAR(Tabla1[[#This Row],[Fecha]])</f>
        <v>2023</v>
      </c>
      <c r="L1133" s="22">
        <f>MONTH(Tabla1[[#This Row],[Fecha]])</f>
        <v>5</v>
      </c>
    </row>
    <row r="1134" spans="2:12" hidden="1" x14ac:dyDescent="0.25">
      <c r="B1134" s="5" t="s">
        <v>49</v>
      </c>
      <c r="C1134" s="5" t="s">
        <v>117</v>
      </c>
      <c r="D1134" s="5" t="s">
        <v>11</v>
      </c>
      <c r="E1134" s="6">
        <v>45048</v>
      </c>
      <c r="F1134" s="4" t="s">
        <v>15</v>
      </c>
      <c r="G1134" s="4" t="s">
        <v>16</v>
      </c>
      <c r="H1134" s="4" t="s">
        <v>63</v>
      </c>
      <c r="I1134" s="5" t="s">
        <v>1747</v>
      </c>
      <c r="J1134" s="5"/>
      <c r="K1134" s="22">
        <f>YEAR(Tabla1[[#This Row],[Fecha]])</f>
        <v>2023</v>
      </c>
      <c r="L1134" s="22">
        <f>MONTH(Tabla1[[#This Row],[Fecha]])</f>
        <v>5</v>
      </c>
    </row>
    <row r="1135" spans="2:12" hidden="1" x14ac:dyDescent="0.25">
      <c r="B1135" s="5" t="s">
        <v>32</v>
      </c>
      <c r="C1135" s="5" t="s">
        <v>142</v>
      </c>
      <c r="D1135" s="5" t="s">
        <v>131</v>
      </c>
      <c r="E1135" s="6">
        <v>45044</v>
      </c>
      <c r="F1135" s="4" t="s">
        <v>15</v>
      </c>
      <c r="G1135" s="4" t="s">
        <v>36</v>
      </c>
      <c r="H1135" s="2" t="s">
        <v>37</v>
      </c>
      <c r="I1135" s="26" t="s">
        <v>1347</v>
      </c>
      <c r="J1135" s="5"/>
      <c r="K1135" s="22">
        <f>YEAR(Tabla1[[#This Row],[Fecha]])</f>
        <v>2023</v>
      </c>
      <c r="L1135" s="22">
        <f>MONTH(Tabla1[[#This Row],[Fecha]])</f>
        <v>4</v>
      </c>
    </row>
    <row r="1136" spans="2:12" hidden="1" x14ac:dyDescent="0.25">
      <c r="B1136" s="5" t="s">
        <v>32</v>
      </c>
      <c r="C1136" s="5" t="s">
        <v>628</v>
      </c>
      <c r="D1136" s="5" t="s">
        <v>131</v>
      </c>
      <c r="E1136" s="6">
        <v>45044</v>
      </c>
      <c r="F1136" s="4" t="s">
        <v>15</v>
      </c>
      <c r="G1136" s="4" t="s">
        <v>36</v>
      </c>
      <c r="H1136" s="2" t="s">
        <v>37</v>
      </c>
      <c r="I1136" s="26" t="s">
        <v>1347</v>
      </c>
      <c r="J1136" s="5"/>
      <c r="K1136" s="22">
        <f>YEAR(Tabla1[[#This Row],[Fecha]])</f>
        <v>2023</v>
      </c>
      <c r="L1136" s="22">
        <f>MONTH(Tabla1[[#This Row],[Fecha]])</f>
        <v>4</v>
      </c>
    </row>
    <row r="1137" spans="2:12" hidden="1" x14ac:dyDescent="0.25">
      <c r="B1137" s="5" t="s">
        <v>32</v>
      </c>
      <c r="C1137" s="5" t="s">
        <v>700</v>
      </c>
      <c r="D1137" s="5" t="s">
        <v>131</v>
      </c>
      <c r="E1137" s="6">
        <v>45044</v>
      </c>
      <c r="F1137" s="4" t="s">
        <v>15</v>
      </c>
      <c r="G1137" s="4" t="s">
        <v>36</v>
      </c>
      <c r="H1137" s="2" t="s">
        <v>37</v>
      </c>
      <c r="I1137" s="26" t="s">
        <v>1347</v>
      </c>
      <c r="J1137" s="5"/>
      <c r="K1137" s="22">
        <f>YEAR(Tabla1[[#This Row],[Fecha]])</f>
        <v>2023</v>
      </c>
      <c r="L1137" s="22">
        <f>MONTH(Tabla1[[#This Row],[Fecha]])</f>
        <v>4</v>
      </c>
    </row>
    <row r="1138" spans="2:12" hidden="1" x14ac:dyDescent="0.25">
      <c r="B1138" s="5" t="s">
        <v>309</v>
      </c>
      <c r="C1138" s="5" t="s">
        <v>313</v>
      </c>
      <c r="D1138" s="5" t="s">
        <v>1084</v>
      </c>
      <c r="E1138" s="13">
        <v>45043</v>
      </c>
      <c r="F1138" s="4" t="s">
        <v>15</v>
      </c>
      <c r="G1138" s="4" t="s">
        <v>16</v>
      </c>
      <c r="H1138" s="4" t="s">
        <v>34</v>
      </c>
      <c r="I1138" s="5" t="s">
        <v>1610</v>
      </c>
      <c r="J1138" s="5"/>
      <c r="K1138" s="22">
        <f>YEAR(Tabla1[[#This Row],[Fecha]])</f>
        <v>2023</v>
      </c>
      <c r="L1138" s="22">
        <f>MONTH(Tabla1[[#This Row],[Fecha]])</f>
        <v>4</v>
      </c>
    </row>
    <row r="1139" spans="2:12" hidden="1" x14ac:dyDescent="0.25">
      <c r="B1139" s="5" t="s">
        <v>309</v>
      </c>
      <c r="C1139" s="5" t="s">
        <v>728</v>
      </c>
      <c r="D1139" s="5" t="s">
        <v>131</v>
      </c>
      <c r="E1139" s="13">
        <v>45043</v>
      </c>
      <c r="F1139" s="4" t="s">
        <v>91</v>
      </c>
      <c r="G1139" s="4" t="s">
        <v>303</v>
      </c>
      <c r="H1139" s="4" t="s">
        <v>434</v>
      </c>
      <c r="I1139" s="5" t="s">
        <v>1657</v>
      </c>
      <c r="J1139" s="5"/>
      <c r="K1139" s="22">
        <f>YEAR(Tabla1[[#This Row],[Fecha]])</f>
        <v>2023</v>
      </c>
      <c r="L1139" s="22">
        <f>MONTH(Tabla1[[#This Row],[Fecha]])</f>
        <v>4</v>
      </c>
    </row>
    <row r="1140" spans="2:12" hidden="1" x14ac:dyDescent="0.25">
      <c r="B1140" s="5" t="s">
        <v>309</v>
      </c>
      <c r="C1140" s="5" t="s">
        <v>711</v>
      </c>
      <c r="D1140" s="5" t="s">
        <v>131</v>
      </c>
      <c r="E1140" s="13">
        <v>45043</v>
      </c>
      <c r="F1140" s="4" t="s">
        <v>91</v>
      </c>
      <c r="G1140" s="4" t="s">
        <v>303</v>
      </c>
      <c r="H1140" s="4" t="s">
        <v>434</v>
      </c>
      <c r="I1140" s="5" t="s">
        <v>1658</v>
      </c>
      <c r="J1140" s="5"/>
      <c r="K1140" s="22">
        <f>YEAR(Tabla1[[#This Row],[Fecha]])</f>
        <v>2023</v>
      </c>
      <c r="L1140" s="22">
        <f>MONTH(Tabla1[[#This Row],[Fecha]])</f>
        <v>4</v>
      </c>
    </row>
    <row r="1141" spans="2:12" hidden="1" x14ac:dyDescent="0.25">
      <c r="B1141" s="5" t="s">
        <v>193</v>
      </c>
      <c r="C1141" s="5" t="s">
        <v>407</v>
      </c>
      <c r="D1141" s="5" t="s">
        <v>131</v>
      </c>
      <c r="E1141" s="6">
        <v>45042</v>
      </c>
      <c r="F1141" s="4" t="s">
        <v>15</v>
      </c>
      <c r="G1141" s="4" t="s">
        <v>36</v>
      </c>
      <c r="H1141" s="2" t="s">
        <v>41</v>
      </c>
      <c r="I1141" s="26" t="s">
        <v>1318</v>
      </c>
      <c r="J1141" s="5"/>
      <c r="K1141" s="22">
        <f>YEAR(Tabla1[[#This Row],[Fecha]])</f>
        <v>2023</v>
      </c>
      <c r="L1141" s="22">
        <f>MONTH(Tabla1[[#This Row],[Fecha]])</f>
        <v>4</v>
      </c>
    </row>
    <row r="1142" spans="2:12" hidden="1" x14ac:dyDescent="0.25">
      <c r="B1142" s="5" t="s">
        <v>193</v>
      </c>
      <c r="C1142" s="5" t="s">
        <v>1049</v>
      </c>
      <c r="D1142" s="5" t="s">
        <v>131</v>
      </c>
      <c r="E1142" s="6">
        <v>45042</v>
      </c>
      <c r="F1142" s="4" t="s">
        <v>91</v>
      </c>
      <c r="G1142" s="4" t="s">
        <v>16</v>
      </c>
      <c r="H1142" s="2" t="s">
        <v>118</v>
      </c>
      <c r="I1142" s="26" t="s">
        <v>1319</v>
      </c>
      <c r="J1142" s="5"/>
      <c r="K1142" s="22">
        <f>YEAR(Tabla1[[#This Row],[Fecha]])</f>
        <v>2023</v>
      </c>
      <c r="L1142" s="22">
        <f>MONTH(Tabla1[[#This Row],[Fecha]])</f>
        <v>4</v>
      </c>
    </row>
    <row r="1143" spans="2:12" hidden="1" x14ac:dyDescent="0.25">
      <c r="B1143" s="5" t="s">
        <v>193</v>
      </c>
      <c r="C1143" s="5" t="s">
        <v>1049</v>
      </c>
      <c r="D1143" s="5" t="s">
        <v>131</v>
      </c>
      <c r="E1143" s="6">
        <v>45042</v>
      </c>
      <c r="F1143" s="4" t="s">
        <v>15</v>
      </c>
      <c r="G1143" s="4" t="s">
        <v>16</v>
      </c>
      <c r="H1143" s="2" t="s">
        <v>74</v>
      </c>
      <c r="I1143" s="26" t="s">
        <v>1320</v>
      </c>
      <c r="J1143" s="5"/>
      <c r="K1143" s="22">
        <f>YEAR(Tabla1[[#This Row],[Fecha]])</f>
        <v>2023</v>
      </c>
      <c r="L1143" s="22">
        <f>MONTH(Tabla1[[#This Row],[Fecha]])</f>
        <v>4</v>
      </c>
    </row>
    <row r="1144" spans="2:12" hidden="1" x14ac:dyDescent="0.25">
      <c r="B1144" s="5" t="s">
        <v>32</v>
      </c>
      <c r="C1144" s="5" t="s">
        <v>1031</v>
      </c>
      <c r="D1144" s="5" t="s">
        <v>131</v>
      </c>
      <c r="E1144" s="6">
        <v>45042</v>
      </c>
      <c r="F1144" s="4" t="s">
        <v>15</v>
      </c>
      <c r="G1144" s="4" t="s">
        <v>36</v>
      </c>
      <c r="H1144" s="2" t="s">
        <v>37</v>
      </c>
      <c r="I1144" s="26" t="s">
        <v>1348</v>
      </c>
      <c r="J1144" s="5"/>
      <c r="K1144" s="22">
        <f>YEAR(Tabla1[[#This Row],[Fecha]])</f>
        <v>2023</v>
      </c>
      <c r="L1144" s="22">
        <f>MONTH(Tabla1[[#This Row],[Fecha]])</f>
        <v>4</v>
      </c>
    </row>
    <row r="1145" spans="2:12" hidden="1" x14ac:dyDescent="0.25">
      <c r="B1145" s="5" t="s">
        <v>309</v>
      </c>
      <c r="C1145" s="5" t="s">
        <v>320</v>
      </c>
      <c r="D1145" s="5" t="s">
        <v>131</v>
      </c>
      <c r="E1145" s="6">
        <v>45041</v>
      </c>
      <c r="F1145" s="4" t="s">
        <v>15</v>
      </c>
      <c r="G1145" s="4" t="s">
        <v>16</v>
      </c>
      <c r="H1145" s="2" t="s">
        <v>74</v>
      </c>
      <c r="I1145" s="26" t="s">
        <v>1379</v>
      </c>
      <c r="J1145" s="5"/>
      <c r="K1145" s="22">
        <f>YEAR(Tabla1[[#This Row],[Fecha]])</f>
        <v>2023</v>
      </c>
      <c r="L1145" s="22">
        <f>MONTH(Tabla1[[#This Row],[Fecha]])</f>
        <v>4</v>
      </c>
    </row>
    <row r="1146" spans="2:12" hidden="1" x14ac:dyDescent="0.25">
      <c r="B1146" s="5" t="s">
        <v>309</v>
      </c>
      <c r="C1146" s="5" t="s">
        <v>321</v>
      </c>
      <c r="D1146" s="5" t="s">
        <v>131</v>
      </c>
      <c r="E1146" s="6">
        <v>45041</v>
      </c>
      <c r="F1146" s="4" t="s">
        <v>15</v>
      </c>
      <c r="G1146" s="4" t="s">
        <v>24</v>
      </c>
      <c r="H1146" s="2" t="s">
        <v>51</v>
      </c>
      <c r="I1146" s="26" t="s">
        <v>1380</v>
      </c>
      <c r="J1146" s="5"/>
      <c r="K1146" s="22">
        <f>YEAR(Tabla1[[#This Row],[Fecha]])</f>
        <v>2023</v>
      </c>
      <c r="L1146" s="22">
        <f>MONTH(Tabla1[[#This Row],[Fecha]])</f>
        <v>4</v>
      </c>
    </row>
    <row r="1147" spans="2:12" hidden="1" x14ac:dyDescent="0.25">
      <c r="B1147" s="2" t="s">
        <v>309</v>
      </c>
      <c r="C1147" s="2" t="s">
        <v>321</v>
      </c>
      <c r="D1147" s="2" t="s">
        <v>1583</v>
      </c>
      <c r="E1147" s="12">
        <v>45041</v>
      </c>
      <c r="F1147" s="4" t="s">
        <v>15</v>
      </c>
      <c r="G1147" s="4" t="s">
        <v>47</v>
      </c>
      <c r="H1147" s="4" t="s">
        <v>121</v>
      </c>
      <c r="I1147" s="2" t="s">
        <v>1584</v>
      </c>
      <c r="J1147" s="2" t="s">
        <v>1585</v>
      </c>
      <c r="K1147" s="22">
        <f>YEAR(Tabla1[[#This Row],[Fecha]])</f>
        <v>2023</v>
      </c>
      <c r="L1147" s="22">
        <f>MONTH(Tabla1[[#This Row],[Fecha]])</f>
        <v>4</v>
      </c>
    </row>
    <row r="1148" spans="2:12" hidden="1" x14ac:dyDescent="0.25">
      <c r="B1148" s="5" t="s">
        <v>32</v>
      </c>
      <c r="C1148" s="5" t="s">
        <v>33</v>
      </c>
      <c r="D1148" s="5" t="s">
        <v>131</v>
      </c>
      <c r="E1148" s="6">
        <v>45037</v>
      </c>
      <c r="F1148" s="4" t="s">
        <v>15</v>
      </c>
      <c r="G1148" s="4" t="s">
        <v>16</v>
      </c>
      <c r="H1148" s="2" t="s">
        <v>34</v>
      </c>
      <c r="I1148" s="26" t="s">
        <v>1349</v>
      </c>
      <c r="J1148" s="5"/>
      <c r="K1148" s="22">
        <f>YEAR(Tabla1[[#This Row],[Fecha]])</f>
        <v>2023</v>
      </c>
      <c r="L1148" s="22">
        <f>MONTH(Tabla1[[#This Row],[Fecha]])</f>
        <v>4</v>
      </c>
    </row>
    <row r="1149" spans="2:12" hidden="1" x14ac:dyDescent="0.25">
      <c r="B1149" s="5" t="s">
        <v>309</v>
      </c>
      <c r="C1149" s="5" t="s">
        <v>711</v>
      </c>
      <c r="D1149" s="5" t="s">
        <v>11</v>
      </c>
      <c r="E1149" s="13">
        <v>45036</v>
      </c>
      <c r="F1149" s="4" t="s">
        <v>91</v>
      </c>
      <c r="G1149" s="4" t="s">
        <v>303</v>
      </c>
      <c r="H1149" s="2" t="s">
        <v>431</v>
      </c>
      <c r="I1149" s="5" t="s">
        <v>1655</v>
      </c>
      <c r="J1149" s="5"/>
      <c r="K1149" s="22">
        <f>YEAR(Tabla1[[#This Row],[Fecha]])</f>
        <v>2023</v>
      </c>
      <c r="L1149" s="22">
        <f>MONTH(Tabla1[[#This Row],[Fecha]])</f>
        <v>4</v>
      </c>
    </row>
    <row r="1150" spans="2:12" hidden="1" x14ac:dyDescent="0.25">
      <c r="B1150" s="5" t="s">
        <v>309</v>
      </c>
      <c r="C1150" s="5" t="s">
        <v>728</v>
      </c>
      <c r="D1150" s="5" t="s">
        <v>11</v>
      </c>
      <c r="E1150" s="13">
        <v>45036</v>
      </c>
      <c r="F1150" s="4" t="s">
        <v>91</v>
      </c>
      <c r="G1150" s="4" t="s">
        <v>303</v>
      </c>
      <c r="H1150" s="2" t="s">
        <v>431</v>
      </c>
      <c r="I1150" s="5" t="s">
        <v>1656</v>
      </c>
      <c r="J1150" s="5"/>
      <c r="K1150" s="22">
        <f>YEAR(Tabla1[[#This Row],[Fecha]])</f>
        <v>2023</v>
      </c>
      <c r="L1150" s="22">
        <f>MONTH(Tabla1[[#This Row],[Fecha]])</f>
        <v>4</v>
      </c>
    </row>
    <row r="1151" spans="2:12" hidden="1" x14ac:dyDescent="0.25">
      <c r="B1151" s="5" t="s">
        <v>32</v>
      </c>
      <c r="C1151" s="5" t="s">
        <v>33</v>
      </c>
      <c r="D1151" s="5" t="s">
        <v>131</v>
      </c>
      <c r="E1151" s="6">
        <v>45034</v>
      </c>
      <c r="F1151" s="4" t="s">
        <v>15</v>
      </c>
      <c r="G1151" s="4" t="s">
        <v>16</v>
      </c>
      <c r="H1151" s="2" t="s">
        <v>34</v>
      </c>
      <c r="I1151" s="26" t="s">
        <v>1350</v>
      </c>
      <c r="J1151" s="5" t="s">
        <v>1351</v>
      </c>
      <c r="K1151" s="22">
        <f>YEAR(Tabla1[[#This Row],[Fecha]])</f>
        <v>2023</v>
      </c>
      <c r="L1151" s="22">
        <f>MONTH(Tabla1[[#This Row],[Fecha]])</f>
        <v>4</v>
      </c>
    </row>
    <row r="1152" spans="2:12" hidden="1" x14ac:dyDescent="0.25">
      <c r="B1152" s="5" t="s">
        <v>309</v>
      </c>
      <c r="C1152" s="5" t="s">
        <v>322</v>
      </c>
      <c r="D1152" s="5" t="s">
        <v>11</v>
      </c>
      <c r="E1152" s="6">
        <v>45034</v>
      </c>
      <c r="F1152" s="4" t="s">
        <v>15</v>
      </c>
      <c r="G1152" s="2" t="s">
        <v>16</v>
      </c>
      <c r="H1152" s="2" t="s">
        <v>1775</v>
      </c>
      <c r="I1152" s="2" t="s">
        <v>1482</v>
      </c>
      <c r="J1152" s="5" t="s">
        <v>1483</v>
      </c>
      <c r="K1152" s="15">
        <f>YEAR(Tabla1[[#This Row],[Fecha]])</f>
        <v>2023</v>
      </c>
      <c r="L1152" s="15">
        <f>MONTH(Tabla1[[#This Row],[Fecha]])</f>
        <v>4</v>
      </c>
    </row>
    <row r="1153" spans="2:12" hidden="1" x14ac:dyDescent="0.25">
      <c r="B1153" s="5" t="s">
        <v>49</v>
      </c>
      <c r="C1153" s="5" t="s">
        <v>66</v>
      </c>
      <c r="D1153" s="5" t="s">
        <v>131</v>
      </c>
      <c r="E1153" s="6">
        <v>45030</v>
      </c>
      <c r="F1153" s="4" t="s">
        <v>91</v>
      </c>
      <c r="G1153" s="4" t="s">
        <v>303</v>
      </c>
      <c r="H1153" s="29" t="s">
        <v>431</v>
      </c>
      <c r="I1153" s="5" t="s">
        <v>1751</v>
      </c>
      <c r="J1153" s="7"/>
      <c r="K1153" s="15">
        <f>YEAR(Tabla1[[#This Row],[Fecha]])</f>
        <v>2023</v>
      </c>
      <c r="L1153" s="15">
        <f>MONTH(Tabla1[[#This Row],[Fecha]])</f>
        <v>4</v>
      </c>
    </row>
    <row r="1154" spans="2:12" ht="30" hidden="1" x14ac:dyDescent="0.25">
      <c r="B1154" s="5" t="s">
        <v>49</v>
      </c>
      <c r="C1154" s="5" t="s">
        <v>60</v>
      </c>
      <c r="D1154" s="5" t="s">
        <v>131</v>
      </c>
      <c r="E1154" s="6">
        <v>45030</v>
      </c>
      <c r="F1154" s="4" t="s">
        <v>91</v>
      </c>
      <c r="G1154" s="4" t="s">
        <v>16</v>
      </c>
      <c r="H1154" s="8" t="s">
        <v>34</v>
      </c>
      <c r="I1154" s="23" t="s">
        <v>1752</v>
      </c>
      <c r="J1154" s="7"/>
      <c r="K1154" s="15">
        <f>YEAR(Tabla1[[#This Row],[Fecha]])</f>
        <v>2023</v>
      </c>
      <c r="L1154" s="15">
        <f>MONTH(Tabla1[[#This Row],[Fecha]])</f>
        <v>4</v>
      </c>
    </row>
    <row r="1155" spans="2:12" hidden="1" x14ac:dyDescent="0.25">
      <c r="B1155" s="5" t="s">
        <v>309</v>
      </c>
      <c r="C1155" s="5" t="s">
        <v>321</v>
      </c>
      <c r="D1155" s="5" t="s">
        <v>131</v>
      </c>
      <c r="E1155" s="6">
        <v>45030</v>
      </c>
      <c r="F1155" s="4" t="s">
        <v>15</v>
      </c>
      <c r="G1155" s="4" t="s">
        <v>16</v>
      </c>
      <c r="H1155" s="4" t="s">
        <v>1775</v>
      </c>
      <c r="I1155" s="11" t="s">
        <v>1381</v>
      </c>
      <c r="J1155" s="5"/>
      <c r="K1155" s="22">
        <f>YEAR(Tabla1[[#This Row],[Fecha]])</f>
        <v>2023</v>
      </c>
      <c r="L1155" s="22">
        <f>MONTH(Tabla1[[#This Row],[Fecha]])</f>
        <v>4</v>
      </c>
    </row>
    <row r="1156" spans="2:12" hidden="1" x14ac:dyDescent="0.25">
      <c r="B1156" s="5" t="s">
        <v>309</v>
      </c>
      <c r="C1156" s="5" t="s">
        <v>313</v>
      </c>
      <c r="D1156" s="5" t="s">
        <v>131</v>
      </c>
      <c r="E1156" s="13">
        <v>45030</v>
      </c>
      <c r="F1156" s="11" t="s">
        <v>15</v>
      </c>
      <c r="G1156" s="11" t="s">
        <v>36</v>
      </c>
      <c r="H1156" s="11" t="s">
        <v>29</v>
      </c>
      <c r="I1156" s="11" t="s">
        <v>1611</v>
      </c>
      <c r="J1156" s="5"/>
      <c r="K1156" s="22">
        <f>YEAR(Tabla1[[#This Row],[Fecha]])</f>
        <v>2023</v>
      </c>
      <c r="L1156" s="22">
        <f>MONTH(Tabla1[[#This Row],[Fecha]])</f>
        <v>4</v>
      </c>
    </row>
    <row r="1157" spans="2:12" hidden="1" x14ac:dyDescent="0.25">
      <c r="B1157" s="5" t="s">
        <v>309</v>
      </c>
      <c r="C1157" s="5" t="s">
        <v>318</v>
      </c>
      <c r="D1157" s="5" t="s">
        <v>131</v>
      </c>
      <c r="E1157" s="6">
        <v>45029</v>
      </c>
      <c r="F1157" s="4" t="s">
        <v>15</v>
      </c>
      <c r="G1157" s="4" t="s">
        <v>16</v>
      </c>
      <c r="H1157" s="2" t="s">
        <v>17</v>
      </c>
      <c r="I1157" s="11" t="s">
        <v>1535</v>
      </c>
      <c r="J1157" s="5" t="s">
        <v>1536</v>
      </c>
      <c r="K1157" s="22">
        <f>YEAR(Tabla1[[#This Row],[Fecha]])</f>
        <v>2023</v>
      </c>
      <c r="L1157" s="22">
        <f>MONTH(Tabla1[[#This Row],[Fecha]])</f>
        <v>4</v>
      </c>
    </row>
    <row r="1158" spans="2:12" hidden="1" x14ac:dyDescent="0.25">
      <c r="B1158" s="5" t="s">
        <v>309</v>
      </c>
      <c r="C1158" s="5" t="s">
        <v>711</v>
      </c>
      <c r="D1158" s="5" t="s">
        <v>11</v>
      </c>
      <c r="E1158" s="13">
        <v>45029</v>
      </c>
      <c r="F1158" s="4" t="s">
        <v>91</v>
      </c>
      <c r="G1158" s="4" t="s">
        <v>303</v>
      </c>
      <c r="H1158" s="2" t="s">
        <v>431</v>
      </c>
      <c r="I1158" s="5" t="s">
        <v>1654</v>
      </c>
      <c r="J1158" s="5"/>
      <c r="K1158" s="22">
        <f>YEAR(Tabla1[[#This Row],[Fecha]])</f>
        <v>2023</v>
      </c>
      <c r="L1158" s="22">
        <f>MONTH(Tabla1[[#This Row],[Fecha]])</f>
        <v>4</v>
      </c>
    </row>
    <row r="1159" spans="2:12" hidden="1" x14ac:dyDescent="0.25">
      <c r="B1159" s="5" t="s">
        <v>309</v>
      </c>
      <c r="C1159" s="5" t="s">
        <v>371</v>
      </c>
      <c r="D1159" s="5" t="s">
        <v>131</v>
      </c>
      <c r="E1159" s="13">
        <v>45029</v>
      </c>
      <c r="F1159" s="4" t="s">
        <v>91</v>
      </c>
      <c r="G1159" s="4" t="s">
        <v>303</v>
      </c>
      <c r="H1159" s="4" t="s">
        <v>434</v>
      </c>
      <c r="I1159" s="5" t="s">
        <v>1675</v>
      </c>
      <c r="J1159" s="5"/>
      <c r="K1159" s="22">
        <f>YEAR(Tabla1[[#This Row],[Fecha]])</f>
        <v>2023</v>
      </c>
      <c r="L1159" s="22">
        <f>MONTH(Tabla1[[#This Row],[Fecha]])</f>
        <v>4</v>
      </c>
    </row>
    <row r="1160" spans="2:12" ht="30" hidden="1" x14ac:dyDescent="0.25">
      <c r="B1160" s="5" t="s">
        <v>49</v>
      </c>
      <c r="C1160" s="5" t="s">
        <v>57</v>
      </c>
      <c r="D1160" s="5" t="s">
        <v>131</v>
      </c>
      <c r="E1160" s="6">
        <v>45028</v>
      </c>
      <c r="F1160" s="4" t="s">
        <v>15</v>
      </c>
      <c r="G1160" s="4" t="s">
        <v>16</v>
      </c>
      <c r="H1160" s="4" t="s">
        <v>1690</v>
      </c>
      <c r="I1160" s="23" t="s">
        <v>1749</v>
      </c>
      <c r="J1160" s="5"/>
      <c r="K1160" s="22">
        <f>YEAR(Tabla1[[#This Row],[Fecha]])</f>
        <v>2023</v>
      </c>
      <c r="L1160" s="22">
        <f>MONTH(Tabla1[[#This Row],[Fecha]])</f>
        <v>4</v>
      </c>
    </row>
    <row r="1161" spans="2:12" ht="30" hidden="1" x14ac:dyDescent="0.25">
      <c r="B1161" s="5" t="s">
        <v>49</v>
      </c>
      <c r="C1161" s="5" t="s">
        <v>57</v>
      </c>
      <c r="D1161" s="5" t="s">
        <v>131</v>
      </c>
      <c r="E1161" s="6">
        <v>45028</v>
      </c>
      <c r="F1161" s="4" t="s">
        <v>91</v>
      </c>
      <c r="G1161" s="4" t="s">
        <v>303</v>
      </c>
      <c r="H1161" s="4" t="s">
        <v>431</v>
      </c>
      <c r="I1161" s="23" t="s">
        <v>1750</v>
      </c>
      <c r="J1161" s="5"/>
      <c r="K1161" s="22">
        <f>YEAR(Tabla1[[#This Row],[Fecha]])</f>
        <v>2023</v>
      </c>
      <c r="L1161" s="22">
        <f>MONTH(Tabla1[[#This Row],[Fecha]])</f>
        <v>4</v>
      </c>
    </row>
    <row r="1162" spans="2:12" hidden="1" x14ac:dyDescent="0.25">
      <c r="B1162" s="5" t="s">
        <v>49</v>
      </c>
      <c r="C1162" s="5" t="s">
        <v>66</v>
      </c>
      <c r="D1162" s="5" t="s">
        <v>131</v>
      </c>
      <c r="E1162" s="6">
        <v>45028</v>
      </c>
      <c r="F1162" s="4" t="s">
        <v>91</v>
      </c>
      <c r="G1162" s="4" t="s">
        <v>303</v>
      </c>
      <c r="H1162" s="29" t="s">
        <v>431</v>
      </c>
      <c r="I1162" s="5" t="s">
        <v>1083</v>
      </c>
      <c r="J1162" s="7"/>
      <c r="K1162" s="15">
        <f>YEAR(Tabla1[[#This Row],[Fecha]])</f>
        <v>2023</v>
      </c>
      <c r="L1162" s="15">
        <f>MONTH(Tabla1[[#This Row],[Fecha]])</f>
        <v>4</v>
      </c>
    </row>
    <row r="1163" spans="2:12" hidden="1" x14ac:dyDescent="0.25">
      <c r="B1163" s="5" t="s">
        <v>309</v>
      </c>
      <c r="C1163" s="5" t="s">
        <v>711</v>
      </c>
      <c r="D1163" s="5" t="s">
        <v>11</v>
      </c>
      <c r="E1163" s="13">
        <v>45022</v>
      </c>
      <c r="F1163" s="4" t="s">
        <v>91</v>
      </c>
      <c r="G1163" s="4" t="s">
        <v>303</v>
      </c>
      <c r="H1163" s="2" t="s">
        <v>431</v>
      </c>
      <c r="I1163" s="5" t="s">
        <v>1652</v>
      </c>
      <c r="J1163" s="5"/>
      <c r="K1163" s="22">
        <f>YEAR(Tabla1[[#This Row],[Fecha]])</f>
        <v>2023</v>
      </c>
      <c r="L1163" s="22">
        <f>MONTH(Tabla1[[#This Row],[Fecha]])</f>
        <v>4</v>
      </c>
    </row>
    <row r="1164" spans="2:12" hidden="1" x14ac:dyDescent="0.25">
      <c r="B1164" s="5" t="s">
        <v>309</v>
      </c>
      <c r="C1164" s="5" t="s">
        <v>728</v>
      </c>
      <c r="D1164" s="5" t="s">
        <v>11</v>
      </c>
      <c r="E1164" s="13">
        <v>45022</v>
      </c>
      <c r="F1164" s="4" t="s">
        <v>91</v>
      </c>
      <c r="G1164" s="4" t="s">
        <v>303</v>
      </c>
      <c r="H1164" s="2" t="s">
        <v>431</v>
      </c>
      <c r="I1164" s="5" t="s">
        <v>1653</v>
      </c>
      <c r="J1164" s="5"/>
      <c r="K1164" s="22">
        <f>YEAR(Tabla1[[#This Row],[Fecha]])</f>
        <v>2023</v>
      </c>
      <c r="L1164" s="22">
        <f>MONTH(Tabla1[[#This Row],[Fecha]])</f>
        <v>4</v>
      </c>
    </row>
    <row r="1165" spans="2:12" hidden="1" x14ac:dyDescent="0.25">
      <c r="B1165" s="5" t="s">
        <v>309</v>
      </c>
      <c r="C1165" s="5" t="s">
        <v>371</v>
      </c>
      <c r="D1165" s="5" t="s">
        <v>11</v>
      </c>
      <c r="E1165" s="13">
        <v>45022</v>
      </c>
      <c r="F1165" s="4" t="s">
        <v>91</v>
      </c>
      <c r="G1165" s="4" t="s">
        <v>303</v>
      </c>
      <c r="H1165" s="4" t="s">
        <v>431</v>
      </c>
      <c r="I1165" s="5" t="s">
        <v>1674</v>
      </c>
      <c r="J1165" s="5"/>
      <c r="K1165" s="22">
        <f>YEAR(Tabla1[[#This Row],[Fecha]])</f>
        <v>2023</v>
      </c>
      <c r="L1165" s="22">
        <f>MONTH(Tabla1[[#This Row],[Fecha]])</f>
        <v>4</v>
      </c>
    </row>
    <row r="1166" spans="2:12" hidden="1" x14ac:dyDescent="0.25">
      <c r="B1166" s="5" t="s">
        <v>309</v>
      </c>
      <c r="C1166" s="5" t="s">
        <v>321</v>
      </c>
      <c r="D1166" s="5" t="s">
        <v>131</v>
      </c>
      <c r="E1166" s="6">
        <v>45021</v>
      </c>
      <c r="F1166" s="4" t="s">
        <v>15</v>
      </c>
      <c r="G1166" s="4" t="s">
        <v>16</v>
      </c>
      <c r="H1166" s="4" t="s">
        <v>1775</v>
      </c>
      <c r="I1166" s="11" t="s">
        <v>1382</v>
      </c>
      <c r="J1166" s="5"/>
      <c r="K1166" s="22">
        <f>YEAR(Tabla1[[#This Row],[Fecha]])</f>
        <v>2023</v>
      </c>
      <c r="L1166" s="22">
        <f>MONTH(Tabla1[[#This Row],[Fecha]])</f>
        <v>4</v>
      </c>
    </row>
    <row r="1167" spans="2:12" ht="45" hidden="1" x14ac:dyDescent="0.25">
      <c r="B1167" s="5" t="s">
        <v>49</v>
      </c>
      <c r="C1167" s="5" t="s">
        <v>60</v>
      </c>
      <c r="D1167" s="5" t="s">
        <v>131</v>
      </c>
      <c r="E1167" s="6">
        <v>45020</v>
      </c>
      <c r="F1167" s="4" t="s">
        <v>91</v>
      </c>
      <c r="G1167" s="4" t="s">
        <v>16</v>
      </c>
      <c r="H1167" s="8" t="s">
        <v>34</v>
      </c>
      <c r="I1167" s="23" t="s">
        <v>1753</v>
      </c>
      <c r="J1167" s="7"/>
      <c r="K1167" s="15">
        <f>YEAR(Tabla1[[#This Row],[Fecha]])</f>
        <v>2023</v>
      </c>
      <c r="L1167" s="15">
        <f>MONTH(Tabla1[[#This Row],[Fecha]])</f>
        <v>4</v>
      </c>
    </row>
    <row r="1168" spans="2:12" ht="30" hidden="1" x14ac:dyDescent="0.25">
      <c r="B1168" s="5" t="s">
        <v>49</v>
      </c>
      <c r="C1168" s="5" t="s">
        <v>57</v>
      </c>
      <c r="D1168" s="5" t="s">
        <v>131</v>
      </c>
      <c r="E1168" s="6">
        <v>45020</v>
      </c>
      <c r="F1168" s="4" t="s">
        <v>91</v>
      </c>
      <c r="G1168" s="4" t="s">
        <v>16</v>
      </c>
      <c r="H1168" s="4" t="s">
        <v>34</v>
      </c>
      <c r="I1168" s="23" t="s">
        <v>1754</v>
      </c>
      <c r="J1168" s="5"/>
      <c r="K1168" s="22">
        <f>YEAR(Tabla1[[#This Row],[Fecha]])</f>
        <v>2023</v>
      </c>
      <c r="L1168" s="22">
        <f>MONTH(Tabla1[[#This Row],[Fecha]])</f>
        <v>4</v>
      </c>
    </row>
    <row r="1169" spans="2:12" hidden="1" x14ac:dyDescent="0.25">
      <c r="B1169" s="5" t="s">
        <v>309</v>
      </c>
      <c r="C1169" s="5" t="s">
        <v>318</v>
      </c>
      <c r="D1169" s="5" t="s">
        <v>131</v>
      </c>
      <c r="E1169" s="6">
        <v>45020</v>
      </c>
      <c r="F1169" s="4" t="s">
        <v>15</v>
      </c>
      <c r="G1169" s="4" t="s">
        <v>16</v>
      </c>
      <c r="H1169" s="2" t="s">
        <v>17</v>
      </c>
      <c r="I1169" s="11" t="s">
        <v>1534</v>
      </c>
      <c r="J1169" s="5"/>
      <c r="K1169" s="22">
        <f>YEAR(Tabla1[[#This Row],[Fecha]])</f>
        <v>2023</v>
      </c>
      <c r="L1169" s="22">
        <f>MONTH(Tabla1[[#This Row],[Fecha]])</f>
        <v>4</v>
      </c>
    </row>
    <row r="1170" spans="2:12" hidden="1" x14ac:dyDescent="0.25">
      <c r="B1170" s="5" t="s">
        <v>309</v>
      </c>
      <c r="C1170" s="5" t="s">
        <v>371</v>
      </c>
      <c r="D1170" s="5" t="s">
        <v>11</v>
      </c>
      <c r="E1170" s="13">
        <v>45020</v>
      </c>
      <c r="F1170" s="4" t="s">
        <v>91</v>
      </c>
      <c r="G1170" s="4" t="s">
        <v>303</v>
      </c>
      <c r="H1170" s="4" t="s">
        <v>431</v>
      </c>
      <c r="I1170" s="5" t="s">
        <v>1673</v>
      </c>
      <c r="J1170" s="5"/>
      <c r="K1170" s="22">
        <f>YEAR(Tabla1[[#This Row],[Fecha]])</f>
        <v>2023</v>
      </c>
      <c r="L1170" s="22">
        <f>MONTH(Tabla1[[#This Row],[Fecha]])</f>
        <v>4</v>
      </c>
    </row>
    <row r="1171" spans="2:12" hidden="1" x14ac:dyDescent="0.25">
      <c r="B1171" s="5" t="s">
        <v>32</v>
      </c>
      <c r="C1171" s="5" t="s">
        <v>33</v>
      </c>
      <c r="D1171" s="5" t="s">
        <v>131</v>
      </c>
      <c r="E1171" s="6">
        <v>45019</v>
      </c>
      <c r="F1171" s="4" t="s">
        <v>15</v>
      </c>
      <c r="G1171" s="4" t="s">
        <v>16</v>
      </c>
      <c r="H1171" s="2" t="s">
        <v>63</v>
      </c>
      <c r="I1171" s="26" t="s">
        <v>1353</v>
      </c>
      <c r="J1171" s="5" t="s">
        <v>1354</v>
      </c>
      <c r="K1171" s="22">
        <f>YEAR(Tabla1[[#This Row],[Fecha]])</f>
        <v>2023</v>
      </c>
      <c r="L1171" s="22">
        <f>MONTH(Tabla1[[#This Row],[Fecha]])</f>
        <v>4</v>
      </c>
    </row>
    <row r="1172" spans="2:12" hidden="1" x14ac:dyDescent="0.25">
      <c r="B1172" s="5" t="s">
        <v>309</v>
      </c>
      <c r="C1172" s="5" t="s">
        <v>318</v>
      </c>
      <c r="D1172" s="5" t="s">
        <v>131</v>
      </c>
      <c r="E1172" s="6">
        <v>45019</v>
      </c>
      <c r="F1172" s="2" t="s">
        <v>15</v>
      </c>
      <c r="G1172" s="4" t="s">
        <v>47</v>
      </c>
      <c r="H1172" s="2" t="s">
        <v>333</v>
      </c>
      <c r="I1172" s="11" t="s">
        <v>1533</v>
      </c>
      <c r="J1172" s="5"/>
      <c r="K1172" s="22">
        <f>YEAR(Tabla1[[#This Row],[Fecha]])</f>
        <v>2023</v>
      </c>
      <c r="L1172" s="22">
        <f>MONTH(Tabla1[[#This Row],[Fecha]])</f>
        <v>4</v>
      </c>
    </row>
    <row r="1173" spans="2:12" ht="30" hidden="1" x14ac:dyDescent="0.25">
      <c r="B1173" s="5" t="s">
        <v>49</v>
      </c>
      <c r="C1173" s="5" t="s">
        <v>176</v>
      </c>
      <c r="D1173" s="5" t="s">
        <v>1084</v>
      </c>
      <c r="E1173" s="6">
        <v>45016</v>
      </c>
      <c r="F1173" s="4" t="s">
        <v>91</v>
      </c>
      <c r="G1173" s="4" t="s">
        <v>303</v>
      </c>
      <c r="H1173" s="4" t="s">
        <v>434</v>
      </c>
      <c r="I1173" s="23" t="s">
        <v>1755</v>
      </c>
      <c r="J1173" s="5"/>
      <c r="K1173" s="22">
        <f>YEAR(Tabla1[[#This Row],[Fecha]])</f>
        <v>2023</v>
      </c>
      <c r="L1173" s="22">
        <f>MONTH(Tabla1[[#This Row],[Fecha]])</f>
        <v>3</v>
      </c>
    </row>
    <row r="1174" spans="2:12" hidden="1" x14ac:dyDescent="0.25">
      <c r="B1174" s="5" t="s">
        <v>49</v>
      </c>
      <c r="C1174" s="5" t="s">
        <v>66</v>
      </c>
      <c r="D1174" s="5" t="s">
        <v>1084</v>
      </c>
      <c r="E1174" s="6">
        <v>45016</v>
      </c>
      <c r="F1174" s="4" t="s">
        <v>91</v>
      </c>
      <c r="G1174" s="4" t="s">
        <v>303</v>
      </c>
      <c r="H1174" s="4" t="s">
        <v>434</v>
      </c>
      <c r="I1174" s="5" t="s">
        <v>1085</v>
      </c>
      <c r="J1174" s="5"/>
      <c r="K1174" s="22">
        <f>YEAR(Tabla1[[#This Row],[Fecha]])</f>
        <v>2023</v>
      </c>
      <c r="L1174" s="22">
        <f>MONTH(Tabla1[[#This Row],[Fecha]])</f>
        <v>3</v>
      </c>
    </row>
    <row r="1175" spans="2:12" hidden="1" x14ac:dyDescent="0.25">
      <c r="B1175" s="5" t="s">
        <v>49</v>
      </c>
      <c r="C1175" s="5" t="s">
        <v>60</v>
      </c>
      <c r="D1175" s="5" t="s">
        <v>1084</v>
      </c>
      <c r="E1175" s="6">
        <v>45016</v>
      </c>
      <c r="F1175" s="4" t="s">
        <v>91</v>
      </c>
      <c r="G1175" s="4" t="s">
        <v>303</v>
      </c>
      <c r="H1175" s="4" t="s">
        <v>434</v>
      </c>
      <c r="I1175" s="5" t="s">
        <v>1756</v>
      </c>
      <c r="J1175" s="5"/>
      <c r="K1175" s="22">
        <f>YEAR(Tabla1[[#This Row],[Fecha]])</f>
        <v>2023</v>
      </c>
      <c r="L1175" s="22">
        <f>MONTH(Tabla1[[#This Row],[Fecha]])</f>
        <v>3</v>
      </c>
    </row>
    <row r="1176" spans="2:12" hidden="1" x14ac:dyDescent="0.25">
      <c r="B1176" s="5" t="s">
        <v>49</v>
      </c>
      <c r="C1176" s="5" t="s">
        <v>60</v>
      </c>
      <c r="D1176" s="5" t="s">
        <v>1084</v>
      </c>
      <c r="E1176" s="6">
        <v>45016</v>
      </c>
      <c r="F1176" s="4" t="s">
        <v>91</v>
      </c>
      <c r="G1176" s="4" t="s">
        <v>303</v>
      </c>
      <c r="H1176" s="4" t="s">
        <v>434</v>
      </c>
      <c r="I1176" s="5" t="s">
        <v>1086</v>
      </c>
      <c r="J1176" s="5"/>
      <c r="K1176" s="22">
        <f>YEAR(Tabla1[[#This Row],[Fecha]])</f>
        <v>2023</v>
      </c>
      <c r="L1176" s="22">
        <f>MONTH(Tabla1[[#This Row],[Fecha]])</f>
        <v>3</v>
      </c>
    </row>
    <row r="1177" spans="2:12" hidden="1" x14ac:dyDescent="0.25">
      <c r="B1177" s="5" t="s">
        <v>49</v>
      </c>
      <c r="C1177" s="5" t="s">
        <v>53</v>
      </c>
      <c r="D1177" s="5" t="s">
        <v>1084</v>
      </c>
      <c r="E1177" s="6">
        <v>45016</v>
      </c>
      <c r="F1177" s="4" t="s">
        <v>91</v>
      </c>
      <c r="G1177" s="4" t="s">
        <v>303</v>
      </c>
      <c r="H1177" s="29" t="s">
        <v>434</v>
      </c>
      <c r="I1177" s="5" t="s">
        <v>1087</v>
      </c>
      <c r="J1177" s="7"/>
      <c r="K1177" s="15">
        <f>YEAR(Tabla1[[#This Row],[Fecha]])</f>
        <v>2023</v>
      </c>
      <c r="L1177" s="15">
        <f>MONTH(Tabla1[[#This Row],[Fecha]])</f>
        <v>3</v>
      </c>
    </row>
    <row r="1178" spans="2:12" hidden="1" x14ac:dyDescent="0.25">
      <c r="B1178" s="5" t="s">
        <v>49</v>
      </c>
      <c r="C1178" s="5" t="s">
        <v>57</v>
      </c>
      <c r="D1178" s="5" t="s">
        <v>1084</v>
      </c>
      <c r="E1178" s="6">
        <v>45015</v>
      </c>
      <c r="F1178" s="4" t="s">
        <v>15</v>
      </c>
      <c r="G1178" s="4" t="s">
        <v>47</v>
      </c>
      <c r="H1178" s="8" t="s">
        <v>1776</v>
      </c>
      <c r="I1178" s="5" t="s">
        <v>1088</v>
      </c>
      <c r="J1178" s="7"/>
      <c r="K1178" s="15">
        <f>YEAR(Tabla1[[#This Row],[Fecha]])</f>
        <v>2023</v>
      </c>
      <c r="L1178" s="15">
        <f>MONTH(Tabla1[[#This Row],[Fecha]])</f>
        <v>3</v>
      </c>
    </row>
    <row r="1179" spans="2:12" hidden="1" x14ac:dyDescent="0.25">
      <c r="B1179" s="5" t="s">
        <v>49</v>
      </c>
      <c r="C1179" s="5" t="s">
        <v>176</v>
      </c>
      <c r="D1179" s="5" t="s">
        <v>1084</v>
      </c>
      <c r="E1179" s="6">
        <v>45014</v>
      </c>
      <c r="F1179" s="4" t="s">
        <v>91</v>
      </c>
      <c r="G1179" s="4" t="s">
        <v>303</v>
      </c>
      <c r="H1179" s="4" t="s">
        <v>434</v>
      </c>
      <c r="I1179" s="5" t="s">
        <v>1089</v>
      </c>
      <c r="J1179" s="5"/>
      <c r="K1179" s="22">
        <f>YEAR(Tabla1[[#This Row],[Fecha]])</f>
        <v>2023</v>
      </c>
      <c r="L1179" s="22">
        <f>MONTH(Tabla1[[#This Row],[Fecha]])</f>
        <v>3</v>
      </c>
    </row>
    <row r="1180" spans="2:12" hidden="1" x14ac:dyDescent="0.25">
      <c r="B1180" s="5" t="s">
        <v>49</v>
      </c>
      <c r="C1180" s="5" t="s">
        <v>66</v>
      </c>
      <c r="D1180" s="5" t="s">
        <v>1084</v>
      </c>
      <c r="E1180" s="6">
        <v>45014</v>
      </c>
      <c r="F1180" s="4" t="s">
        <v>91</v>
      </c>
      <c r="G1180" s="4" t="s">
        <v>303</v>
      </c>
      <c r="H1180" s="4" t="s">
        <v>434</v>
      </c>
      <c r="I1180" s="5" t="s">
        <v>1090</v>
      </c>
      <c r="J1180" s="5"/>
      <c r="K1180" s="22">
        <f>YEAR(Tabla1[[#This Row],[Fecha]])</f>
        <v>2023</v>
      </c>
      <c r="L1180" s="22">
        <f>MONTH(Tabla1[[#This Row],[Fecha]])</f>
        <v>3</v>
      </c>
    </row>
    <row r="1181" spans="2:12" hidden="1" x14ac:dyDescent="0.25">
      <c r="B1181" s="5" t="s">
        <v>49</v>
      </c>
      <c r="C1181" s="5" t="s">
        <v>111</v>
      </c>
      <c r="D1181" s="5" t="s">
        <v>1084</v>
      </c>
      <c r="E1181" s="6">
        <v>45014</v>
      </c>
      <c r="F1181" s="4" t="s">
        <v>91</v>
      </c>
      <c r="G1181" s="4" t="s">
        <v>303</v>
      </c>
      <c r="H1181" s="4" t="s">
        <v>431</v>
      </c>
      <c r="I1181" s="5" t="s">
        <v>1091</v>
      </c>
      <c r="J1181" s="5"/>
      <c r="K1181" s="22">
        <f>YEAR(Tabla1[[#This Row],[Fecha]])</f>
        <v>2023</v>
      </c>
      <c r="L1181" s="22">
        <f>MONTH(Tabla1[[#This Row],[Fecha]])</f>
        <v>3</v>
      </c>
    </row>
    <row r="1182" spans="2:12" hidden="1" x14ac:dyDescent="0.25">
      <c r="B1182" s="5" t="s">
        <v>49</v>
      </c>
      <c r="C1182" s="5" t="s">
        <v>60</v>
      </c>
      <c r="D1182" s="5" t="s">
        <v>1084</v>
      </c>
      <c r="E1182" s="6">
        <v>45014</v>
      </c>
      <c r="F1182" s="4" t="s">
        <v>91</v>
      </c>
      <c r="G1182" s="4" t="s">
        <v>303</v>
      </c>
      <c r="H1182" s="4" t="s">
        <v>434</v>
      </c>
      <c r="I1182" s="5" t="s">
        <v>1092</v>
      </c>
      <c r="J1182" s="5"/>
      <c r="K1182" s="22">
        <f>YEAR(Tabla1[[#This Row],[Fecha]])</f>
        <v>2023</v>
      </c>
      <c r="L1182" s="22">
        <f>MONTH(Tabla1[[#This Row],[Fecha]])</f>
        <v>3</v>
      </c>
    </row>
    <row r="1183" spans="2:12" hidden="1" x14ac:dyDescent="0.25">
      <c r="B1183" s="5" t="s">
        <v>49</v>
      </c>
      <c r="C1183" s="5" t="s">
        <v>53</v>
      </c>
      <c r="D1183" s="5" t="s">
        <v>1084</v>
      </c>
      <c r="E1183" s="6">
        <v>45014</v>
      </c>
      <c r="F1183" s="4" t="s">
        <v>91</v>
      </c>
      <c r="G1183" s="4" t="s">
        <v>303</v>
      </c>
      <c r="H1183" s="4" t="s">
        <v>434</v>
      </c>
      <c r="I1183" s="5" t="s">
        <v>1757</v>
      </c>
      <c r="J1183" s="5"/>
      <c r="K1183" s="22">
        <f>YEAR(Tabla1[[#This Row],[Fecha]])</f>
        <v>2023</v>
      </c>
      <c r="L1183" s="22">
        <f>MONTH(Tabla1[[#This Row],[Fecha]])</f>
        <v>3</v>
      </c>
    </row>
    <row r="1184" spans="2:12" hidden="1" x14ac:dyDescent="0.25">
      <c r="B1184" s="5" t="s">
        <v>32</v>
      </c>
      <c r="C1184" s="5" t="s">
        <v>33</v>
      </c>
      <c r="D1184" s="5" t="s">
        <v>131</v>
      </c>
      <c r="E1184" s="6">
        <v>45013</v>
      </c>
      <c r="F1184" s="4" t="s">
        <v>91</v>
      </c>
      <c r="G1184" s="4" t="s">
        <v>16</v>
      </c>
      <c r="H1184" s="8" t="s">
        <v>34</v>
      </c>
      <c r="I1184" s="11" t="s">
        <v>1361</v>
      </c>
      <c r="J1184" s="7"/>
      <c r="K1184" s="15">
        <f>YEAR(Tabla1[[#This Row],[Fecha]])</f>
        <v>2023</v>
      </c>
      <c r="L1184" s="15">
        <f>MONTH(Tabla1[[#This Row],[Fecha]])</f>
        <v>3</v>
      </c>
    </row>
    <row r="1185" spans="2:12" hidden="1" x14ac:dyDescent="0.25">
      <c r="B1185" s="5" t="s">
        <v>49</v>
      </c>
      <c r="C1185" s="5" t="s">
        <v>53</v>
      </c>
      <c r="D1185" s="5" t="s">
        <v>1084</v>
      </c>
      <c r="E1185" s="6">
        <v>45012</v>
      </c>
      <c r="F1185" s="4" t="s">
        <v>91</v>
      </c>
      <c r="G1185" s="4" t="s">
        <v>303</v>
      </c>
      <c r="H1185" s="4" t="s">
        <v>431</v>
      </c>
      <c r="I1185" s="5" t="s">
        <v>1093</v>
      </c>
      <c r="J1185" s="5"/>
      <c r="K1185" s="22">
        <f>YEAR(Tabla1[[#This Row],[Fecha]])</f>
        <v>2023</v>
      </c>
      <c r="L1185" s="22">
        <f>MONTH(Tabla1[[#This Row],[Fecha]])</f>
        <v>3</v>
      </c>
    </row>
    <row r="1186" spans="2:12" hidden="1" x14ac:dyDescent="0.25">
      <c r="B1186" s="5" t="s">
        <v>49</v>
      </c>
      <c r="C1186" s="5" t="s">
        <v>111</v>
      </c>
      <c r="D1186" s="5" t="s">
        <v>1084</v>
      </c>
      <c r="E1186" s="6">
        <v>45012</v>
      </c>
      <c r="F1186" s="4" t="s">
        <v>91</v>
      </c>
      <c r="G1186" s="4" t="s">
        <v>303</v>
      </c>
      <c r="H1186" s="4" t="s">
        <v>431</v>
      </c>
      <c r="I1186" s="5" t="s">
        <v>1094</v>
      </c>
      <c r="J1186" s="5"/>
      <c r="K1186" s="22">
        <f>YEAR(Tabla1[[#This Row],[Fecha]])</f>
        <v>2023</v>
      </c>
      <c r="L1186" s="22">
        <f>MONTH(Tabla1[[#This Row],[Fecha]])</f>
        <v>3</v>
      </c>
    </row>
    <row r="1187" spans="2:12" hidden="1" x14ac:dyDescent="0.25">
      <c r="B1187" s="5" t="s">
        <v>49</v>
      </c>
      <c r="C1187" s="5" t="s">
        <v>111</v>
      </c>
      <c r="D1187" s="5" t="s">
        <v>1084</v>
      </c>
      <c r="E1187" s="6">
        <v>45012</v>
      </c>
      <c r="F1187" s="4" t="s">
        <v>91</v>
      </c>
      <c r="G1187" s="4" t="s">
        <v>303</v>
      </c>
      <c r="H1187" s="4" t="s">
        <v>431</v>
      </c>
      <c r="I1187" s="5" t="s">
        <v>1095</v>
      </c>
      <c r="J1187" s="5"/>
      <c r="K1187" s="22">
        <f>YEAR(Tabla1[[#This Row],[Fecha]])</f>
        <v>2023</v>
      </c>
      <c r="L1187" s="22">
        <f>MONTH(Tabla1[[#This Row],[Fecha]])</f>
        <v>3</v>
      </c>
    </row>
    <row r="1188" spans="2:12" hidden="1" x14ac:dyDescent="0.25">
      <c r="B1188" s="5" t="s">
        <v>49</v>
      </c>
      <c r="C1188" s="5" t="s">
        <v>60</v>
      </c>
      <c r="D1188" s="5" t="s">
        <v>1084</v>
      </c>
      <c r="E1188" s="6">
        <v>45012</v>
      </c>
      <c r="F1188" s="4" t="s">
        <v>91</v>
      </c>
      <c r="G1188" s="4" t="s">
        <v>303</v>
      </c>
      <c r="H1188" s="4" t="s">
        <v>431</v>
      </c>
      <c r="I1188" s="5" t="s">
        <v>1095</v>
      </c>
      <c r="J1188" s="5"/>
      <c r="K1188" s="22">
        <f>YEAR(Tabla1[[#This Row],[Fecha]])</f>
        <v>2023</v>
      </c>
      <c r="L1188" s="22">
        <f>MONTH(Tabla1[[#This Row],[Fecha]])</f>
        <v>3</v>
      </c>
    </row>
    <row r="1189" spans="2:12" hidden="1" x14ac:dyDescent="0.25">
      <c r="B1189" s="5" t="s">
        <v>49</v>
      </c>
      <c r="C1189" s="5" t="s">
        <v>66</v>
      </c>
      <c r="D1189" s="5" t="s">
        <v>1084</v>
      </c>
      <c r="E1189" s="6">
        <v>45012</v>
      </c>
      <c r="F1189" s="4" t="s">
        <v>91</v>
      </c>
      <c r="G1189" s="4" t="s">
        <v>303</v>
      </c>
      <c r="H1189" s="4" t="s">
        <v>431</v>
      </c>
      <c r="I1189" s="5" t="s">
        <v>1758</v>
      </c>
      <c r="J1189" s="5"/>
      <c r="K1189" s="22">
        <f>YEAR(Tabla1[[#This Row],[Fecha]])</f>
        <v>2023</v>
      </c>
      <c r="L1189" s="22">
        <f>MONTH(Tabla1[[#This Row],[Fecha]])</f>
        <v>3</v>
      </c>
    </row>
    <row r="1190" spans="2:12" hidden="1" x14ac:dyDescent="0.25">
      <c r="B1190" s="5" t="s">
        <v>49</v>
      </c>
      <c r="C1190" s="5" t="s">
        <v>115</v>
      </c>
      <c r="D1190" s="5" t="s">
        <v>1084</v>
      </c>
      <c r="E1190" s="6">
        <v>45009</v>
      </c>
      <c r="F1190" s="4" t="s">
        <v>91</v>
      </c>
      <c r="G1190" s="4" t="s">
        <v>303</v>
      </c>
      <c r="H1190" s="4" t="s">
        <v>434</v>
      </c>
      <c r="I1190" s="5" t="s">
        <v>1759</v>
      </c>
      <c r="J1190" s="5"/>
      <c r="K1190" s="22">
        <f>YEAR(Tabla1[[#This Row],[Fecha]])</f>
        <v>2023</v>
      </c>
      <c r="L1190" s="22">
        <f>MONTH(Tabla1[[#This Row],[Fecha]])</f>
        <v>3</v>
      </c>
    </row>
    <row r="1191" spans="2:12" hidden="1" x14ac:dyDescent="0.25">
      <c r="B1191" s="5" t="s">
        <v>49</v>
      </c>
      <c r="C1191" s="5" t="s">
        <v>117</v>
      </c>
      <c r="D1191" s="5" t="s">
        <v>1084</v>
      </c>
      <c r="E1191" s="6">
        <v>45009</v>
      </c>
      <c r="F1191" s="4" t="s">
        <v>91</v>
      </c>
      <c r="G1191" s="4" t="s">
        <v>303</v>
      </c>
      <c r="H1191" s="4" t="s">
        <v>434</v>
      </c>
      <c r="I1191" s="5" t="s">
        <v>1096</v>
      </c>
      <c r="J1191" s="5"/>
      <c r="K1191" s="22">
        <f>YEAR(Tabla1[[#This Row],[Fecha]])</f>
        <v>2023</v>
      </c>
      <c r="L1191" s="22">
        <f>MONTH(Tabla1[[#This Row],[Fecha]])</f>
        <v>3</v>
      </c>
    </row>
    <row r="1192" spans="2:12" ht="30" hidden="1" x14ac:dyDescent="0.25">
      <c r="B1192" s="5" t="s">
        <v>49</v>
      </c>
      <c r="C1192" s="5" t="s">
        <v>50</v>
      </c>
      <c r="D1192" s="5" t="s">
        <v>1084</v>
      </c>
      <c r="E1192" s="6">
        <v>45009</v>
      </c>
      <c r="F1192" s="4" t="s">
        <v>91</v>
      </c>
      <c r="G1192" s="4" t="s">
        <v>303</v>
      </c>
      <c r="H1192" s="4" t="s">
        <v>434</v>
      </c>
      <c r="I1192" s="23" t="s">
        <v>1760</v>
      </c>
      <c r="J1192" s="5"/>
      <c r="K1192" s="22">
        <f>YEAR(Tabla1[[#This Row],[Fecha]])</f>
        <v>2023</v>
      </c>
      <c r="L1192" s="22">
        <f>MONTH(Tabla1[[#This Row],[Fecha]])</f>
        <v>3</v>
      </c>
    </row>
    <row r="1193" spans="2:12" hidden="1" x14ac:dyDescent="0.25">
      <c r="B1193" s="5" t="s">
        <v>49</v>
      </c>
      <c r="C1193" s="5" t="s">
        <v>56</v>
      </c>
      <c r="D1193" s="5" t="s">
        <v>1084</v>
      </c>
      <c r="E1193" s="6">
        <v>45009</v>
      </c>
      <c r="F1193" s="4" t="s">
        <v>91</v>
      </c>
      <c r="G1193" s="4" t="s">
        <v>303</v>
      </c>
      <c r="H1193" s="4" t="s">
        <v>434</v>
      </c>
      <c r="I1193" s="5" t="s">
        <v>1097</v>
      </c>
      <c r="J1193" s="5"/>
      <c r="K1193" s="22">
        <f>YEAR(Tabla1[[#This Row],[Fecha]])</f>
        <v>2023</v>
      </c>
      <c r="L1193" s="22">
        <f>MONTH(Tabla1[[#This Row],[Fecha]])</f>
        <v>3</v>
      </c>
    </row>
    <row r="1194" spans="2:12" hidden="1" x14ac:dyDescent="0.25">
      <c r="B1194" s="5" t="s">
        <v>49</v>
      </c>
      <c r="C1194" s="5" t="s">
        <v>123</v>
      </c>
      <c r="D1194" s="5" t="s">
        <v>1084</v>
      </c>
      <c r="E1194" s="6">
        <v>45009</v>
      </c>
      <c r="F1194" s="4" t="s">
        <v>91</v>
      </c>
      <c r="G1194" s="4" t="s">
        <v>303</v>
      </c>
      <c r="H1194" s="4" t="s">
        <v>434</v>
      </c>
      <c r="I1194" s="5" t="s">
        <v>1098</v>
      </c>
      <c r="J1194" s="5"/>
      <c r="K1194" s="22">
        <f>YEAR(Tabla1[[#This Row],[Fecha]])</f>
        <v>2023</v>
      </c>
      <c r="L1194" s="22">
        <f>MONTH(Tabla1[[#This Row],[Fecha]])</f>
        <v>3</v>
      </c>
    </row>
    <row r="1195" spans="2:12" hidden="1" x14ac:dyDescent="0.25">
      <c r="B1195" s="5" t="s">
        <v>309</v>
      </c>
      <c r="C1195" s="5" t="s">
        <v>371</v>
      </c>
      <c r="D1195" s="5" t="s">
        <v>1084</v>
      </c>
      <c r="E1195" s="13">
        <v>45008</v>
      </c>
      <c r="F1195" s="11" t="s">
        <v>15</v>
      </c>
      <c r="G1195" s="11" t="s">
        <v>36</v>
      </c>
      <c r="H1195" s="11" t="s">
        <v>37</v>
      </c>
      <c r="I1195" s="11" t="s">
        <v>1672</v>
      </c>
      <c r="J1195" s="5"/>
      <c r="K1195" s="22">
        <f>YEAR(Tabla1[[#This Row],[Fecha]])</f>
        <v>2023</v>
      </c>
      <c r="L1195" s="22">
        <f>MONTH(Tabla1[[#This Row],[Fecha]])</f>
        <v>3</v>
      </c>
    </row>
    <row r="1196" spans="2:12" hidden="1" x14ac:dyDescent="0.25">
      <c r="B1196" s="5" t="s">
        <v>49</v>
      </c>
      <c r="C1196" s="5" t="s">
        <v>123</v>
      </c>
      <c r="D1196" s="5" t="s">
        <v>1084</v>
      </c>
      <c r="E1196" s="6">
        <v>45007</v>
      </c>
      <c r="F1196" s="4" t="s">
        <v>91</v>
      </c>
      <c r="G1196" s="4" t="s">
        <v>303</v>
      </c>
      <c r="H1196" s="4" t="s">
        <v>434</v>
      </c>
      <c r="I1196" s="5" t="s">
        <v>1099</v>
      </c>
      <c r="J1196" s="5"/>
      <c r="K1196" s="22">
        <f>YEAR(Tabla1[[#This Row],[Fecha]])</f>
        <v>2023</v>
      </c>
      <c r="L1196" s="22">
        <f>MONTH(Tabla1[[#This Row],[Fecha]])</f>
        <v>3</v>
      </c>
    </row>
    <row r="1197" spans="2:12" hidden="1" x14ac:dyDescent="0.25">
      <c r="B1197" s="5" t="s">
        <v>49</v>
      </c>
      <c r="C1197" s="5" t="s">
        <v>123</v>
      </c>
      <c r="D1197" s="5" t="s">
        <v>1084</v>
      </c>
      <c r="E1197" s="6">
        <v>45007</v>
      </c>
      <c r="F1197" s="4" t="s">
        <v>91</v>
      </c>
      <c r="G1197" s="4" t="s">
        <v>303</v>
      </c>
      <c r="H1197" s="20" t="s">
        <v>434</v>
      </c>
      <c r="I1197" s="5" t="s">
        <v>1100</v>
      </c>
      <c r="J1197" s="5"/>
      <c r="K1197" s="22">
        <f>YEAR(Tabla1[[#This Row],[Fecha]])</f>
        <v>2023</v>
      </c>
      <c r="L1197" s="22">
        <f>MONTH(Tabla1[[#This Row],[Fecha]])</f>
        <v>3</v>
      </c>
    </row>
    <row r="1198" spans="2:12" hidden="1" x14ac:dyDescent="0.25">
      <c r="B1198" s="5" t="s">
        <v>49</v>
      </c>
      <c r="C1198" s="5" t="s">
        <v>117</v>
      </c>
      <c r="D1198" s="5" t="s">
        <v>1084</v>
      </c>
      <c r="E1198" s="6">
        <v>45007</v>
      </c>
      <c r="F1198" s="4" t="s">
        <v>91</v>
      </c>
      <c r="G1198" s="4" t="s">
        <v>303</v>
      </c>
      <c r="H1198" s="20" t="s">
        <v>434</v>
      </c>
      <c r="I1198" s="5" t="s">
        <v>1101</v>
      </c>
      <c r="J1198" s="5"/>
      <c r="K1198" s="22">
        <f>YEAR(Tabla1[[#This Row],[Fecha]])</f>
        <v>2023</v>
      </c>
      <c r="L1198" s="22">
        <f>MONTH(Tabla1[[#This Row],[Fecha]])</f>
        <v>3</v>
      </c>
    </row>
    <row r="1199" spans="2:12" hidden="1" x14ac:dyDescent="0.25">
      <c r="B1199" s="5" t="s">
        <v>49</v>
      </c>
      <c r="C1199" s="5" t="s">
        <v>115</v>
      </c>
      <c r="D1199" s="5" t="s">
        <v>1084</v>
      </c>
      <c r="E1199" s="6">
        <v>45007</v>
      </c>
      <c r="F1199" s="4" t="s">
        <v>91</v>
      </c>
      <c r="G1199" s="4" t="s">
        <v>303</v>
      </c>
      <c r="H1199" s="20" t="s">
        <v>434</v>
      </c>
      <c r="I1199" s="5" t="s">
        <v>1102</v>
      </c>
      <c r="J1199" s="5"/>
      <c r="K1199" s="22">
        <f>YEAR(Tabla1[[#This Row],[Fecha]])</f>
        <v>2023</v>
      </c>
      <c r="L1199" s="22">
        <f>MONTH(Tabla1[[#This Row],[Fecha]])</f>
        <v>3</v>
      </c>
    </row>
    <row r="1200" spans="2:12" hidden="1" x14ac:dyDescent="0.25">
      <c r="B1200" s="5" t="s">
        <v>49</v>
      </c>
      <c r="C1200" s="5" t="s">
        <v>50</v>
      </c>
      <c r="D1200" s="5" t="s">
        <v>1084</v>
      </c>
      <c r="E1200" s="6">
        <v>45007</v>
      </c>
      <c r="F1200" s="4" t="s">
        <v>91</v>
      </c>
      <c r="G1200" s="4" t="s">
        <v>303</v>
      </c>
      <c r="H1200" s="20" t="s">
        <v>434</v>
      </c>
      <c r="I1200" s="5" t="s">
        <v>1103</v>
      </c>
      <c r="J1200" s="5"/>
      <c r="K1200" s="22">
        <f>YEAR(Tabla1[[#This Row],[Fecha]])</f>
        <v>2023</v>
      </c>
      <c r="L1200" s="22">
        <f>MONTH(Tabla1[[#This Row],[Fecha]])</f>
        <v>3</v>
      </c>
    </row>
    <row r="1201" spans="2:12" hidden="1" x14ac:dyDescent="0.25">
      <c r="B1201" s="5" t="s">
        <v>1266</v>
      </c>
      <c r="C1201" s="5" t="s">
        <v>499</v>
      </c>
      <c r="D1201" s="5" t="s">
        <v>1084</v>
      </c>
      <c r="E1201" s="6">
        <v>45006</v>
      </c>
      <c r="F1201" s="4" t="s">
        <v>15</v>
      </c>
      <c r="G1201" s="4" t="s">
        <v>47</v>
      </c>
      <c r="H1201" s="4" t="s">
        <v>121</v>
      </c>
      <c r="I1201" s="11" t="s">
        <v>1271</v>
      </c>
      <c r="J1201" s="5"/>
      <c r="K1201" s="22">
        <f>YEAR(Tabla1[[#This Row],[Fecha]])</f>
        <v>2023</v>
      </c>
      <c r="L1201" s="22">
        <f>MONTH(Tabla1[[#This Row],[Fecha]])</f>
        <v>3</v>
      </c>
    </row>
    <row r="1202" spans="2:12" hidden="1" x14ac:dyDescent="0.25">
      <c r="B1202" s="5" t="s">
        <v>32</v>
      </c>
      <c r="C1202" s="5" t="s">
        <v>33</v>
      </c>
      <c r="D1202" s="5" t="s">
        <v>1084</v>
      </c>
      <c r="E1202" s="6">
        <v>45006</v>
      </c>
      <c r="F1202" s="4" t="s">
        <v>91</v>
      </c>
      <c r="G1202" s="32" t="s">
        <v>103</v>
      </c>
      <c r="H1202" s="32" t="s">
        <v>1779</v>
      </c>
      <c r="I1202" s="2" t="s">
        <v>1778</v>
      </c>
      <c r="J1202" s="7"/>
      <c r="K1202" s="15">
        <f>YEAR(Tabla1[[#This Row],[Fecha]])</f>
        <v>2023</v>
      </c>
      <c r="L1202" s="15">
        <f>MONTH(Tabla1[[#This Row],[Fecha]])</f>
        <v>3</v>
      </c>
    </row>
    <row r="1203" spans="2:12" hidden="1" x14ac:dyDescent="0.25">
      <c r="B1203" s="5" t="s">
        <v>309</v>
      </c>
      <c r="C1203" s="5" t="s">
        <v>321</v>
      </c>
      <c r="D1203" s="5" t="s">
        <v>11</v>
      </c>
      <c r="E1203" s="6">
        <v>45006</v>
      </c>
      <c r="F1203" s="4" t="s">
        <v>15</v>
      </c>
      <c r="G1203" s="4" t="s">
        <v>16</v>
      </c>
      <c r="H1203" s="2" t="s">
        <v>1704</v>
      </c>
      <c r="I1203" s="26" t="s">
        <v>1383</v>
      </c>
      <c r="J1203" s="5"/>
      <c r="K1203" s="22">
        <f>YEAR(Tabla1[[#This Row],[Fecha]])</f>
        <v>2023</v>
      </c>
      <c r="L1203" s="22">
        <f>MONTH(Tabla1[[#This Row],[Fecha]])</f>
        <v>3</v>
      </c>
    </row>
    <row r="1204" spans="2:12" hidden="1" x14ac:dyDescent="0.25">
      <c r="B1204" s="5" t="s">
        <v>49</v>
      </c>
      <c r="C1204" s="5" t="s">
        <v>115</v>
      </c>
      <c r="D1204" s="5" t="s">
        <v>1084</v>
      </c>
      <c r="E1204" s="6">
        <v>45005</v>
      </c>
      <c r="F1204" s="4" t="s">
        <v>91</v>
      </c>
      <c r="G1204" s="4" t="s">
        <v>303</v>
      </c>
      <c r="H1204" s="4" t="s">
        <v>431</v>
      </c>
      <c r="I1204" s="5" t="s">
        <v>1104</v>
      </c>
      <c r="J1204" s="5"/>
      <c r="K1204" s="22">
        <f>YEAR(Tabla1[[#This Row],[Fecha]])</f>
        <v>2023</v>
      </c>
      <c r="L1204" s="22">
        <f>MONTH(Tabla1[[#This Row],[Fecha]])</f>
        <v>3</v>
      </c>
    </row>
    <row r="1205" spans="2:12" hidden="1" x14ac:dyDescent="0.25">
      <c r="B1205" s="5" t="s">
        <v>49</v>
      </c>
      <c r="C1205" s="5" t="s">
        <v>117</v>
      </c>
      <c r="D1205" s="5" t="s">
        <v>1084</v>
      </c>
      <c r="E1205" s="6">
        <v>45005</v>
      </c>
      <c r="F1205" s="4" t="s">
        <v>91</v>
      </c>
      <c r="G1205" s="4" t="s">
        <v>303</v>
      </c>
      <c r="H1205" s="4" t="s">
        <v>431</v>
      </c>
      <c r="I1205" s="5" t="s">
        <v>1105</v>
      </c>
      <c r="J1205" s="5"/>
      <c r="K1205" s="22">
        <f>YEAR(Tabla1[[#This Row],[Fecha]])</f>
        <v>2023</v>
      </c>
      <c r="L1205" s="22">
        <f>MONTH(Tabla1[[#This Row],[Fecha]])</f>
        <v>3</v>
      </c>
    </row>
    <row r="1206" spans="2:12" hidden="1" x14ac:dyDescent="0.25">
      <c r="B1206" s="5" t="s">
        <v>49</v>
      </c>
      <c r="C1206" s="5" t="s">
        <v>123</v>
      </c>
      <c r="D1206" s="5" t="s">
        <v>1084</v>
      </c>
      <c r="E1206" s="6">
        <v>45005</v>
      </c>
      <c r="F1206" s="4" t="s">
        <v>91</v>
      </c>
      <c r="G1206" s="4" t="s">
        <v>303</v>
      </c>
      <c r="H1206" s="4" t="s">
        <v>431</v>
      </c>
      <c r="I1206" s="5" t="s">
        <v>1106</v>
      </c>
      <c r="J1206" s="5"/>
      <c r="K1206" s="22">
        <f>YEAR(Tabla1[[#This Row],[Fecha]])</f>
        <v>2023</v>
      </c>
      <c r="L1206" s="22">
        <f>MONTH(Tabla1[[#This Row],[Fecha]])</f>
        <v>3</v>
      </c>
    </row>
    <row r="1207" spans="2:12" hidden="1" x14ac:dyDescent="0.25">
      <c r="B1207" s="5" t="s">
        <v>49</v>
      </c>
      <c r="C1207" s="5" t="s">
        <v>56</v>
      </c>
      <c r="D1207" s="5" t="s">
        <v>1084</v>
      </c>
      <c r="E1207" s="6">
        <v>45005</v>
      </c>
      <c r="F1207" s="4" t="s">
        <v>91</v>
      </c>
      <c r="G1207" s="4" t="s">
        <v>303</v>
      </c>
      <c r="H1207" s="4" t="s">
        <v>431</v>
      </c>
      <c r="I1207" s="5" t="s">
        <v>1106</v>
      </c>
      <c r="J1207" s="5"/>
      <c r="K1207" s="22">
        <f>YEAR(Tabla1[[#This Row],[Fecha]])</f>
        <v>2023</v>
      </c>
      <c r="L1207" s="22">
        <f>MONTH(Tabla1[[#This Row],[Fecha]])</f>
        <v>3</v>
      </c>
    </row>
    <row r="1208" spans="2:12" ht="30" hidden="1" x14ac:dyDescent="0.25">
      <c r="B1208" s="5" t="s">
        <v>49</v>
      </c>
      <c r="C1208" s="5" t="s">
        <v>50</v>
      </c>
      <c r="D1208" s="5" t="s">
        <v>1084</v>
      </c>
      <c r="E1208" s="6">
        <v>45005</v>
      </c>
      <c r="F1208" s="4" t="s">
        <v>91</v>
      </c>
      <c r="G1208" s="4" t="s">
        <v>303</v>
      </c>
      <c r="H1208" s="29" t="s">
        <v>431</v>
      </c>
      <c r="I1208" s="23" t="s">
        <v>1761</v>
      </c>
      <c r="J1208" s="7"/>
      <c r="K1208" s="15">
        <f>YEAR(Tabla1[[#This Row],[Fecha]])</f>
        <v>2023</v>
      </c>
      <c r="L1208" s="15">
        <f>MONTH(Tabla1[[#This Row],[Fecha]])</f>
        <v>3</v>
      </c>
    </row>
    <row r="1209" spans="2:12" hidden="1" x14ac:dyDescent="0.25">
      <c r="B1209" s="5" t="s">
        <v>309</v>
      </c>
      <c r="C1209" s="5" t="s">
        <v>321</v>
      </c>
      <c r="D1209" s="5" t="s">
        <v>131</v>
      </c>
      <c r="E1209" s="6">
        <v>45002</v>
      </c>
      <c r="F1209" s="4" t="s">
        <v>15</v>
      </c>
      <c r="G1209" s="4" t="s">
        <v>24</v>
      </c>
      <c r="H1209" s="4" t="s">
        <v>1784</v>
      </c>
      <c r="I1209" s="11" t="s">
        <v>1384</v>
      </c>
      <c r="J1209" s="5"/>
      <c r="K1209" s="22">
        <f>YEAR(Tabla1[[#This Row],[Fecha]])</f>
        <v>2023</v>
      </c>
      <c r="L1209" s="22">
        <f>MONTH(Tabla1[[#This Row],[Fecha]])</f>
        <v>3</v>
      </c>
    </row>
    <row r="1210" spans="2:12" hidden="1" x14ac:dyDescent="0.25">
      <c r="B1210" s="5" t="s">
        <v>309</v>
      </c>
      <c r="C1210" s="5" t="s">
        <v>321</v>
      </c>
      <c r="D1210" s="5" t="s">
        <v>11</v>
      </c>
      <c r="E1210" s="6">
        <v>45000</v>
      </c>
      <c r="F1210" s="4" t="s">
        <v>15</v>
      </c>
      <c r="G1210" s="2" t="s">
        <v>16</v>
      </c>
      <c r="H1210" s="2" t="s">
        <v>17</v>
      </c>
      <c r="I1210" s="2" t="s">
        <v>1385</v>
      </c>
      <c r="J1210" s="7"/>
      <c r="K1210" s="15">
        <f>YEAR(Tabla1[[#This Row],[Fecha]])</f>
        <v>2023</v>
      </c>
      <c r="L1210" s="15">
        <f>MONTH(Tabla1[[#This Row],[Fecha]])</f>
        <v>3</v>
      </c>
    </row>
    <row r="1211" spans="2:12" hidden="1" x14ac:dyDescent="0.25">
      <c r="B1211" s="5" t="s">
        <v>309</v>
      </c>
      <c r="C1211" s="5" t="s">
        <v>321</v>
      </c>
      <c r="D1211" s="5" t="s">
        <v>1084</v>
      </c>
      <c r="E1211" s="6">
        <v>44995</v>
      </c>
      <c r="F1211" s="4" t="s">
        <v>91</v>
      </c>
      <c r="G1211" s="4" t="s">
        <v>47</v>
      </c>
      <c r="H1211" s="2" t="s">
        <v>195</v>
      </c>
      <c r="I1211" s="11" t="s">
        <v>1392</v>
      </c>
      <c r="J1211" s="5"/>
      <c r="K1211" s="22">
        <f>YEAR(Tabla1[[#This Row],[Fecha]])</f>
        <v>2023</v>
      </c>
      <c r="L1211" s="22">
        <f>MONTH(Tabla1[[#This Row],[Fecha]])</f>
        <v>3</v>
      </c>
    </row>
    <row r="1212" spans="2:12" hidden="1" x14ac:dyDescent="0.25">
      <c r="B1212" s="5" t="s">
        <v>309</v>
      </c>
      <c r="C1212" s="5" t="s">
        <v>321</v>
      </c>
      <c r="D1212" s="5" t="s">
        <v>131</v>
      </c>
      <c r="E1212" s="6">
        <v>44995</v>
      </c>
      <c r="F1212" s="4" t="s">
        <v>15</v>
      </c>
      <c r="G1212" s="4" t="s">
        <v>47</v>
      </c>
      <c r="H1212" s="4" t="s">
        <v>121</v>
      </c>
      <c r="I1212" s="11" t="s">
        <v>1393</v>
      </c>
      <c r="J1212" s="5"/>
      <c r="K1212" s="22">
        <f>YEAR(Tabla1[[#This Row],[Fecha]])</f>
        <v>2023</v>
      </c>
      <c r="L1212" s="22">
        <f>MONTH(Tabla1[[#This Row],[Fecha]])</f>
        <v>3</v>
      </c>
    </row>
    <row r="1213" spans="2:12" hidden="1" x14ac:dyDescent="0.25">
      <c r="B1213" s="5" t="s">
        <v>309</v>
      </c>
      <c r="C1213" s="5" t="s">
        <v>321</v>
      </c>
      <c r="D1213" s="5" t="s">
        <v>131</v>
      </c>
      <c r="E1213" s="6">
        <v>44993</v>
      </c>
      <c r="F1213" s="4" t="s">
        <v>15</v>
      </c>
      <c r="G1213" s="4" t="s">
        <v>47</v>
      </c>
      <c r="H1213" s="4" t="s">
        <v>121</v>
      </c>
      <c r="I1213" s="26" t="s">
        <v>1393</v>
      </c>
      <c r="J1213" s="5"/>
      <c r="K1213" s="22">
        <f>YEAR(Tabla1[[#This Row],[Fecha]])</f>
        <v>2023</v>
      </c>
      <c r="L1213" s="22">
        <f>MONTH(Tabla1[[#This Row],[Fecha]])</f>
        <v>3</v>
      </c>
    </row>
    <row r="1214" spans="2:12" hidden="1" x14ac:dyDescent="0.25">
      <c r="B1214" s="5" t="s">
        <v>309</v>
      </c>
      <c r="C1214" s="5" t="s">
        <v>313</v>
      </c>
      <c r="D1214" s="5" t="s">
        <v>11</v>
      </c>
      <c r="E1214" s="13">
        <v>44993</v>
      </c>
      <c r="F1214" s="4" t="s">
        <v>15</v>
      </c>
      <c r="G1214" s="4" t="s">
        <v>16</v>
      </c>
      <c r="H1214" s="4" t="s">
        <v>34</v>
      </c>
      <c r="I1214" s="5" t="s">
        <v>1610</v>
      </c>
      <c r="J1214" s="5"/>
      <c r="K1214" s="22">
        <f>YEAR(Tabla1[[#This Row],[Fecha]])</f>
        <v>2023</v>
      </c>
      <c r="L1214" s="22">
        <f>MONTH(Tabla1[[#This Row],[Fecha]])</f>
        <v>3</v>
      </c>
    </row>
    <row r="1215" spans="2:12" ht="30" hidden="1" x14ac:dyDescent="0.25">
      <c r="B1215" s="5" t="s">
        <v>49</v>
      </c>
      <c r="C1215" s="5" t="s">
        <v>115</v>
      </c>
      <c r="D1215" s="5" t="s">
        <v>1084</v>
      </c>
      <c r="E1215" s="6">
        <v>44991</v>
      </c>
      <c r="F1215" s="4" t="s">
        <v>91</v>
      </c>
      <c r="G1215" s="4" t="s">
        <v>16</v>
      </c>
      <c r="H1215" s="8" t="s">
        <v>34</v>
      </c>
      <c r="I1215" s="23" t="s">
        <v>1762</v>
      </c>
      <c r="J1215" s="7"/>
      <c r="K1215" s="15">
        <f>YEAR(Tabla1[[#This Row],[Fecha]])</f>
        <v>2023</v>
      </c>
      <c r="L1215" s="15">
        <f>MONTH(Tabla1[[#This Row],[Fecha]])</f>
        <v>3</v>
      </c>
    </row>
    <row r="1216" spans="2:12" hidden="1" x14ac:dyDescent="0.25">
      <c r="B1216" s="5" t="s">
        <v>248</v>
      </c>
      <c r="C1216" s="5" t="s">
        <v>261</v>
      </c>
      <c r="D1216" s="5" t="s">
        <v>131</v>
      </c>
      <c r="E1216" s="6">
        <v>44990</v>
      </c>
      <c r="F1216" s="4" t="s">
        <v>15</v>
      </c>
      <c r="G1216" s="4" t="s">
        <v>16</v>
      </c>
      <c r="H1216" s="2" t="s">
        <v>74</v>
      </c>
      <c r="I1216" s="26" t="s">
        <v>1238</v>
      </c>
      <c r="J1216" s="5"/>
      <c r="K1216" s="22">
        <f>YEAR(Tabla1[[#This Row],[Fecha]])</f>
        <v>2023</v>
      </c>
      <c r="L1216" s="22">
        <f>MONTH(Tabla1[[#This Row],[Fecha]])</f>
        <v>3</v>
      </c>
    </row>
    <row r="1217" spans="2:12" hidden="1" x14ac:dyDescent="0.25">
      <c r="B1217" s="5" t="s">
        <v>248</v>
      </c>
      <c r="C1217" s="5" t="s">
        <v>961</v>
      </c>
      <c r="D1217" s="5" t="s">
        <v>131</v>
      </c>
      <c r="E1217" s="6">
        <v>44990</v>
      </c>
      <c r="F1217" s="4" t="s">
        <v>15</v>
      </c>
      <c r="G1217" s="4" t="s">
        <v>16</v>
      </c>
      <c r="H1217" s="2" t="s">
        <v>74</v>
      </c>
      <c r="I1217" s="26" t="s">
        <v>1238</v>
      </c>
      <c r="J1217" s="5"/>
      <c r="K1217" s="22">
        <f>YEAR(Tabla1[[#This Row],[Fecha]])</f>
        <v>2023</v>
      </c>
      <c r="L1217" s="22">
        <f>MONTH(Tabla1[[#This Row],[Fecha]])</f>
        <v>3</v>
      </c>
    </row>
    <row r="1218" spans="2:12" hidden="1" x14ac:dyDescent="0.25">
      <c r="B1218" s="5" t="s">
        <v>1266</v>
      </c>
      <c r="C1218" s="5" t="s">
        <v>1267</v>
      </c>
      <c r="D1218" s="5" t="s">
        <v>1084</v>
      </c>
      <c r="E1218" s="6">
        <v>44987</v>
      </c>
      <c r="F1218" s="4" t="s">
        <v>15</v>
      </c>
      <c r="G1218" s="4" t="s">
        <v>24</v>
      </c>
      <c r="H1218" s="4" t="s">
        <v>51</v>
      </c>
      <c r="I1218" s="26" t="s">
        <v>1272</v>
      </c>
      <c r="J1218" s="5"/>
      <c r="K1218" s="22">
        <f>YEAR(Tabla1[[#This Row],[Fecha]])</f>
        <v>2023</v>
      </c>
      <c r="L1218" s="22">
        <f>MONTH(Tabla1[[#This Row],[Fecha]])</f>
        <v>3</v>
      </c>
    </row>
    <row r="1219" spans="2:12" hidden="1" x14ac:dyDescent="0.25">
      <c r="B1219" s="5" t="s">
        <v>309</v>
      </c>
      <c r="C1219" s="5" t="s">
        <v>371</v>
      </c>
      <c r="D1219" s="5" t="s">
        <v>131</v>
      </c>
      <c r="E1219" s="13">
        <v>44985</v>
      </c>
      <c r="F1219" s="4" t="s">
        <v>91</v>
      </c>
      <c r="G1219" s="4" t="s">
        <v>303</v>
      </c>
      <c r="H1219" s="4" t="s">
        <v>431</v>
      </c>
      <c r="I1219" s="5" t="s">
        <v>1671</v>
      </c>
      <c r="J1219" s="5"/>
      <c r="K1219" s="22">
        <f>YEAR(Tabla1[[#This Row],[Fecha]])</f>
        <v>2023</v>
      </c>
      <c r="L1219" s="22">
        <f>MONTH(Tabla1[[#This Row],[Fecha]])</f>
        <v>2</v>
      </c>
    </row>
    <row r="1220" spans="2:12" hidden="1" x14ac:dyDescent="0.25">
      <c r="B1220" s="5" t="s">
        <v>190</v>
      </c>
      <c r="C1220" s="5" t="s">
        <v>287</v>
      </c>
      <c r="D1220" s="5" t="s">
        <v>1084</v>
      </c>
      <c r="E1220" s="6">
        <v>44977</v>
      </c>
      <c r="F1220" s="4" t="s">
        <v>15</v>
      </c>
      <c r="G1220" s="4" t="s">
        <v>16</v>
      </c>
      <c r="H1220" s="19" t="s">
        <v>34</v>
      </c>
      <c r="I1220" s="11" t="s">
        <v>1169</v>
      </c>
      <c r="J1220" s="7"/>
      <c r="K1220" s="15">
        <f>YEAR(Tabla1[[#This Row],[Fecha]])</f>
        <v>2023</v>
      </c>
      <c r="L1220" s="15">
        <f>MONTH(Tabla1[[#This Row],[Fecha]])</f>
        <v>2</v>
      </c>
    </row>
    <row r="1221" spans="2:12" hidden="1" x14ac:dyDescent="0.25">
      <c r="B1221" s="5" t="s">
        <v>309</v>
      </c>
      <c r="C1221" s="5" t="s">
        <v>315</v>
      </c>
      <c r="D1221" s="5" t="s">
        <v>131</v>
      </c>
      <c r="E1221" s="6">
        <v>44973</v>
      </c>
      <c r="F1221" s="4" t="s">
        <v>15</v>
      </c>
      <c r="G1221" s="4" t="s">
        <v>24</v>
      </c>
      <c r="H1221" s="29" t="s">
        <v>29</v>
      </c>
      <c r="I1221" s="11" t="s">
        <v>1529</v>
      </c>
      <c r="J1221" s="5"/>
      <c r="K1221" s="22">
        <f>YEAR(Tabla1[[#This Row],[Fecha]])</f>
        <v>2023</v>
      </c>
      <c r="L1221" s="22">
        <f>MONTH(Tabla1[[#This Row],[Fecha]])</f>
        <v>2</v>
      </c>
    </row>
    <row r="1222" spans="2:12" hidden="1" x14ac:dyDescent="0.25">
      <c r="B1222" s="5" t="s">
        <v>309</v>
      </c>
      <c r="C1222" s="5" t="s">
        <v>318</v>
      </c>
      <c r="D1222" s="5" t="s">
        <v>131</v>
      </c>
      <c r="E1222" s="6">
        <v>44973</v>
      </c>
      <c r="F1222" s="4" t="s">
        <v>15</v>
      </c>
      <c r="G1222" s="4" t="s">
        <v>24</v>
      </c>
      <c r="H1222" s="2" t="s">
        <v>333</v>
      </c>
      <c r="I1222" s="26" t="s">
        <v>1530</v>
      </c>
      <c r="J1222" s="5" t="s">
        <v>1531</v>
      </c>
      <c r="K1222" s="22">
        <f>YEAR(Tabla1[[#This Row],[Fecha]])</f>
        <v>2023</v>
      </c>
      <c r="L1222" s="22">
        <f>MONTH(Tabla1[[#This Row],[Fecha]])</f>
        <v>2</v>
      </c>
    </row>
    <row r="1223" spans="2:12" hidden="1" x14ac:dyDescent="0.25">
      <c r="B1223" s="2" t="s">
        <v>309</v>
      </c>
      <c r="C1223" s="2" t="s">
        <v>310</v>
      </c>
      <c r="D1223" s="2" t="s">
        <v>11</v>
      </c>
      <c r="E1223" s="12">
        <v>44967</v>
      </c>
      <c r="F1223" s="4" t="s">
        <v>15</v>
      </c>
      <c r="G1223" s="4" t="s">
        <v>16</v>
      </c>
      <c r="H1223" s="2" t="s">
        <v>1775</v>
      </c>
      <c r="I1223" s="2" t="s">
        <v>1579</v>
      </c>
      <c r="J1223" s="2" t="s">
        <v>1580</v>
      </c>
      <c r="K1223" s="22">
        <f>YEAR(Tabla1[[#This Row],[Fecha]])</f>
        <v>2023</v>
      </c>
      <c r="L1223" s="22">
        <f>MONTH(Tabla1[[#This Row],[Fecha]])</f>
        <v>2</v>
      </c>
    </row>
    <row r="1224" spans="2:12" hidden="1" x14ac:dyDescent="0.25">
      <c r="B1224" s="5" t="s">
        <v>309</v>
      </c>
      <c r="C1224" s="5" t="s">
        <v>313</v>
      </c>
      <c r="D1224" s="5" t="s">
        <v>131</v>
      </c>
      <c r="E1224" s="13">
        <v>44960</v>
      </c>
      <c r="F1224" s="4" t="s">
        <v>15</v>
      </c>
      <c r="G1224" s="4" t="s">
        <v>16</v>
      </c>
      <c r="H1224" s="4" t="s">
        <v>1775</v>
      </c>
      <c r="I1224" s="5" t="s">
        <v>1612</v>
      </c>
      <c r="J1224" s="5"/>
      <c r="K1224" s="22">
        <f>YEAR(Tabla1[[#This Row],[Fecha]])</f>
        <v>2023</v>
      </c>
      <c r="L1224" s="22">
        <f>MONTH(Tabla1[[#This Row],[Fecha]])</f>
        <v>2</v>
      </c>
    </row>
    <row r="1225" spans="2:12" hidden="1" x14ac:dyDescent="0.25">
      <c r="B1225" s="5" t="s">
        <v>309</v>
      </c>
      <c r="C1225" s="5" t="s">
        <v>321</v>
      </c>
      <c r="D1225" s="5" t="s">
        <v>131</v>
      </c>
      <c r="E1225" s="6">
        <v>44959</v>
      </c>
      <c r="F1225" s="4" t="s">
        <v>91</v>
      </c>
      <c r="G1225" s="4" t="s">
        <v>16</v>
      </c>
      <c r="H1225" s="8" t="s">
        <v>34</v>
      </c>
      <c r="I1225" s="11" t="s">
        <v>1389</v>
      </c>
      <c r="J1225" s="7"/>
      <c r="K1225" s="15">
        <f>YEAR(Tabla1[[#This Row],[Fecha]])</f>
        <v>2023</v>
      </c>
      <c r="L1225" s="15">
        <f>MONTH(Tabla1[[#This Row],[Fecha]])</f>
        <v>2</v>
      </c>
    </row>
    <row r="1226" spans="2:12" hidden="1" x14ac:dyDescent="0.25">
      <c r="B1226" s="5" t="s">
        <v>309</v>
      </c>
      <c r="C1226" s="5" t="s">
        <v>320</v>
      </c>
      <c r="D1226" s="5" t="s">
        <v>131</v>
      </c>
      <c r="E1226" s="6">
        <v>44959</v>
      </c>
      <c r="F1226" s="4" t="s">
        <v>91</v>
      </c>
      <c r="G1226" s="2" t="s">
        <v>36</v>
      </c>
      <c r="H1226" s="2" t="s">
        <v>1780</v>
      </c>
      <c r="I1226" s="2" t="s">
        <v>1390</v>
      </c>
      <c r="J1226" s="7"/>
      <c r="K1226" s="15">
        <f>YEAR(Tabla1[[#This Row],[Fecha]])</f>
        <v>2023</v>
      </c>
      <c r="L1226" s="15">
        <f>MONTH(Tabla1[[#This Row],[Fecha]])</f>
        <v>2</v>
      </c>
    </row>
    <row r="1227" spans="2:12" hidden="1" x14ac:dyDescent="0.25">
      <c r="B1227" s="5" t="s">
        <v>309</v>
      </c>
      <c r="C1227" s="5" t="s">
        <v>320</v>
      </c>
      <c r="D1227" s="5" t="s">
        <v>131</v>
      </c>
      <c r="E1227" s="6">
        <v>44953</v>
      </c>
      <c r="F1227" s="4" t="s">
        <v>15</v>
      </c>
      <c r="G1227" s="2" t="s">
        <v>36</v>
      </c>
      <c r="H1227" s="2" t="s">
        <v>37</v>
      </c>
      <c r="I1227" s="2" t="s">
        <v>1387</v>
      </c>
      <c r="J1227" s="7"/>
      <c r="K1227" s="15">
        <f>YEAR(Tabla1[[#This Row],[Fecha]])</f>
        <v>2023</v>
      </c>
      <c r="L1227" s="15">
        <f>MONTH(Tabla1[[#This Row],[Fecha]])</f>
        <v>1</v>
      </c>
    </row>
    <row r="1228" spans="2:12" hidden="1" x14ac:dyDescent="0.25">
      <c r="B1228" s="5" t="s">
        <v>309</v>
      </c>
      <c r="C1228" s="5" t="s">
        <v>321</v>
      </c>
      <c r="D1228" s="5" t="s">
        <v>131</v>
      </c>
      <c r="E1228" s="6">
        <v>44953</v>
      </c>
      <c r="F1228" s="4" t="s">
        <v>91</v>
      </c>
      <c r="G1228" s="2" t="s">
        <v>16</v>
      </c>
      <c r="H1228" s="2" t="s">
        <v>118</v>
      </c>
      <c r="I1228" s="2" t="s">
        <v>1388</v>
      </c>
      <c r="J1228" s="7"/>
      <c r="K1228" s="15">
        <f>YEAR(Tabla1[[#This Row],[Fecha]])</f>
        <v>2023</v>
      </c>
      <c r="L1228" s="15">
        <f>MONTH(Tabla1[[#This Row],[Fecha]])</f>
        <v>1</v>
      </c>
    </row>
    <row r="1229" spans="2:12" hidden="1" x14ac:dyDescent="0.25">
      <c r="B1229" s="5" t="s">
        <v>309</v>
      </c>
      <c r="C1229" s="5" t="s">
        <v>321</v>
      </c>
      <c r="D1229" s="5" t="s">
        <v>131</v>
      </c>
      <c r="E1229" s="6">
        <v>44951</v>
      </c>
      <c r="F1229" s="4" t="s">
        <v>15</v>
      </c>
      <c r="G1229" s="2" t="s">
        <v>16</v>
      </c>
      <c r="H1229" s="2" t="s">
        <v>1781</v>
      </c>
      <c r="I1229" s="2" t="s">
        <v>1391</v>
      </c>
      <c r="J1229" s="7"/>
      <c r="K1229" s="15">
        <f>YEAR(Tabla1[[#This Row],[Fecha]])</f>
        <v>2023</v>
      </c>
      <c r="L1229" s="15">
        <f>MONTH(Tabla1[[#This Row],[Fecha]])</f>
        <v>1</v>
      </c>
    </row>
    <row r="1230" spans="2:12" hidden="1" x14ac:dyDescent="0.25">
      <c r="B1230" s="5" t="s">
        <v>309</v>
      </c>
      <c r="C1230" s="5" t="s">
        <v>318</v>
      </c>
      <c r="D1230" s="5" t="s">
        <v>131</v>
      </c>
      <c r="E1230" s="6">
        <v>44950</v>
      </c>
      <c r="F1230" s="2" t="s">
        <v>15</v>
      </c>
      <c r="G1230" s="4" t="s">
        <v>47</v>
      </c>
      <c r="H1230" s="2" t="s">
        <v>333</v>
      </c>
      <c r="I1230" s="11" t="s">
        <v>1532</v>
      </c>
      <c r="J1230" s="5"/>
      <c r="K1230" s="22">
        <f>YEAR(Tabla1[[#This Row],[Fecha]])</f>
        <v>2023</v>
      </c>
      <c r="L1230" s="22">
        <f>MONTH(Tabla1[[#This Row],[Fecha]])</f>
        <v>1</v>
      </c>
    </row>
    <row r="1231" spans="2:12" hidden="1" x14ac:dyDescent="0.25">
      <c r="B1231" s="5" t="s">
        <v>32</v>
      </c>
      <c r="C1231" s="5" t="s">
        <v>33</v>
      </c>
      <c r="D1231" s="5" t="s">
        <v>131</v>
      </c>
      <c r="E1231" s="6">
        <v>44944</v>
      </c>
      <c r="F1231" s="4" t="s">
        <v>91</v>
      </c>
      <c r="G1231" s="4" t="s">
        <v>303</v>
      </c>
      <c r="H1231" s="4" t="s">
        <v>431</v>
      </c>
      <c r="I1231" s="11" t="s">
        <v>1363</v>
      </c>
      <c r="J1231" s="5" t="s">
        <v>1364</v>
      </c>
      <c r="K1231" s="22">
        <f>YEAR(Tabla1[[#This Row],[Fecha]])</f>
        <v>2023</v>
      </c>
      <c r="L1231" s="22">
        <f>MONTH(Tabla1[[#This Row],[Fecha]])</f>
        <v>1</v>
      </c>
    </row>
    <row r="1232" spans="2:12" hidden="1" x14ac:dyDescent="0.25">
      <c r="B1232" s="5" t="s">
        <v>309</v>
      </c>
      <c r="C1232" s="5" t="s">
        <v>320</v>
      </c>
      <c r="D1232" s="5" t="s">
        <v>131</v>
      </c>
      <c r="E1232" s="6">
        <v>44943</v>
      </c>
      <c r="F1232" s="4" t="s">
        <v>15</v>
      </c>
      <c r="G1232" s="4" t="s">
        <v>16</v>
      </c>
      <c r="H1232" s="2" t="s">
        <v>1775</v>
      </c>
      <c r="I1232" s="11" t="s">
        <v>1386</v>
      </c>
      <c r="J1232" s="5"/>
      <c r="K1232" s="22">
        <f>YEAR(Tabla1[[#This Row],[Fecha]])</f>
        <v>2023</v>
      </c>
      <c r="L1232" s="22">
        <f>MONTH(Tabla1[[#This Row],[Fecha]])</f>
        <v>1</v>
      </c>
    </row>
    <row r="1233" spans="2:12" hidden="1" x14ac:dyDescent="0.25">
      <c r="B1233" s="5" t="s">
        <v>32</v>
      </c>
      <c r="C1233" s="5" t="s">
        <v>33</v>
      </c>
      <c r="D1233" s="5" t="s">
        <v>131</v>
      </c>
      <c r="E1233" s="6">
        <v>44942</v>
      </c>
      <c r="F1233" s="4" t="s">
        <v>91</v>
      </c>
      <c r="G1233" s="4" t="s">
        <v>303</v>
      </c>
      <c r="H1233" s="4" t="s">
        <v>431</v>
      </c>
      <c r="I1233" s="11" t="s">
        <v>1362</v>
      </c>
      <c r="J1233" s="5"/>
      <c r="K1233" s="22">
        <f>YEAR(Tabla1[[#This Row],[Fecha]])</f>
        <v>2023</v>
      </c>
      <c r="L1233" s="22">
        <f>MONTH(Tabla1[[#This Row],[Fecha]])</f>
        <v>1</v>
      </c>
    </row>
    <row r="1234" spans="2:12" hidden="1" x14ac:dyDescent="0.25">
      <c r="B1234" s="5" t="s">
        <v>309</v>
      </c>
      <c r="C1234" s="5" t="s">
        <v>322</v>
      </c>
      <c r="D1234" s="5" t="s">
        <v>1084</v>
      </c>
      <c r="E1234" s="6">
        <v>44938</v>
      </c>
      <c r="F1234" s="4" t="s">
        <v>15</v>
      </c>
      <c r="G1234" s="2" t="s">
        <v>16</v>
      </c>
      <c r="H1234" s="2" t="s">
        <v>34</v>
      </c>
      <c r="I1234" s="2" t="s">
        <v>1484</v>
      </c>
      <c r="J1234" s="7"/>
      <c r="K1234" s="15">
        <f>YEAR(Tabla1[[#This Row],[Fecha]])</f>
        <v>2023</v>
      </c>
      <c r="L1234" s="15">
        <f>MONTH(Tabla1[[#This Row],[Fecha]])</f>
        <v>1</v>
      </c>
    </row>
    <row r="1235" spans="2:12" hidden="1" x14ac:dyDescent="0.25">
      <c r="B1235" s="5" t="s">
        <v>1266</v>
      </c>
      <c r="C1235" s="5" t="s">
        <v>1273</v>
      </c>
      <c r="D1235" s="5" t="s">
        <v>1084</v>
      </c>
      <c r="E1235" s="6">
        <v>44937</v>
      </c>
      <c r="F1235" s="4" t="s">
        <v>91</v>
      </c>
      <c r="G1235" s="4" t="s">
        <v>303</v>
      </c>
      <c r="H1235" s="2" t="s">
        <v>359</v>
      </c>
      <c r="I1235" s="11" t="s">
        <v>1274</v>
      </c>
      <c r="J1235" s="5"/>
      <c r="K1235" s="22">
        <f>YEAR(Tabla1[[#This Row],[Fecha]])</f>
        <v>2023</v>
      </c>
      <c r="L1235" s="22">
        <f>MONTH(Tabla1[[#This Row],[Fecha]])</f>
        <v>1</v>
      </c>
    </row>
    <row r="1236" spans="2:12" hidden="1" x14ac:dyDescent="0.25">
      <c r="B1236" s="5" t="s">
        <v>1266</v>
      </c>
      <c r="C1236" s="5" t="s">
        <v>1275</v>
      </c>
      <c r="D1236" s="5" t="s">
        <v>1084</v>
      </c>
      <c r="E1236" s="6">
        <v>44937</v>
      </c>
      <c r="F1236" s="4" t="s">
        <v>91</v>
      </c>
      <c r="G1236" s="4" t="s">
        <v>303</v>
      </c>
      <c r="H1236" s="2" t="s">
        <v>359</v>
      </c>
      <c r="I1236" s="11" t="s">
        <v>1274</v>
      </c>
      <c r="J1236" s="5"/>
      <c r="K1236" s="22">
        <f>YEAR(Tabla1[[#This Row],[Fecha]])</f>
        <v>2023</v>
      </c>
      <c r="L1236" s="22">
        <f>MONTH(Tabla1[[#This Row],[Fecha]])</f>
        <v>1</v>
      </c>
    </row>
    <row r="1237" spans="2:12" hidden="1" x14ac:dyDescent="0.25">
      <c r="B1237" s="5" t="s">
        <v>1266</v>
      </c>
      <c r="C1237" s="5" t="s">
        <v>1269</v>
      </c>
      <c r="D1237" s="5" t="s">
        <v>1084</v>
      </c>
      <c r="E1237" s="6">
        <v>44937</v>
      </c>
      <c r="F1237" s="4" t="s">
        <v>91</v>
      </c>
      <c r="G1237" s="4" t="s">
        <v>303</v>
      </c>
      <c r="H1237" s="2" t="s">
        <v>359</v>
      </c>
      <c r="I1237" s="11" t="s">
        <v>1274</v>
      </c>
      <c r="J1237" s="5"/>
      <c r="K1237" s="22">
        <f>YEAR(Tabla1[[#This Row],[Fecha]])</f>
        <v>2023</v>
      </c>
      <c r="L1237" s="22">
        <f>MONTH(Tabla1[[#This Row],[Fecha]])</f>
        <v>1</v>
      </c>
    </row>
    <row r="1238" spans="2:12" hidden="1" x14ac:dyDescent="0.25">
      <c r="B1238" s="5" t="s">
        <v>1266</v>
      </c>
      <c r="C1238" s="5" t="s">
        <v>1267</v>
      </c>
      <c r="D1238" s="5" t="s">
        <v>1084</v>
      </c>
      <c r="E1238" s="6">
        <v>44937</v>
      </c>
      <c r="F1238" s="4" t="s">
        <v>91</v>
      </c>
      <c r="G1238" s="4" t="s">
        <v>303</v>
      </c>
      <c r="H1238" s="2" t="s">
        <v>359</v>
      </c>
      <c r="I1238" s="11" t="s">
        <v>1274</v>
      </c>
      <c r="J1238" s="5"/>
      <c r="K1238" s="22">
        <f>YEAR(Tabla1[[#This Row],[Fecha]])</f>
        <v>2023</v>
      </c>
      <c r="L1238" s="22">
        <f>MONTH(Tabla1[[#This Row],[Fecha]])</f>
        <v>1</v>
      </c>
    </row>
    <row r="1239" spans="2:12" hidden="1" x14ac:dyDescent="0.25">
      <c r="B1239" s="5" t="s">
        <v>1266</v>
      </c>
      <c r="C1239" s="5" t="s">
        <v>1276</v>
      </c>
      <c r="D1239" s="5" t="s">
        <v>1084</v>
      </c>
      <c r="E1239" s="6">
        <v>44937</v>
      </c>
      <c r="F1239" s="4" t="s">
        <v>91</v>
      </c>
      <c r="G1239" s="4" t="s">
        <v>303</v>
      </c>
      <c r="H1239" s="2" t="s">
        <v>359</v>
      </c>
      <c r="I1239" s="11" t="s">
        <v>1274</v>
      </c>
      <c r="J1239" s="5"/>
      <c r="K1239" s="22">
        <f>YEAR(Tabla1[[#This Row],[Fecha]])</f>
        <v>2023</v>
      </c>
      <c r="L1239" s="22">
        <f>MONTH(Tabla1[[#This Row],[Fecha]])</f>
        <v>1</v>
      </c>
    </row>
    <row r="1240" spans="2:12" hidden="1" x14ac:dyDescent="0.25">
      <c r="B1240" s="5" t="s">
        <v>1266</v>
      </c>
      <c r="C1240" s="5" t="s">
        <v>1275</v>
      </c>
      <c r="D1240" s="5" t="s">
        <v>131</v>
      </c>
      <c r="E1240" s="6">
        <v>44931</v>
      </c>
      <c r="F1240" s="4" t="s">
        <v>15</v>
      </c>
      <c r="G1240" s="4" t="s">
        <v>16</v>
      </c>
      <c r="H1240" s="2" t="s">
        <v>1704</v>
      </c>
      <c r="I1240" s="26" t="s">
        <v>1277</v>
      </c>
      <c r="J1240" s="5"/>
      <c r="K1240" s="22">
        <f>YEAR(Tabla1[[#This Row],[Fecha]])</f>
        <v>2023</v>
      </c>
      <c r="L1240" s="22">
        <f>MONTH(Tabla1[[#This Row],[Fecha]])</f>
        <v>1</v>
      </c>
    </row>
    <row r="1241" spans="2:12" hidden="1" x14ac:dyDescent="0.25">
      <c r="B1241" s="5" t="s">
        <v>309</v>
      </c>
      <c r="C1241" s="5" t="s">
        <v>711</v>
      </c>
      <c r="D1241" s="5" t="s">
        <v>131</v>
      </c>
      <c r="E1241" s="13">
        <v>44931</v>
      </c>
      <c r="F1241" s="4" t="s">
        <v>15</v>
      </c>
      <c r="G1241" s="4" t="s">
        <v>36</v>
      </c>
      <c r="H1241" s="4" t="s">
        <v>184</v>
      </c>
      <c r="I1241" s="5" t="s">
        <v>1650</v>
      </c>
      <c r="J1241" s="5"/>
      <c r="K1241" s="22">
        <f>YEAR(Tabla1[[#This Row],[Fecha]])</f>
        <v>2023</v>
      </c>
      <c r="L1241" s="22">
        <f>MONTH(Tabla1[[#This Row],[Fecha]])</f>
        <v>1</v>
      </c>
    </row>
    <row r="1242" spans="2:12" hidden="1" x14ac:dyDescent="0.25">
      <c r="B1242" s="5" t="s">
        <v>309</v>
      </c>
      <c r="C1242" s="5" t="s">
        <v>728</v>
      </c>
      <c r="D1242" s="5" t="s">
        <v>131</v>
      </c>
      <c r="E1242" s="13">
        <v>44931</v>
      </c>
      <c r="F1242" s="4" t="s">
        <v>15</v>
      </c>
      <c r="G1242" s="4" t="s">
        <v>16</v>
      </c>
      <c r="H1242" s="4" t="s">
        <v>1690</v>
      </c>
      <c r="I1242" s="5" t="s">
        <v>1651</v>
      </c>
      <c r="J1242" s="5"/>
      <c r="K1242" s="22">
        <f>YEAR(Tabla1[[#This Row],[Fecha]])</f>
        <v>2023</v>
      </c>
      <c r="L1242" s="22">
        <f>MONTH(Tabla1[[#This Row],[Fecha]])</f>
        <v>1</v>
      </c>
    </row>
    <row r="1243" spans="2:12" hidden="1" x14ac:dyDescent="0.25">
      <c r="B1243" s="5" t="s">
        <v>9</v>
      </c>
      <c r="C1243" s="5" t="s">
        <v>62</v>
      </c>
      <c r="D1243" s="5" t="s">
        <v>11</v>
      </c>
      <c r="E1243" s="6">
        <v>44930</v>
      </c>
      <c r="F1243" s="4" t="s">
        <v>15</v>
      </c>
      <c r="G1243" s="4" t="s">
        <v>16</v>
      </c>
      <c r="H1243" s="4" t="s">
        <v>34</v>
      </c>
      <c r="I1243" s="36" t="s">
        <v>763</v>
      </c>
      <c r="J1243" s="5"/>
      <c r="K1243" s="22">
        <f>YEAR(Tabla1[[#This Row],[Fecha]])</f>
        <v>2023</v>
      </c>
      <c r="L1243" s="22">
        <f>MONTH(Tabla1[[#This Row],[Fecha]])</f>
        <v>1</v>
      </c>
    </row>
    <row r="1244" spans="2:12" hidden="1" x14ac:dyDescent="0.25">
      <c r="B1244" s="5" t="s">
        <v>9</v>
      </c>
      <c r="C1244" s="5" t="s">
        <v>93</v>
      </c>
      <c r="D1244" s="5" t="s">
        <v>11</v>
      </c>
      <c r="E1244" s="6">
        <v>44930</v>
      </c>
      <c r="F1244" s="4" t="s">
        <v>15</v>
      </c>
      <c r="G1244" s="4" t="s">
        <v>16</v>
      </c>
      <c r="H1244" s="4" t="s">
        <v>34</v>
      </c>
      <c r="I1244" s="36" t="s">
        <v>764</v>
      </c>
      <c r="J1244" s="5"/>
      <c r="K1244" s="22">
        <f>YEAR(Tabla1[[#This Row],[Fecha]])</f>
        <v>2023</v>
      </c>
      <c r="L1244" s="22">
        <f>MONTH(Tabla1[[#This Row],[Fecha]])</f>
        <v>1</v>
      </c>
    </row>
    <row r="1245" spans="2:12" hidden="1" x14ac:dyDescent="0.25">
      <c r="B1245" s="5" t="s">
        <v>32</v>
      </c>
      <c r="C1245" s="5" t="s">
        <v>33</v>
      </c>
      <c r="D1245" s="5" t="s">
        <v>131</v>
      </c>
      <c r="E1245" s="6">
        <v>44924</v>
      </c>
      <c r="F1245" s="4" t="s">
        <v>15</v>
      </c>
      <c r="G1245" s="4" t="s">
        <v>16</v>
      </c>
      <c r="H1245" s="2" t="s">
        <v>34</v>
      </c>
      <c r="I1245" s="11" t="s">
        <v>1365</v>
      </c>
      <c r="J1245" s="5"/>
      <c r="K1245" s="22">
        <f>YEAR(Tabla1[[#This Row],[Fecha]])</f>
        <v>2022</v>
      </c>
      <c r="L1245" s="22">
        <f>MONTH(Tabla1[[#This Row],[Fecha]])</f>
        <v>12</v>
      </c>
    </row>
    <row r="1246" spans="2:12" hidden="1" x14ac:dyDescent="0.25">
      <c r="B1246" s="5" t="s">
        <v>181</v>
      </c>
      <c r="C1246" s="5" t="s">
        <v>182</v>
      </c>
      <c r="D1246" s="5" t="s">
        <v>131</v>
      </c>
      <c r="E1246" s="6">
        <v>44922</v>
      </c>
      <c r="F1246" s="4" t="s">
        <v>15</v>
      </c>
      <c r="G1246" s="4" t="s">
        <v>16</v>
      </c>
      <c r="H1246" s="2" t="s">
        <v>41</v>
      </c>
      <c r="I1246" s="26" t="s">
        <v>1256</v>
      </c>
      <c r="J1246" s="5"/>
      <c r="K1246" s="22">
        <f>YEAR(Tabla1[[#This Row],[Fecha]])</f>
        <v>2022</v>
      </c>
      <c r="L1246" s="22">
        <f>MONTH(Tabla1[[#This Row],[Fecha]])</f>
        <v>12</v>
      </c>
    </row>
    <row r="1247" spans="2:12" hidden="1" x14ac:dyDescent="0.25">
      <c r="B1247" s="5" t="s">
        <v>181</v>
      </c>
      <c r="C1247" s="5" t="s">
        <v>274</v>
      </c>
      <c r="D1247" s="5" t="s">
        <v>131</v>
      </c>
      <c r="E1247" s="6">
        <v>44922</v>
      </c>
      <c r="F1247" s="4" t="s">
        <v>15</v>
      </c>
      <c r="G1247" s="4" t="s">
        <v>24</v>
      </c>
      <c r="H1247" s="2" t="s">
        <v>51</v>
      </c>
      <c r="I1247" s="26" t="s">
        <v>1257</v>
      </c>
      <c r="J1247" s="5"/>
      <c r="K1247" s="22">
        <f>YEAR(Tabla1[[#This Row],[Fecha]])</f>
        <v>2022</v>
      </c>
      <c r="L1247" s="22">
        <f>MONTH(Tabla1[[#This Row],[Fecha]])</f>
        <v>12</v>
      </c>
    </row>
    <row r="1248" spans="2:12" hidden="1" x14ac:dyDescent="0.25">
      <c r="B1248" s="5" t="s">
        <v>181</v>
      </c>
      <c r="C1248" s="5" t="s">
        <v>209</v>
      </c>
      <c r="D1248" s="5" t="s">
        <v>131</v>
      </c>
      <c r="E1248" s="6">
        <v>44922</v>
      </c>
      <c r="F1248" s="4" t="s">
        <v>15</v>
      </c>
      <c r="G1248" s="4" t="s">
        <v>24</v>
      </c>
      <c r="H1248" s="4" t="s">
        <v>1773</v>
      </c>
      <c r="I1248" s="11" t="s">
        <v>1258</v>
      </c>
      <c r="J1248" s="5"/>
      <c r="K1248" s="22">
        <f>YEAR(Tabla1[[#This Row],[Fecha]])</f>
        <v>2022</v>
      </c>
      <c r="L1248" s="22">
        <f>MONTH(Tabla1[[#This Row],[Fecha]])</f>
        <v>12</v>
      </c>
    </row>
    <row r="1249" spans="2:12" hidden="1" x14ac:dyDescent="0.25">
      <c r="B1249" s="5" t="s">
        <v>181</v>
      </c>
      <c r="C1249" s="5" t="s">
        <v>551</v>
      </c>
      <c r="D1249" s="5" t="s">
        <v>131</v>
      </c>
      <c r="E1249" s="6">
        <v>44922</v>
      </c>
      <c r="F1249" s="4" t="s">
        <v>15</v>
      </c>
      <c r="G1249" s="4" t="s">
        <v>24</v>
      </c>
      <c r="H1249" s="2" t="s">
        <v>333</v>
      </c>
      <c r="I1249" s="11" t="s">
        <v>1259</v>
      </c>
      <c r="J1249" s="5"/>
      <c r="K1249" s="22">
        <f>YEAR(Tabla1[[#This Row],[Fecha]])</f>
        <v>2022</v>
      </c>
      <c r="L1249" s="22">
        <f>MONTH(Tabla1[[#This Row],[Fecha]])</f>
        <v>12</v>
      </c>
    </row>
    <row r="1250" spans="2:12" hidden="1" x14ac:dyDescent="0.25">
      <c r="B1250" s="5" t="s">
        <v>32</v>
      </c>
      <c r="C1250" s="5" t="s">
        <v>33</v>
      </c>
      <c r="D1250" s="5" t="s">
        <v>131</v>
      </c>
      <c r="E1250" s="6">
        <v>44922</v>
      </c>
      <c r="F1250" s="4" t="s">
        <v>91</v>
      </c>
      <c r="G1250" s="4" t="s">
        <v>303</v>
      </c>
      <c r="H1250" s="4" t="s">
        <v>431</v>
      </c>
      <c r="I1250" s="11" t="s">
        <v>1366</v>
      </c>
      <c r="J1250" s="5"/>
      <c r="K1250" s="22">
        <f>YEAR(Tabla1[[#This Row],[Fecha]])</f>
        <v>2022</v>
      </c>
      <c r="L1250" s="22">
        <f>MONTH(Tabla1[[#This Row],[Fecha]])</f>
        <v>12</v>
      </c>
    </row>
    <row r="1251" spans="2:12" hidden="1" x14ac:dyDescent="0.25">
      <c r="B1251" s="5" t="s">
        <v>27</v>
      </c>
      <c r="C1251" s="5" t="s">
        <v>28</v>
      </c>
      <c r="D1251" s="5" t="s">
        <v>131</v>
      </c>
      <c r="E1251" s="6">
        <v>44921</v>
      </c>
      <c r="F1251" s="2" t="s">
        <v>15</v>
      </c>
      <c r="G1251" s="4" t="s">
        <v>47</v>
      </c>
      <c r="H1251" s="2" t="s">
        <v>333</v>
      </c>
      <c r="I1251" s="11" t="s">
        <v>1282</v>
      </c>
      <c r="J1251" s="5"/>
      <c r="K1251" s="22">
        <f>YEAR(Tabla1[[#This Row],[Fecha]])</f>
        <v>2022</v>
      </c>
      <c r="L1251" s="22">
        <f>MONTH(Tabla1[[#This Row],[Fecha]])</f>
        <v>12</v>
      </c>
    </row>
    <row r="1252" spans="2:12" hidden="1" x14ac:dyDescent="0.25">
      <c r="B1252" s="5" t="s">
        <v>181</v>
      </c>
      <c r="C1252" s="5" t="s">
        <v>182</v>
      </c>
      <c r="D1252" s="5" t="s">
        <v>131</v>
      </c>
      <c r="E1252" s="6">
        <v>44915</v>
      </c>
      <c r="F1252" s="37" t="s">
        <v>15</v>
      </c>
      <c r="G1252" s="37" t="s">
        <v>16</v>
      </c>
      <c r="H1252" s="2" t="s">
        <v>1704</v>
      </c>
      <c r="I1252" s="26" t="s">
        <v>1255</v>
      </c>
      <c r="J1252" s="5"/>
      <c r="K1252" s="22">
        <f>YEAR(Tabla1[[#This Row],[Fecha]])</f>
        <v>2022</v>
      </c>
      <c r="L1252" s="22">
        <f>MONTH(Tabla1[[#This Row],[Fecha]])</f>
        <v>12</v>
      </c>
    </row>
    <row r="1253" spans="2:12" hidden="1" x14ac:dyDescent="0.25">
      <c r="B1253" s="5" t="s">
        <v>309</v>
      </c>
      <c r="C1253" s="5" t="s">
        <v>321</v>
      </c>
      <c r="D1253" s="5" t="s">
        <v>131</v>
      </c>
      <c r="E1253" s="6">
        <v>44910</v>
      </c>
      <c r="F1253" s="4" t="s">
        <v>15</v>
      </c>
      <c r="G1253" s="2" t="s">
        <v>16</v>
      </c>
      <c r="H1253" s="2" t="s">
        <v>41</v>
      </c>
      <c r="I1253" s="2" t="s">
        <v>1394</v>
      </c>
      <c r="J1253" s="7"/>
      <c r="K1253" s="15">
        <f>YEAR(Tabla1[[#This Row],[Fecha]])</f>
        <v>2022</v>
      </c>
      <c r="L1253" s="15">
        <f>MONTH(Tabla1[[#This Row],[Fecha]])</f>
        <v>12</v>
      </c>
    </row>
    <row r="1254" spans="2:12" hidden="1" x14ac:dyDescent="0.25">
      <c r="B1254" s="5" t="s">
        <v>309</v>
      </c>
      <c r="C1254" s="5" t="s">
        <v>313</v>
      </c>
      <c r="D1254" s="5" t="s">
        <v>11</v>
      </c>
      <c r="E1254" s="13">
        <v>44910</v>
      </c>
      <c r="F1254" s="4" t="s">
        <v>15</v>
      </c>
      <c r="G1254" s="4" t="s">
        <v>24</v>
      </c>
      <c r="H1254" s="4" t="s">
        <v>1773</v>
      </c>
      <c r="I1254" s="5" t="s">
        <v>1609</v>
      </c>
      <c r="J1254" s="5"/>
      <c r="K1254" s="22">
        <f>YEAR(Tabla1[[#This Row],[Fecha]])</f>
        <v>2022</v>
      </c>
      <c r="L1254" s="22">
        <f>MONTH(Tabla1[[#This Row],[Fecha]])</f>
        <v>12</v>
      </c>
    </row>
    <row r="1255" spans="2:12" hidden="1" x14ac:dyDescent="0.25">
      <c r="B1255" s="5" t="s">
        <v>49</v>
      </c>
      <c r="C1255" s="5" t="s">
        <v>111</v>
      </c>
      <c r="D1255" s="5" t="s">
        <v>1084</v>
      </c>
      <c r="E1255" s="6">
        <v>44909</v>
      </c>
      <c r="F1255" s="4" t="s">
        <v>91</v>
      </c>
      <c r="G1255" s="4" t="s">
        <v>16</v>
      </c>
      <c r="H1255" s="8" t="s">
        <v>34</v>
      </c>
      <c r="I1255" s="5" t="s">
        <v>1763</v>
      </c>
      <c r="J1255" s="7"/>
      <c r="K1255" s="15">
        <f>YEAR(Tabla1[[#This Row],[Fecha]])</f>
        <v>2022</v>
      </c>
      <c r="L1255" s="15">
        <f>MONTH(Tabla1[[#This Row],[Fecha]])</f>
        <v>12</v>
      </c>
    </row>
    <row r="1256" spans="2:12" hidden="1" x14ac:dyDescent="0.25">
      <c r="B1256" s="5" t="s">
        <v>49</v>
      </c>
      <c r="C1256" s="5" t="s">
        <v>117</v>
      </c>
      <c r="D1256" s="5" t="s">
        <v>1084</v>
      </c>
      <c r="E1256" s="6">
        <v>44909</v>
      </c>
      <c r="F1256" s="4" t="s">
        <v>91</v>
      </c>
      <c r="G1256" s="4" t="s">
        <v>303</v>
      </c>
      <c r="H1256" s="4" t="s">
        <v>434</v>
      </c>
      <c r="I1256" s="5" t="s">
        <v>1764</v>
      </c>
      <c r="J1256" s="5"/>
      <c r="K1256" s="22">
        <f>YEAR(Tabla1[[#This Row],[Fecha]])</f>
        <v>2022</v>
      </c>
      <c r="L1256" s="22">
        <f>MONTH(Tabla1[[#This Row],[Fecha]])</f>
        <v>12</v>
      </c>
    </row>
    <row r="1257" spans="2:12" hidden="1" x14ac:dyDescent="0.25">
      <c r="B1257" s="5" t="s">
        <v>49</v>
      </c>
      <c r="C1257" s="5" t="s">
        <v>117</v>
      </c>
      <c r="D1257" s="5" t="s">
        <v>1084</v>
      </c>
      <c r="E1257" s="6">
        <v>44909</v>
      </c>
      <c r="F1257" s="4" t="s">
        <v>91</v>
      </c>
      <c r="G1257" s="4" t="s">
        <v>16</v>
      </c>
      <c r="H1257" s="8" t="s">
        <v>34</v>
      </c>
      <c r="I1257" s="5" t="s">
        <v>1765</v>
      </c>
      <c r="J1257" s="7"/>
      <c r="K1257" s="15">
        <f>YEAR(Tabla1[[#This Row],[Fecha]])</f>
        <v>2022</v>
      </c>
      <c r="L1257" s="15">
        <f>MONTH(Tabla1[[#This Row],[Fecha]])</f>
        <v>12</v>
      </c>
    </row>
    <row r="1258" spans="2:12" hidden="1" x14ac:dyDescent="0.25">
      <c r="B1258" s="5" t="s">
        <v>49</v>
      </c>
      <c r="C1258" s="5" t="s">
        <v>53</v>
      </c>
      <c r="D1258" s="5" t="s">
        <v>1084</v>
      </c>
      <c r="E1258" s="6">
        <v>44909</v>
      </c>
      <c r="F1258" s="4" t="s">
        <v>91</v>
      </c>
      <c r="G1258" s="4" t="s">
        <v>16</v>
      </c>
      <c r="H1258" s="8" t="s">
        <v>34</v>
      </c>
      <c r="I1258" s="5" t="s">
        <v>1115</v>
      </c>
      <c r="J1258" s="7"/>
      <c r="K1258" s="15">
        <f>YEAR(Tabla1[[#This Row],[Fecha]])</f>
        <v>2022</v>
      </c>
      <c r="L1258" s="15">
        <f>MONTH(Tabla1[[#This Row],[Fecha]])</f>
        <v>12</v>
      </c>
    </row>
    <row r="1259" spans="2:12" hidden="1" x14ac:dyDescent="0.25">
      <c r="B1259" s="5" t="s">
        <v>49</v>
      </c>
      <c r="C1259" s="5" t="s">
        <v>115</v>
      </c>
      <c r="D1259" s="5" t="s">
        <v>1084</v>
      </c>
      <c r="E1259" s="6">
        <v>44909</v>
      </c>
      <c r="F1259" s="4" t="s">
        <v>91</v>
      </c>
      <c r="G1259" s="4" t="s">
        <v>16</v>
      </c>
      <c r="H1259" s="8" t="s">
        <v>34</v>
      </c>
      <c r="I1259" s="5" t="s">
        <v>1115</v>
      </c>
      <c r="J1259" s="7"/>
      <c r="K1259" s="15">
        <f>YEAR(Tabla1[[#This Row],[Fecha]])</f>
        <v>2022</v>
      </c>
      <c r="L1259" s="15">
        <f>MONTH(Tabla1[[#This Row],[Fecha]])</f>
        <v>12</v>
      </c>
    </row>
    <row r="1260" spans="2:12" hidden="1" x14ac:dyDescent="0.25">
      <c r="B1260" s="5" t="s">
        <v>49</v>
      </c>
      <c r="C1260" s="5" t="s">
        <v>176</v>
      </c>
      <c r="D1260" s="5" t="s">
        <v>1084</v>
      </c>
      <c r="E1260" s="6">
        <v>44909</v>
      </c>
      <c r="F1260" s="4" t="s">
        <v>91</v>
      </c>
      <c r="G1260" s="4" t="s">
        <v>16</v>
      </c>
      <c r="H1260" s="8" t="s">
        <v>34</v>
      </c>
      <c r="I1260" s="5" t="s">
        <v>1116</v>
      </c>
      <c r="J1260" s="7"/>
      <c r="K1260" s="15">
        <f>YEAR(Tabla1[[#This Row],[Fecha]])</f>
        <v>2022</v>
      </c>
      <c r="L1260" s="15">
        <f>MONTH(Tabla1[[#This Row],[Fecha]])</f>
        <v>12</v>
      </c>
    </row>
    <row r="1261" spans="2:12" hidden="1" x14ac:dyDescent="0.25">
      <c r="B1261" s="5" t="s">
        <v>181</v>
      </c>
      <c r="C1261" s="5" t="s">
        <v>274</v>
      </c>
      <c r="D1261" s="5" t="s">
        <v>131</v>
      </c>
      <c r="E1261" s="6">
        <v>44908</v>
      </c>
      <c r="F1261" s="4" t="s">
        <v>100</v>
      </c>
      <c r="G1261" s="4"/>
      <c r="H1261" s="2"/>
      <c r="I1261" s="11" t="s">
        <v>1250</v>
      </c>
      <c r="J1261" s="5"/>
      <c r="K1261" s="22">
        <f>YEAR(Tabla1[[#This Row],[Fecha]])</f>
        <v>2022</v>
      </c>
      <c r="L1261" s="22">
        <f>MONTH(Tabla1[[#This Row],[Fecha]])</f>
        <v>12</v>
      </c>
    </row>
    <row r="1262" spans="2:12" hidden="1" x14ac:dyDescent="0.25">
      <c r="B1262" s="5" t="s">
        <v>181</v>
      </c>
      <c r="C1262" s="5" t="s">
        <v>182</v>
      </c>
      <c r="D1262" s="5" t="s">
        <v>131</v>
      </c>
      <c r="E1262" s="6">
        <v>44908</v>
      </c>
      <c r="F1262" s="4" t="s">
        <v>100</v>
      </c>
      <c r="G1262" s="4"/>
      <c r="H1262" s="2"/>
      <c r="I1262" s="11" t="s">
        <v>1250</v>
      </c>
      <c r="J1262" s="5"/>
      <c r="K1262" s="22">
        <f>YEAR(Tabla1[[#This Row],[Fecha]])</f>
        <v>2022</v>
      </c>
      <c r="L1262" s="22">
        <f>MONTH(Tabla1[[#This Row],[Fecha]])</f>
        <v>12</v>
      </c>
    </row>
    <row r="1263" spans="2:12" hidden="1" x14ac:dyDescent="0.25">
      <c r="B1263" s="5" t="s">
        <v>181</v>
      </c>
      <c r="C1263" s="5" t="s">
        <v>551</v>
      </c>
      <c r="D1263" s="5" t="s">
        <v>131</v>
      </c>
      <c r="E1263" s="6">
        <v>44908</v>
      </c>
      <c r="F1263" s="4" t="s">
        <v>100</v>
      </c>
      <c r="G1263" s="4"/>
      <c r="H1263" s="2"/>
      <c r="I1263" s="11" t="s">
        <v>1250</v>
      </c>
      <c r="J1263" s="5"/>
      <c r="K1263" s="22">
        <f>YEAR(Tabla1[[#This Row],[Fecha]])</f>
        <v>2022</v>
      </c>
      <c r="L1263" s="22">
        <f>MONTH(Tabla1[[#This Row],[Fecha]])</f>
        <v>12</v>
      </c>
    </row>
    <row r="1264" spans="2:12" hidden="1" x14ac:dyDescent="0.25">
      <c r="B1264" s="5" t="s">
        <v>181</v>
      </c>
      <c r="C1264" s="5" t="s">
        <v>209</v>
      </c>
      <c r="D1264" s="5" t="s">
        <v>131</v>
      </c>
      <c r="E1264" s="6">
        <v>44908</v>
      </c>
      <c r="F1264" s="4" t="s">
        <v>100</v>
      </c>
      <c r="G1264" s="4"/>
      <c r="H1264" s="2"/>
      <c r="I1264" s="11" t="s">
        <v>1250</v>
      </c>
      <c r="J1264" s="5"/>
      <c r="K1264" s="22">
        <f>YEAR(Tabla1[[#This Row],[Fecha]])</f>
        <v>2022</v>
      </c>
      <c r="L1264" s="22">
        <f>MONTH(Tabla1[[#This Row],[Fecha]])</f>
        <v>12</v>
      </c>
    </row>
    <row r="1265" spans="2:12" hidden="1" x14ac:dyDescent="0.25">
      <c r="B1265" s="5" t="s">
        <v>181</v>
      </c>
      <c r="C1265" s="5" t="s">
        <v>209</v>
      </c>
      <c r="D1265" s="5" t="s">
        <v>131</v>
      </c>
      <c r="E1265" s="6">
        <v>44908</v>
      </c>
      <c r="F1265" s="4" t="s">
        <v>91</v>
      </c>
      <c r="G1265" s="4" t="s">
        <v>303</v>
      </c>
      <c r="H1265" s="4" t="s">
        <v>434</v>
      </c>
      <c r="I1265" s="11" t="s">
        <v>1251</v>
      </c>
      <c r="J1265" s="5"/>
      <c r="K1265" s="22">
        <f>YEAR(Tabla1[[#This Row],[Fecha]])</f>
        <v>2022</v>
      </c>
      <c r="L1265" s="22">
        <f>MONTH(Tabla1[[#This Row],[Fecha]])</f>
        <v>12</v>
      </c>
    </row>
    <row r="1266" spans="2:12" hidden="1" x14ac:dyDescent="0.25">
      <c r="B1266" s="5" t="s">
        <v>181</v>
      </c>
      <c r="C1266" s="5" t="s">
        <v>551</v>
      </c>
      <c r="D1266" s="5" t="s">
        <v>131</v>
      </c>
      <c r="E1266" s="6">
        <v>44908</v>
      </c>
      <c r="F1266" s="4" t="s">
        <v>91</v>
      </c>
      <c r="G1266" s="4" t="s">
        <v>303</v>
      </c>
      <c r="H1266" s="4" t="s">
        <v>434</v>
      </c>
      <c r="I1266" s="11" t="s">
        <v>1252</v>
      </c>
      <c r="J1266" s="5"/>
      <c r="K1266" s="22">
        <f>YEAR(Tabla1[[#This Row],[Fecha]])</f>
        <v>2022</v>
      </c>
      <c r="L1266" s="22">
        <f>MONTH(Tabla1[[#This Row],[Fecha]])</f>
        <v>12</v>
      </c>
    </row>
    <row r="1267" spans="2:12" hidden="1" x14ac:dyDescent="0.25">
      <c r="B1267" s="5" t="s">
        <v>181</v>
      </c>
      <c r="C1267" s="5" t="s">
        <v>182</v>
      </c>
      <c r="D1267" s="5" t="s">
        <v>131</v>
      </c>
      <c r="E1267" s="6">
        <v>44908</v>
      </c>
      <c r="F1267" s="4" t="s">
        <v>91</v>
      </c>
      <c r="G1267" s="4" t="s">
        <v>303</v>
      </c>
      <c r="H1267" s="4" t="s">
        <v>434</v>
      </c>
      <c r="I1267" s="11" t="s">
        <v>1253</v>
      </c>
      <c r="J1267" s="5"/>
      <c r="K1267" s="22">
        <f>YEAR(Tabla1[[#This Row],[Fecha]])</f>
        <v>2022</v>
      </c>
      <c r="L1267" s="22">
        <f>MONTH(Tabla1[[#This Row],[Fecha]])</f>
        <v>12</v>
      </c>
    </row>
    <row r="1268" spans="2:12" hidden="1" x14ac:dyDescent="0.25">
      <c r="B1268" s="5" t="s">
        <v>181</v>
      </c>
      <c r="C1268" s="5" t="s">
        <v>274</v>
      </c>
      <c r="D1268" s="5" t="s">
        <v>131</v>
      </c>
      <c r="E1268" s="6">
        <v>44908</v>
      </c>
      <c r="F1268" s="4" t="s">
        <v>91</v>
      </c>
      <c r="G1268" s="4" t="s">
        <v>303</v>
      </c>
      <c r="H1268" s="4" t="s">
        <v>434</v>
      </c>
      <c r="I1268" s="11" t="s">
        <v>1254</v>
      </c>
      <c r="J1268" s="5"/>
      <c r="K1268" s="22">
        <f>YEAR(Tabla1[[#This Row],[Fecha]])</f>
        <v>2022</v>
      </c>
      <c r="L1268" s="22">
        <f>MONTH(Tabla1[[#This Row],[Fecha]])</f>
        <v>12</v>
      </c>
    </row>
    <row r="1269" spans="2:12" hidden="1" x14ac:dyDescent="0.25">
      <c r="B1269" s="2" t="s">
        <v>309</v>
      </c>
      <c r="C1269" s="2" t="s">
        <v>310</v>
      </c>
      <c r="D1269" s="2" t="s">
        <v>11</v>
      </c>
      <c r="E1269" s="12">
        <v>44886</v>
      </c>
      <c r="F1269" s="4" t="s">
        <v>91</v>
      </c>
      <c r="G1269" s="4" t="s">
        <v>103</v>
      </c>
      <c r="H1269" s="4" t="s">
        <v>298</v>
      </c>
      <c r="I1269" s="26" t="s">
        <v>1819</v>
      </c>
      <c r="J1269" s="2" t="s">
        <v>1578</v>
      </c>
      <c r="K1269" s="22">
        <f>YEAR(Tabla1[[#This Row],[Fecha]])</f>
        <v>2022</v>
      </c>
      <c r="L1269" s="22">
        <f>MONTH(Tabla1[[#This Row],[Fecha]])</f>
        <v>11</v>
      </c>
    </row>
    <row r="1270" spans="2:12" hidden="1" x14ac:dyDescent="0.25">
      <c r="B1270" s="5" t="s">
        <v>309</v>
      </c>
      <c r="C1270" s="5" t="s">
        <v>321</v>
      </c>
      <c r="D1270" s="5" t="s">
        <v>131</v>
      </c>
      <c r="E1270" s="6">
        <v>44874</v>
      </c>
      <c r="F1270" s="4" t="s">
        <v>15</v>
      </c>
      <c r="G1270" s="4" t="s">
        <v>16</v>
      </c>
      <c r="H1270" s="4" t="s">
        <v>63</v>
      </c>
      <c r="I1270" s="11" t="s">
        <v>1395</v>
      </c>
      <c r="J1270" s="5" t="s">
        <v>1396</v>
      </c>
      <c r="K1270" s="22">
        <f>YEAR(Tabla1[[#This Row],[Fecha]])</f>
        <v>2022</v>
      </c>
      <c r="L1270" s="22">
        <f>MONTH(Tabla1[[#This Row],[Fecha]])</f>
        <v>11</v>
      </c>
    </row>
    <row r="1271" spans="2:12" hidden="1" x14ac:dyDescent="0.25">
      <c r="B1271" s="5" t="s">
        <v>193</v>
      </c>
      <c r="C1271" s="5" t="s">
        <v>253</v>
      </c>
      <c r="D1271" s="5" t="s">
        <v>131</v>
      </c>
      <c r="E1271" s="6">
        <v>44873</v>
      </c>
      <c r="F1271" s="4" t="s">
        <v>15</v>
      </c>
      <c r="G1271" s="4" t="s">
        <v>16</v>
      </c>
      <c r="H1271" s="2" t="s">
        <v>41</v>
      </c>
      <c r="I1271" s="26" t="s">
        <v>1321</v>
      </c>
      <c r="J1271" s="5"/>
      <c r="K1271" s="22">
        <f>YEAR(Tabla1[[#This Row],[Fecha]])</f>
        <v>2022</v>
      </c>
      <c r="L1271" s="22">
        <f>MONTH(Tabla1[[#This Row],[Fecha]])</f>
        <v>11</v>
      </c>
    </row>
    <row r="1272" spans="2:12" hidden="1" x14ac:dyDescent="0.25">
      <c r="B1272" s="5" t="s">
        <v>309</v>
      </c>
      <c r="C1272" s="5" t="s">
        <v>318</v>
      </c>
      <c r="D1272" s="5" t="s">
        <v>1084</v>
      </c>
      <c r="E1272" s="6">
        <v>44872</v>
      </c>
      <c r="F1272" s="4" t="s">
        <v>91</v>
      </c>
      <c r="G1272" s="2" t="s">
        <v>16</v>
      </c>
      <c r="H1272" s="2" t="s">
        <v>1775</v>
      </c>
      <c r="I1272" s="2" t="s">
        <v>1528</v>
      </c>
      <c r="J1272" s="7"/>
      <c r="K1272" s="15">
        <f>YEAR(Tabla1[[#This Row],[Fecha]])</f>
        <v>2022</v>
      </c>
      <c r="L1272" s="15">
        <f>MONTH(Tabla1[[#This Row],[Fecha]])</f>
        <v>11</v>
      </c>
    </row>
    <row r="1273" spans="2:12" hidden="1" x14ac:dyDescent="0.25">
      <c r="B1273" s="5" t="s">
        <v>309</v>
      </c>
      <c r="C1273" s="5" t="s">
        <v>318</v>
      </c>
      <c r="D1273" s="5" t="s">
        <v>1084</v>
      </c>
      <c r="E1273" s="6">
        <v>44872</v>
      </c>
      <c r="F1273" s="4" t="s">
        <v>15</v>
      </c>
      <c r="G1273" s="4" t="s">
        <v>24</v>
      </c>
      <c r="H1273" s="29" t="s">
        <v>29</v>
      </c>
      <c r="I1273" s="26" t="s">
        <v>1529</v>
      </c>
      <c r="J1273" s="5"/>
      <c r="K1273" s="22">
        <f>YEAR(Tabla1[[#This Row],[Fecha]])</f>
        <v>2022</v>
      </c>
      <c r="L1273" s="22">
        <f>MONTH(Tabla1[[#This Row],[Fecha]])</f>
        <v>11</v>
      </c>
    </row>
    <row r="1274" spans="2:12" hidden="1" x14ac:dyDescent="0.25">
      <c r="B1274" s="2" t="s">
        <v>309</v>
      </c>
      <c r="C1274" s="2" t="s">
        <v>310</v>
      </c>
      <c r="D1274" s="2" t="s">
        <v>11</v>
      </c>
      <c r="E1274" s="12">
        <v>44868</v>
      </c>
      <c r="F1274" s="4" t="s">
        <v>15</v>
      </c>
      <c r="G1274" s="4" t="s">
        <v>16</v>
      </c>
      <c r="H1274" s="4" t="s">
        <v>34</v>
      </c>
      <c r="I1274" s="26" t="s">
        <v>1576</v>
      </c>
      <c r="J1274" s="2" t="s">
        <v>1577</v>
      </c>
      <c r="K1274" s="22">
        <f>YEAR(Tabla1[[#This Row],[Fecha]])</f>
        <v>2022</v>
      </c>
      <c r="L1274" s="22">
        <f>MONTH(Tabla1[[#This Row],[Fecha]])</f>
        <v>11</v>
      </c>
    </row>
    <row r="1275" spans="2:12" hidden="1" x14ac:dyDescent="0.25">
      <c r="B1275" s="5" t="s">
        <v>309</v>
      </c>
      <c r="C1275" s="5" t="s">
        <v>371</v>
      </c>
      <c r="D1275" s="5" t="s">
        <v>1084</v>
      </c>
      <c r="E1275" s="13">
        <v>44868</v>
      </c>
      <c r="F1275" s="4" t="s">
        <v>15</v>
      </c>
      <c r="G1275" s="4" t="s">
        <v>16</v>
      </c>
      <c r="H1275" s="4" t="s">
        <v>34</v>
      </c>
      <c r="I1275" s="5" t="s">
        <v>1670</v>
      </c>
      <c r="J1275" s="5"/>
      <c r="K1275" s="22">
        <f>YEAR(Tabla1[[#This Row],[Fecha]])</f>
        <v>2022</v>
      </c>
      <c r="L1275" s="22">
        <f>MONTH(Tabla1[[#This Row],[Fecha]])</f>
        <v>11</v>
      </c>
    </row>
    <row r="1276" spans="2:12" hidden="1" x14ac:dyDescent="0.25">
      <c r="B1276" s="5" t="s">
        <v>49</v>
      </c>
      <c r="C1276" s="5" t="s">
        <v>60</v>
      </c>
      <c r="D1276" s="5" t="s">
        <v>1084</v>
      </c>
      <c r="E1276" s="6">
        <v>44861</v>
      </c>
      <c r="F1276" s="4" t="s">
        <v>15</v>
      </c>
      <c r="G1276" s="4" t="s">
        <v>16</v>
      </c>
      <c r="H1276" s="2" t="s">
        <v>74</v>
      </c>
      <c r="I1276" s="36" t="s">
        <v>1766</v>
      </c>
      <c r="J1276" s="5"/>
      <c r="K1276" s="22">
        <f>YEAR(Tabla1[[#This Row],[Fecha]])</f>
        <v>2022</v>
      </c>
      <c r="L1276" s="22">
        <f>MONTH(Tabla1[[#This Row],[Fecha]])</f>
        <v>10</v>
      </c>
    </row>
    <row r="1277" spans="2:12" hidden="1" x14ac:dyDescent="0.25">
      <c r="B1277" s="5" t="s">
        <v>49</v>
      </c>
      <c r="C1277" s="5" t="s">
        <v>123</v>
      </c>
      <c r="D1277" s="5" t="s">
        <v>1084</v>
      </c>
      <c r="E1277" s="6">
        <v>44861</v>
      </c>
      <c r="F1277" s="4" t="s">
        <v>91</v>
      </c>
      <c r="G1277" s="4" t="s">
        <v>303</v>
      </c>
      <c r="H1277" s="29" t="s">
        <v>431</v>
      </c>
      <c r="I1277" s="5" t="s">
        <v>1113</v>
      </c>
      <c r="J1277" s="7"/>
      <c r="K1277" s="15">
        <f>YEAR(Tabla1[[#This Row],[Fecha]])</f>
        <v>2022</v>
      </c>
      <c r="L1277" s="15">
        <f>MONTH(Tabla1[[#This Row],[Fecha]])</f>
        <v>10</v>
      </c>
    </row>
    <row r="1278" spans="2:12" hidden="1" x14ac:dyDescent="0.25">
      <c r="B1278" s="5" t="s">
        <v>49</v>
      </c>
      <c r="C1278" s="5" t="s">
        <v>123</v>
      </c>
      <c r="D1278" s="5" t="s">
        <v>1084</v>
      </c>
      <c r="E1278" s="6">
        <v>44861</v>
      </c>
      <c r="F1278" s="4" t="s">
        <v>91</v>
      </c>
      <c r="G1278" s="4" t="s">
        <v>16</v>
      </c>
      <c r="H1278" s="8" t="s">
        <v>34</v>
      </c>
      <c r="I1278" s="5" t="s">
        <v>1114</v>
      </c>
      <c r="J1278" s="7"/>
      <c r="K1278" s="15">
        <f>YEAR(Tabla1[[#This Row],[Fecha]])</f>
        <v>2022</v>
      </c>
      <c r="L1278" s="15">
        <f>MONTH(Tabla1[[#This Row],[Fecha]])</f>
        <v>10</v>
      </c>
    </row>
    <row r="1279" spans="2:12" hidden="1" x14ac:dyDescent="0.25">
      <c r="B1279" s="5" t="s">
        <v>309</v>
      </c>
      <c r="C1279" s="5" t="s">
        <v>321</v>
      </c>
      <c r="D1279" s="5" t="s">
        <v>131</v>
      </c>
      <c r="E1279" s="6">
        <v>44860</v>
      </c>
      <c r="F1279" s="4" t="s">
        <v>15</v>
      </c>
      <c r="G1279" s="4" t="s">
        <v>16</v>
      </c>
      <c r="H1279" s="2" t="s">
        <v>17</v>
      </c>
      <c r="I1279" s="11" t="s">
        <v>1397</v>
      </c>
      <c r="J1279" s="5"/>
      <c r="K1279" s="22">
        <f>YEAR(Tabla1[[#This Row],[Fecha]])</f>
        <v>2022</v>
      </c>
      <c r="L1279" s="22">
        <f>MONTH(Tabla1[[#This Row],[Fecha]])</f>
        <v>10</v>
      </c>
    </row>
    <row r="1280" spans="2:12" hidden="1" x14ac:dyDescent="0.25">
      <c r="B1280" s="5" t="s">
        <v>309</v>
      </c>
      <c r="C1280" s="5" t="s">
        <v>728</v>
      </c>
      <c r="D1280" s="5" t="s">
        <v>1084</v>
      </c>
      <c r="E1280" s="13">
        <v>44860</v>
      </c>
      <c r="F1280" s="4" t="s">
        <v>15</v>
      </c>
      <c r="G1280" s="4" t="s">
        <v>24</v>
      </c>
      <c r="H1280" s="4" t="s">
        <v>12</v>
      </c>
      <c r="I1280" s="5" t="s">
        <v>1648</v>
      </c>
      <c r="J1280" s="5"/>
      <c r="K1280" s="22">
        <f>YEAR(Tabla1[[#This Row],[Fecha]])</f>
        <v>2022</v>
      </c>
      <c r="L1280" s="22">
        <f>MONTH(Tabla1[[#This Row],[Fecha]])</f>
        <v>10</v>
      </c>
    </row>
    <row r="1281" spans="2:12" hidden="1" x14ac:dyDescent="0.25">
      <c r="B1281" s="5" t="s">
        <v>309</v>
      </c>
      <c r="C1281" s="5" t="s">
        <v>711</v>
      </c>
      <c r="D1281" s="5" t="s">
        <v>131</v>
      </c>
      <c r="E1281" s="13">
        <v>44860</v>
      </c>
      <c r="F1281" s="4" t="s">
        <v>91</v>
      </c>
      <c r="G1281" s="4" t="s">
        <v>16</v>
      </c>
      <c r="H1281" s="4" t="s">
        <v>1775</v>
      </c>
      <c r="I1281" s="5" t="s">
        <v>1649</v>
      </c>
      <c r="J1281" s="5"/>
      <c r="K1281" s="22">
        <f>YEAR(Tabla1[[#This Row],[Fecha]])</f>
        <v>2022</v>
      </c>
      <c r="L1281" s="22">
        <f>MONTH(Tabla1[[#This Row],[Fecha]])</f>
        <v>10</v>
      </c>
    </row>
    <row r="1282" spans="2:12" hidden="1" x14ac:dyDescent="0.25">
      <c r="B1282" s="5" t="s">
        <v>841</v>
      </c>
      <c r="C1282" s="5" t="s">
        <v>842</v>
      </c>
      <c r="D1282" s="5" t="s">
        <v>131</v>
      </c>
      <c r="E1282" s="6">
        <v>44855</v>
      </c>
      <c r="F1282" s="4" t="s">
        <v>91</v>
      </c>
      <c r="G1282" s="4" t="s">
        <v>36</v>
      </c>
      <c r="H1282" s="2" t="s">
        <v>1785</v>
      </c>
      <c r="I1282" s="11" t="s">
        <v>1263</v>
      </c>
      <c r="J1282" s="5"/>
      <c r="K1282" s="22">
        <f>YEAR(Tabla1[[#This Row],[Fecha]])</f>
        <v>2022</v>
      </c>
      <c r="L1282" s="22">
        <f>MONTH(Tabla1[[#This Row],[Fecha]])</f>
        <v>10</v>
      </c>
    </row>
    <row r="1283" spans="2:12" hidden="1" x14ac:dyDescent="0.25">
      <c r="B1283" s="5" t="s">
        <v>841</v>
      </c>
      <c r="C1283" s="5" t="s">
        <v>842</v>
      </c>
      <c r="D1283" s="5" t="s">
        <v>131</v>
      </c>
      <c r="E1283" s="6">
        <v>44855</v>
      </c>
      <c r="F1283" s="4" t="s">
        <v>15</v>
      </c>
      <c r="G1283" s="4" t="s">
        <v>16</v>
      </c>
      <c r="H1283" s="2" t="s">
        <v>1704</v>
      </c>
      <c r="I1283" s="26" t="s">
        <v>1264</v>
      </c>
      <c r="J1283" s="5"/>
      <c r="K1283" s="22">
        <f>YEAR(Tabla1[[#This Row],[Fecha]])</f>
        <v>2022</v>
      </c>
      <c r="L1283" s="22">
        <f>MONTH(Tabla1[[#This Row],[Fecha]])</f>
        <v>10</v>
      </c>
    </row>
    <row r="1284" spans="2:12" hidden="1" x14ac:dyDescent="0.25">
      <c r="B1284" s="5" t="s">
        <v>309</v>
      </c>
      <c r="C1284" s="5" t="s">
        <v>315</v>
      </c>
      <c r="D1284" s="5" t="s">
        <v>1084</v>
      </c>
      <c r="E1284" s="6">
        <v>44848</v>
      </c>
      <c r="F1284" s="4" t="s">
        <v>91</v>
      </c>
      <c r="G1284" s="2" t="s">
        <v>36</v>
      </c>
      <c r="H1284" s="2" t="s">
        <v>1780</v>
      </c>
      <c r="I1284" s="2" t="s">
        <v>1527</v>
      </c>
      <c r="J1284" s="7"/>
      <c r="K1284" s="15">
        <f>YEAR(Tabla1[[#This Row],[Fecha]])</f>
        <v>2022</v>
      </c>
      <c r="L1284" s="15">
        <f>MONTH(Tabla1[[#This Row],[Fecha]])</f>
        <v>10</v>
      </c>
    </row>
    <row r="1285" spans="2:12" hidden="1" x14ac:dyDescent="0.25">
      <c r="B1285" s="2" t="s">
        <v>309</v>
      </c>
      <c r="C1285" s="2" t="s">
        <v>310</v>
      </c>
      <c r="D1285" s="2" t="s">
        <v>11</v>
      </c>
      <c r="E1285" s="12">
        <v>44846</v>
      </c>
      <c r="F1285" s="2" t="s">
        <v>91</v>
      </c>
      <c r="G1285" s="2" t="s">
        <v>36</v>
      </c>
      <c r="H1285" s="2" t="s">
        <v>1780</v>
      </c>
      <c r="I1285" s="11" t="s">
        <v>1575</v>
      </c>
      <c r="J1285" s="11"/>
      <c r="K1285" s="22">
        <f>YEAR(Tabla1[[#This Row],[Fecha]])</f>
        <v>2022</v>
      </c>
      <c r="L1285" s="22">
        <f>MONTH(Tabla1[[#This Row],[Fecha]])</f>
        <v>10</v>
      </c>
    </row>
    <row r="1286" spans="2:12" hidden="1" x14ac:dyDescent="0.25">
      <c r="B1286" s="5" t="s">
        <v>193</v>
      </c>
      <c r="C1286" s="5" t="s">
        <v>253</v>
      </c>
      <c r="D1286" s="5" t="s">
        <v>131</v>
      </c>
      <c r="E1286" s="6">
        <v>44832</v>
      </c>
      <c r="F1286" s="4" t="s">
        <v>15</v>
      </c>
      <c r="G1286" s="4" t="s">
        <v>16</v>
      </c>
      <c r="H1286" s="2" t="s">
        <v>1704</v>
      </c>
      <c r="I1286" s="26" t="s">
        <v>1322</v>
      </c>
      <c r="J1286" s="5"/>
      <c r="K1286" s="22">
        <f>YEAR(Tabla1[[#This Row],[Fecha]])</f>
        <v>2022</v>
      </c>
      <c r="L1286" s="22">
        <f>MONTH(Tabla1[[#This Row],[Fecha]])</f>
        <v>9</v>
      </c>
    </row>
    <row r="1287" spans="2:12" hidden="1" x14ac:dyDescent="0.25">
      <c r="B1287" s="5" t="s">
        <v>309</v>
      </c>
      <c r="C1287" s="5" t="s">
        <v>321</v>
      </c>
      <c r="D1287" s="5" t="s">
        <v>131</v>
      </c>
      <c r="E1287" s="6">
        <v>44827</v>
      </c>
      <c r="F1287" s="4" t="s">
        <v>91</v>
      </c>
      <c r="G1287" s="4" t="s">
        <v>24</v>
      </c>
      <c r="H1287" s="2" t="s">
        <v>1780</v>
      </c>
      <c r="I1287" s="11" t="s">
        <v>1400</v>
      </c>
      <c r="J1287" s="5" t="s">
        <v>1401</v>
      </c>
      <c r="K1287" s="22">
        <f>YEAR(Tabla1[[#This Row],[Fecha]])</f>
        <v>2022</v>
      </c>
      <c r="L1287" s="22">
        <f>MONTH(Tabla1[[#This Row],[Fecha]])</f>
        <v>9</v>
      </c>
    </row>
    <row r="1288" spans="2:12" hidden="1" x14ac:dyDescent="0.25">
      <c r="B1288" s="5" t="s">
        <v>309</v>
      </c>
      <c r="C1288" s="5" t="s">
        <v>378</v>
      </c>
      <c r="D1288" s="5" t="s">
        <v>131</v>
      </c>
      <c r="E1288" s="6">
        <v>44813</v>
      </c>
      <c r="F1288" s="4" t="s">
        <v>91</v>
      </c>
      <c r="G1288" s="4" t="s">
        <v>303</v>
      </c>
      <c r="H1288" s="4" t="s">
        <v>434</v>
      </c>
      <c r="I1288" s="11" t="s">
        <v>1487</v>
      </c>
      <c r="J1288" s="5"/>
      <c r="K1288" s="22">
        <f>YEAR(Tabla1[[#This Row],[Fecha]])</f>
        <v>2022</v>
      </c>
      <c r="L1288" s="22">
        <f>MONTH(Tabla1[[#This Row],[Fecha]])</f>
        <v>9</v>
      </c>
    </row>
    <row r="1289" spans="2:12" hidden="1" x14ac:dyDescent="0.25">
      <c r="B1289" s="2" t="s">
        <v>309</v>
      </c>
      <c r="C1289" s="2" t="s">
        <v>310</v>
      </c>
      <c r="D1289" s="2" t="s">
        <v>11</v>
      </c>
      <c r="E1289" s="12">
        <v>44813</v>
      </c>
      <c r="F1289" s="2" t="s">
        <v>91</v>
      </c>
      <c r="G1289" s="4" t="s">
        <v>303</v>
      </c>
      <c r="H1289" s="2" t="s">
        <v>434</v>
      </c>
      <c r="I1289" s="26" t="s">
        <v>1571</v>
      </c>
      <c r="J1289" s="11"/>
      <c r="K1289" s="22">
        <f>YEAR(Tabla1[[#This Row],[Fecha]])</f>
        <v>2022</v>
      </c>
      <c r="L1289" s="22">
        <f>MONTH(Tabla1[[#This Row],[Fecha]])</f>
        <v>9</v>
      </c>
    </row>
    <row r="1290" spans="2:12" hidden="1" x14ac:dyDescent="0.25">
      <c r="B1290" s="5" t="s">
        <v>309</v>
      </c>
      <c r="C1290" s="5" t="s">
        <v>728</v>
      </c>
      <c r="D1290" s="5" t="s">
        <v>131</v>
      </c>
      <c r="E1290" s="13">
        <v>44813</v>
      </c>
      <c r="F1290" s="4" t="s">
        <v>91</v>
      </c>
      <c r="G1290" s="4" t="s">
        <v>303</v>
      </c>
      <c r="H1290" s="4" t="s">
        <v>431</v>
      </c>
      <c r="I1290" s="5" t="s">
        <v>1642</v>
      </c>
      <c r="J1290" s="5"/>
      <c r="K1290" s="22">
        <f>YEAR(Tabla1[[#This Row],[Fecha]])</f>
        <v>2022</v>
      </c>
      <c r="L1290" s="22">
        <f>MONTH(Tabla1[[#This Row],[Fecha]])</f>
        <v>9</v>
      </c>
    </row>
    <row r="1291" spans="2:12" hidden="1" x14ac:dyDescent="0.25">
      <c r="B1291" s="5" t="s">
        <v>309</v>
      </c>
      <c r="C1291" s="5" t="s">
        <v>711</v>
      </c>
      <c r="D1291" s="5" t="s">
        <v>131</v>
      </c>
      <c r="E1291" s="13">
        <v>44813</v>
      </c>
      <c r="F1291" s="4" t="s">
        <v>91</v>
      </c>
      <c r="G1291" s="4" t="s">
        <v>303</v>
      </c>
      <c r="H1291" s="4" t="s">
        <v>431</v>
      </c>
      <c r="I1291" s="5" t="s">
        <v>1643</v>
      </c>
      <c r="J1291" s="5"/>
      <c r="K1291" s="22">
        <f>YEAR(Tabla1[[#This Row],[Fecha]])</f>
        <v>2022</v>
      </c>
      <c r="L1291" s="22">
        <f>MONTH(Tabla1[[#This Row],[Fecha]])</f>
        <v>9</v>
      </c>
    </row>
    <row r="1292" spans="2:12" hidden="1" x14ac:dyDescent="0.25">
      <c r="B1292" s="5" t="s">
        <v>309</v>
      </c>
      <c r="C1292" s="5" t="s">
        <v>378</v>
      </c>
      <c r="D1292" s="5" t="s">
        <v>1084</v>
      </c>
      <c r="E1292" s="6">
        <v>44806</v>
      </c>
      <c r="F1292" s="4" t="s">
        <v>91</v>
      </c>
      <c r="G1292" s="4" t="s">
        <v>16</v>
      </c>
      <c r="H1292" s="8" t="s">
        <v>34</v>
      </c>
      <c r="I1292" s="11" t="s">
        <v>1485</v>
      </c>
      <c r="J1292" s="5" t="s">
        <v>1486</v>
      </c>
      <c r="K1292" s="15">
        <f>YEAR(Tabla1[[#This Row],[Fecha]])</f>
        <v>2022</v>
      </c>
      <c r="L1292" s="15">
        <f>MONTH(Tabla1[[#This Row],[Fecha]])</f>
        <v>9</v>
      </c>
    </row>
    <row r="1293" spans="2:12" hidden="1" x14ac:dyDescent="0.25">
      <c r="B1293" s="2" t="s">
        <v>309</v>
      </c>
      <c r="C1293" s="2" t="s">
        <v>310</v>
      </c>
      <c r="D1293" s="2" t="s">
        <v>11</v>
      </c>
      <c r="E1293" s="12">
        <v>44806</v>
      </c>
      <c r="F1293" s="4" t="s">
        <v>15</v>
      </c>
      <c r="G1293" s="4" t="s">
        <v>16</v>
      </c>
      <c r="H1293" s="4" t="s">
        <v>34</v>
      </c>
      <c r="I1293" s="26" t="s">
        <v>1574</v>
      </c>
      <c r="J1293" s="11"/>
      <c r="K1293" s="22">
        <f>YEAR(Tabla1[[#This Row],[Fecha]])</f>
        <v>2022</v>
      </c>
      <c r="L1293" s="22">
        <f>MONTH(Tabla1[[#This Row],[Fecha]])</f>
        <v>9</v>
      </c>
    </row>
    <row r="1294" spans="2:12" hidden="1" x14ac:dyDescent="0.25">
      <c r="B1294" s="5" t="s">
        <v>309</v>
      </c>
      <c r="C1294" s="5" t="s">
        <v>711</v>
      </c>
      <c r="D1294" s="5" t="s">
        <v>1084</v>
      </c>
      <c r="E1294" s="13">
        <v>44806</v>
      </c>
      <c r="F1294" s="4" t="s">
        <v>15</v>
      </c>
      <c r="G1294" s="4" t="s">
        <v>16</v>
      </c>
      <c r="H1294" s="4" t="s">
        <v>34</v>
      </c>
      <c r="I1294" s="36" t="s">
        <v>1647</v>
      </c>
      <c r="J1294" s="5"/>
      <c r="K1294" s="22">
        <f>YEAR(Tabla1[[#This Row],[Fecha]])</f>
        <v>2022</v>
      </c>
      <c r="L1294" s="22">
        <f>MONTH(Tabla1[[#This Row],[Fecha]])</f>
        <v>9</v>
      </c>
    </row>
    <row r="1295" spans="2:12" hidden="1" x14ac:dyDescent="0.25">
      <c r="B1295" s="5" t="s">
        <v>309</v>
      </c>
      <c r="C1295" s="5" t="s">
        <v>378</v>
      </c>
      <c r="D1295" s="5" t="s">
        <v>131</v>
      </c>
      <c r="E1295" s="6">
        <v>44799</v>
      </c>
      <c r="F1295" s="4" t="s">
        <v>91</v>
      </c>
      <c r="G1295" s="4" t="s">
        <v>303</v>
      </c>
      <c r="H1295" s="4" t="s">
        <v>431</v>
      </c>
      <c r="I1295" s="11" t="s">
        <v>1489</v>
      </c>
      <c r="J1295" s="5"/>
      <c r="K1295" s="22">
        <f>YEAR(Tabla1[[#This Row],[Fecha]])</f>
        <v>2022</v>
      </c>
      <c r="L1295" s="22">
        <f>MONTH(Tabla1[[#This Row],[Fecha]])</f>
        <v>8</v>
      </c>
    </row>
    <row r="1296" spans="2:12" hidden="1" x14ac:dyDescent="0.25">
      <c r="B1296" s="2" t="s">
        <v>309</v>
      </c>
      <c r="C1296" s="2" t="s">
        <v>310</v>
      </c>
      <c r="D1296" s="2" t="s">
        <v>11</v>
      </c>
      <c r="E1296" s="12">
        <v>44799</v>
      </c>
      <c r="F1296" s="2" t="s">
        <v>91</v>
      </c>
      <c r="G1296" s="4" t="s">
        <v>303</v>
      </c>
      <c r="H1296" s="2" t="s">
        <v>431</v>
      </c>
      <c r="I1296" s="26" t="s">
        <v>1572</v>
      </c>
      <c r="J1296" s="2" t="s">
        <v>1573</v>
      </c>
      <c r="K1296" s="22">
        <f>YEAR(Tabla1[[#This Row],[Fecha]])</f>
        <v>2022</v>
      </c>
      <c r="L1296" s="22">
        <f>MONTH(Tabla1[[#This Row],[Fecha]])</f>
        <v>8</v>
      </c>
    </row>
    <row r="1297" spans="2:12" hidden="1" x14ac:dyDescent="0.25">
      <c r="B1297" s="5" t="s">
        <v>309</v>
      </c>
      <c r="C1297" s="5" t="s">
        <v>711</v>
      </c>
      <c r="D1297" s="5" t="s">
        <v>1084</v>
      </c>
      <c r="E1297" s="13">
        <v>44799</v>
      </c>
      <c r="F1297" s="4" t="s">
        <v>91</v>
      </c>
      <c r="G1297" s="4" t="s">
        <v>303</v>
      </c>
      <c r="H1297" s="4" t="s">
        <v>431</v>
      </c>
      <c r="I1297" s="5" t="s">
        <v>1636</v>
      </c>
      <c r="J1297" s="5"/>
      <c r="K1297" s="22">
        <f>YEAR(Tabla1[[#This Row],[Fecha]])</f>
        <v>2022</v>
      </c>
      <c r="L1297" s="22">
        <f>MONTH(Tabla1[[#This Row],[Fecha]])</f>
        <v>8</v>
      </c>
    </row>
    <row r="1298" spans="2:12" hidden="1" x14ac:dyDescent="0.25">
      <c r="B1298" s="5" t="s">
        <v>309</v>
      </c>
      <c r="C1298" s="5" t="s">
        <v>728</v>
      </c>
      <c r="D1298" s="5" t="s">
        <v>1084</v>
      </c>
      <c r="E1298" s="13">
        <v>44799</v>
      </c>
      <c r="F1298" s="4" t="s">
        <v>91</v>
      </c>
      <c r="G1298" s="4" t="s">
        <v>303</v>
      </c>
      <c r="H1298" s="4" t="s">
        <v>431</v>
      </c>
      <c r="I1298" s="5" t="s">
        <v>1637</v>
      </c>
      <c r="J1298" s="5"/>
      <c r="K1298" s="22">
        <f>YEAR(Tabla1[[#This Row],[Fecha]])</f>
        <v>2022</v>
      </c>
      <c r="L1298" s="22">
        <f>MONTH(Tabla1[[#This Row],[Fecha]])</f>
        <v>8</v>
      </c>
    </row>
    <row r="1299" spans="2:12" hidden="1" x14ac:dyDescent="0.25">
      <c r="B1299" s="5" t="s">
        <v>49</v>
      </c>
      <c r="C1299" s="5" t="s">
        <v>60</v>
      </c>
      <c r="D1299" s="5" t="s">
        <v>1084</v>
      </c>
      <c r="E1299" s="6">
        <v>44797</v>
      </c>
      <c r="F1299" s="4" t="s">
        <v>91</v>
      </c>
      <c r="G1299" s="4" t="s">
        <v>303</v>
      </c>
      <c r="H1299" s="29" t="s">
        <v>434</v>
      </c>
      <c r="I1299" s="11" t="s">
        <v>1140</v>
      </c>
      <c r="J1299" s="7"/>
      <c r="K1299" s="15">
        <f>YEAR(Tabla1[[#This Row],[Fecha]])</f>
        <v>2022</v>
      </c>
      <c r="L1299" s="15">
        <f>MONTH(Tabla1[[#This Row],[Fecha]])</f>
        <v>8</v>
      </c>
    </row>
    <row r="1300" spans="2:12" hidden="1" x14ac:dyDescent="0.25">
      <c r="B1300" s="5" t="s">
        <v>841</v>
      </c>
      <c r="C1300" s="5" t="s">
        <v>842</v>
      </c>
      <c r="D1300" s="5" t="s">
        <v>131</v>
      </c>
      <c r="E1300" s="6">
        <v>44796</v>
      </c>
      <c r="F1300" s="4" t="s">
        <v>15</v>
      </c>
      <c r="G1300" s="4" t="s">
        <v>16</v>
      </c>
      <c r="H1300" s="2" t="s">
        <v>1704</v>
      </c>
      <c r="I1300" s="26" t="s">
        <v>1262</v>
      </c>
      <c r="J1300" s="5"/>
      <c r="K1300" s="22">
        <f>YEAR(Tabla1[[#This Row],[Fecha]])</f>
        <v>2022</v>
      </c>
      <c r="L1300" s="22">
        <f>MONTH(Tabla1[[#This Row],[Fecha]])</f>
        <v>8</v>
      </c>
    </row>
    <row r="1301" spans="2:12" hidden="1" x14ac:dyDescent="0.25">
      <c r="B1301" s="5" t="s">
        <v>309</v>
      </c>
      <c r="C1301" s="5" t="s">
        <v>711</v>
      </c>
      <c r="D1301" s="5" t="s">
        <v>131</v>
      </c>
      <c r="E1301" s="13">
        <v>44790</v>
      </c>
      <c r="F1301" s="4" t="s">
        <v>91</v>
      </c>
      <c r="G1301" s="4" t="s">
        <v>303</v>
      </c>
      <c r="H1301" s="4" t="s">
        <v>431</v>
      </c>
      <c r="I1301" s="5" t="s">
        <v>1640</v>
      </c>
      <c r="J1301" s="5"/>
      <c r="K1301" s="22">
        <f>YEAR(Tabla1[[#This Row],[Fecha]])</f>
        <v>2022</v>
      </c>
      <c r="L1301" s="22">
        <f>MONTH(Tabla1[[#This Row],[Fecha]])</f>
        <v>8</v>
      </c>
    </row>
    <row r="1302" spans="2:12" hidden="1" x14ac:dyDescent="0.25">
      <c r="B1302" s="5" t="s">
        <v>309</v>
      </c>
      <c r="C1302" s="5" t="s">
        <v>728</v>
      </c>
      <c r="D1302" s="5" t="s">
        <v>131</v>
      </c>
      <c r="E1302" s="13">
        <v>44790</v>
      </c>
      <c r="F1302" s="4" t="s">
        <v>91</v>
      </c>
      <c r="G1302" s="4" t="s">
        <v>303</v>
      </c>
      <c r="H1302" s="4" t="s">
        <v>431</v>
      </c>
      <c r="I1302" s="5" t="s">
        <v>1641</v>
      </c>
      <c r="J1302" s="5"/>
      <c r="K1302" s="22">
        <f>YEAR(Tabla1[[#This Row],[Fecha]])</f>
        <v>2022</v>
      </c>
      <c r="L1302" s="22">
        <f>MONTH(Tabla1[[#This Row],[Fecha]])</f>
        <v>8</v>
      </c>
    </row>
    <row r="1303" spans="2:12" hidden="1" x14ac:dyDescent="0.25">
      <c r="B1303" s="5" t="s">
        <v>309</v>
      </c>
      <c r="C1303" s="5" t="s">
        <v>313</v>
      </c>
      <c r="D1303" s="5" t="s">
        <v>1084</v>
      </c>
      <c r="E1303" s="13">
        <v>44789</v>
      </c>
      <c r="F1303" s="4" t="s">
        <v>91</v>
      </c>
      <c r="G1303" s="4" t="s">
        <v>303</v>
      </c>
      <c r="H1303" s="4" t="s">
        <v>431</v>
      </c>
      <c r="I1303" s="5" t="s">
        <v>1608</v>
      </c>
      <c r="J1303" s="5"/>
      <c r="K1303" s="22">
        <f>YEAR(Tabla1[[#This Row],[Fecha]])</f>
        <v>2022</v>
      </c>
      <c r="L1303" s="22">
        <f>MONTH(Tabla1[[#This Row],[Fecha]])</f>
        <v>8</v>
      </c>
    </row>
    <row r="1304" spans="2:12" hidden="1" x14ac:dyDescent="0.25">
      <c r="B1304" s="5" t="s">
        <v>27</v>
      </c>
      <c r="C1304" s="5" t="s">
        <v>28</v>
      </c>
      <c r="D1304" s="5" t="s">
        <v>131</v>
      </c>
      <c r="E1304" s="6">
        <v>44785</v>
      </c>
      <c r="F1304" s="4" t="s">
        <v>15</v>
      </c>
      <c r="G1304" s="4" t="s">
        <v>16</v>
      </c>
      <c r="H1304" s="2" t="s">
        <v>43</v>
      </c>
      <c r="I1304" s="11" t="s">
        <v>1281</v>
      </c>
      <c r="J1304" s="5"/>
      <c r="K1304" s="22">
        <f>YEAR(Tabla1[[#This Row],[Fecha]])</f>
        <v>2022</v>
      </c>
      <c r="L1304" s="22">
        <f>MONTH(Tabla1[[#This Row],[Fecha]])</f>
        <v>8</v>
      </c>
    </row>
    <row r="1305" spans="2:12" hidden="1" x14ac:dyDescent="0.25">
      <c r="B1305" s="5" t="s">
        <v>309</v>
      </c>
      <c r="C1305" s="5" t="s">
        <v>711</v>
      </c>
      <c r="D1305" s="5" t="s">
        <v>1084</v>
      </c>
      <c r="E1305" s="13">
        <v>44785</v>
      </c>
      <c r="F1305" s="2" t="s">
        <v>91</v>
      </c>
      <c r="G1305" s="4" t="s">
        <v>303</v>
      </c>
      <c r="H1305" s="2" t="s">
        <v>431</v>
      </c>
      <c r="I1305" s="36" t="s">
        <v>1644</v>
      </c>
      <c r="J1305" s="5"/>
      <c r="K1305" s="22">
        <f>YEAR(Tabla1[[#This Row],[Fecha]])</f>
        <v>2022</v>
      </c>
      <c r="L1305" s="22">
        <f>MONTH(Tabla1[[#This Row],[Fecha]])</f>
        <v>8</v>
      </c>
    </row>
    <row r="1306" spans="2:12" hidden="1" x14ac:dyDescent="0.25">
      <c r="B1306" s="5" t="s">
        <v>309</v>
      </c>
      <c r="C1306" s="5" t="s">
        <v>728</v>
      </c>
      <c r="D1306" s="5" t="s">
        <v>1084</v>
      </c>
      <c r="E1306" s="13">
        <v>44785</v>
      </c>
      <c r="F1306" s="2" t="s">
        <v>91</v>
      </c>
      <c r="G1306" s="4" t="s">
        <v>303</v>
      </c>
      <c r="H1306" s="2" t="s">
        <v>431</v>
      </c>
      <c r="I1306" s="36" t="s">
        <v>1645</v>
      </c>
      <c r="J1306" s="5"/>
      <c r="K1306" s="22">
        <f>YEAR(Tabla1[[#This Row],[Fecha]])</f>
        <v>2022</v>
      </c>
      <c r="L1306" s="22">
        <f>MONTH(Tabla1[[#This Row],[Fecha]])</f>
        <v>8</v>
      </c>
    </row>
    <row r="1307" spans="2:12" hidden="1" x14ac:dyDescent="0.25">
      <c r="B1307" s="5" t="s">
        <v>309</v>
      </c>
      <c r="C1307" s="5" t="s">
        <v>320</v>
      </c>
      <c r="D1307" s="5" t="s">
        <v>1167</v>
      </c>
      <c r="E1307" s="6">
        <v>44783</v>
      </c>
      <c r="F1307" s="4" t="s">
        <v>91</v>
      </c>
      <c r="G1307" s="4" t="s">
        <v>303</v>
      </c>
      <c r="H1307" s="4" t="s">
        <v>431</v>
      </c>
      <c r="I1307" s="11" t="s">
        <v>1398</v>
      </c>
      <c r="J1307" s="5"/>
      <c r="K1307" s="22">
        <f>YEAR(Tabla1[[#This Row],[Fecha]])</f>
        <v>2022</v>
      </c>
      <c r="L1307" s="22">
        <f>MONTH(Tabla1[[#This Row],[Fecha]])</f>
        <v>8</v>
      </c>
    </row>
    <row r="1308" spans="2:12" hidden="1" x14ac:dyDescent="0.25">
      <c r="B1308" s="5" t="s">
        <v>309</v>
      </c>
      <c r="C1308" s="5" t="s">
        <v>321</v>
      </c>
      <c r="D1308" s="5" t="s">
        <v>1167</v>
      </c>
      <c r="E1308" s="6">
        <v>44783</v>
      </c>
      <c r="F1308" s="4" t="s">
        <v>91</v>
      </c>
      <c r="G1308" s="4" t="s">
        <v>303</v>
      </c>
      <c r="H1308" s="4" t="s">
        <v>431</v>
      </c>
      <c r="I1308" s="11" t="s">
        <v>1399</v>
      </c>
      <c r="J1308" s="5"/>
      <c r="K1308" s="22">
        <f>YEAR(Tabla1[[#This Row],[Fecha]])</f>
        <v>2022</v>
      </c>
      <c r="L1308" s="22">
        <f>MONTH(Tabla1[[#This Row],[Fecha]])</f>
        <v>8</v>
      </c>
    </row>
    <row r="1309" spans="2:12" hidden="1" x14ac:dyDescent="0.25">
      <c r="B1309" s="5" t="s">
        <v>309</v>
      </c>
      <c r="C1309" s="5" t="s">
        <v>321</v>
      </c>
      <c r="D1309" s="5" t="s">
        <v>131</v>
      </c>
      <c r="E1309" s="6">
        <v>44782</v>
      </c>
      <c r="F1309" s="4" t="s">
        <v>91</v>
      </c>
      <c r="G1309" s="4" t="s">
        <v>303</v>
      </c>
      <c r="H1309" s="4" t="s">
        <v>431</v>
      </c>
      <c r="I1309" s="11" t="s">
        <v>1402</v>
      </c>
      <c r="J1309" s="5"/>
      <c r="K1309" s="22">
        <f>YEAR(Tabla1[[#This Row],[Fecha]])</f>
        <v>2022</v>
      </c>
      <c r="L1309" s="22">
        <f>MONTH(Tabla1[[#This Row],[Fecha]])</f>
        <v>8</v>
      </c>
    </row>
    <row r="1310" spans="2:12" hidden="1" x14ac:dyDescent="0.25">
      <c r="B1310" s="5" t="s">
        <v>309</v>
      </c>
      <c r="C1310" s="5" t="s">
        <v>320</v>
      </c>
      <c r="D1310" s="5" t="s">
        <v>131</v>
      </c>
      <c r="E1310" s="6">
        <v>44782</v>
      </c>
      <c r="F1310" s="4" t="s">
        <v>91</v>
      </c>
      <c r="G1310" s="4" t="s">
        <v>303</v>
      </c>
      <c r="H1310" s="4" t="s">
        <v>431</v>
      </c>
      <c r="I1310" s="11" t="s">
        <v>1403</v>
      </c>
      <c r="J1310" s="5"/>
      <c r="K1310" s="22">
        <f>YEAR(Tabla1[[#This Row],[Fecha]])</f>
        <v>2022</v>
      </c>
      <c r="L1310" s="22">
        <f>MONTH(Tabla1[[#This Row],[Fecha]])</f>
        <v>8</v>
      </c>
    </row>
    <row r="1311" spans="2:12" hidden="1" x14ac:dyDescent="0.25">
      <c r="B1311" s="5" t="s">
        <v>309</v>
      </c>
      <c r="C1311" s="5" t="s">
        <v>728</v>
      </c>
      <c r="D1311" s="5" t="s">
        <v>131</v>
      </c>
      <c r="E1311" s="13">
        <v>44781</v>
      </c>
      <c r="F1311" s="4" t="s">
        <v>91</v>
      </c>
      <c r="G1311" s="4" t="s">
        <v>303</v>
      </c>
      <c r="H1311" s="4" t="s">
        <v>434</v>
      </c>
      <c r="I1311" s="5" t="s">
        <v>1638</v>
      </c>
      <c r="J1311" s="5"/>
      <c r="K1311" s="22">
        <f>YEAR(Tabla1[[#This Row],[Fecha]])</f>
        <v>2022</v>
      </c>
      <c r="L1311" s="22">
        <f>MONTH(Tabla1[[#This Row],[Fecha]])</f>
        <v>8</v>
      </c>
    </row>
    <row r="1312" spans="2:12" hidden="1" x14ac:dyDescent="0.25">
      <c r="B1312" s="5" t="s">
        <v>309</v>
      </c>
      <c r="C1312" s="5" t="s">
        <v>711</v>
      </c>
      <c r="D1312" s="5" t="s">
        <v>131</v>
      </c>
      <c r="E1312" s="13">
        <v>44781</v>
      </c>
      <c r="F1312" s="4" t="s">
        <v>91</v>
      </c>
      <c r="G1312" s="4" t="s">
        <v>303</v>
      </c>
      <c r="H1312" s="4" t="s">
        <v>434</v>
      </c>
      <c r="I1312" s="5" t="s">
        <v>1639</v>
      </c>
      <c r="J1312" s="5"/>
      <c r="K1312" s="22">
        <f>YEAR(Tabla1[[#This Row],[Fecha]])</f>
        <v>2022</v>
      </c>
      <c r="L1312" s="22">
        <f>MONTH(Tabla1[[#This Row],[Fecha]])</f>
        <v>8</v>
      </c>
    </row>
    <row r="1313" spans="2:12" hidden="1" x14ac:dyDescent="0.25">
      <c r="B1313" s="5" t="s">
        <v>309</v>
      </c>
      <c r="C1313" s="5" t="s">
        <v>371</v>
      </c>
      <c r="D1313" s="5" t="s">
        <v>131</v>
      </c>
      <c r="E1313" s="13">
        <v>44781</v>
      </c>
      <c r="F1313" s="4" t="s">
        <v>91</v>
      </c>
      <c r="G1313" s="4" t="s">
        <v>303</v>
      </c>
      <c r="H1313" s="4" t="s">
        <v>434</v>
      </c>
      <c r="I1313" s="5" t="s">
        <v>1669</v>
      </c>
      <c r="J1313" s="5"/>
      <c r="K1313" s="22">
        <f>YEAR(Tabla1[[#This Row],[Fecha]])</f>
        <v>2022</v>
      </c>
      <c r="L1313" s="22">
        <f>MONTH(Tabla1[[#This Row],[Fecha]])</f>
        <v>8</v>
      </c>
    </row>
    <row r="1314" spans="2:12" hidden="1" x14ac:dyDescent="0.25">
      <c r="B1314" s="5" t="s">
        <v>309</v>
      </c>
      <c r="C1314" s="5" t="s">
        <v>313</v>
      </c>
      <c r="D1314" s="5" t="s">
        <v>131</v>
      </c>
      <c r="E1314" s="13">
        <v>44777</v>
      </c>
      <c r="F1314" s="4" t="s">
        <v>91</v>
      </c>
      <c r="G1314" s="4" t="s">
        <v>303</v>
      </c>
      <c r="H1314" s="4" t="s">
        <v>431</v>
      </c>
      <c r="I1314" s="5" t="s">
        <v>1607</v>
      </c>
      <c r="J1314" s="5"/>
      <c r="K1314" s="22">
        <f>YEAR(Tabla1[[#This Row],[Fecha]])</f>
        <v>2022</v>
      </c>
      <c r="L1314" s="22">
        <f>MONTH(Tabla1[[#This Row],[Fecha]])</f>
        <v>8</v>
      </c>
    </row>
    <row r="1315" spans="2:12" hidden="1" x14ac:dyDescent="0.25">
      <c r="B1315" s="5" t="s">
        <v>309</v>
      </c>
      <c r="C1315" s="5" t="s">
        <v>320</v>
      </c>
      <c r="D1315" s="5" t="s">
        <v>131</v>
      </c>
      <c r="E1315" s="6">
        <v>44775</v>
      </c>
      <c r="F1315" s="4" t="s">
        <v>91</v>
      </c>
      <c r="G1315" s="4" t="s">
        <v>303</v>
      </c>
      <c r="H1315" s="4" t="s">
        <v>431</v>
      </c>
      <c r="I1315" s="11" t="s">
        <v>1404</v>
      </c>
      <c r="J1315" s="5"/>
      <c r="K1315" s="22">
        <f>YEAR(Tabla1[[#This Row],[Fecha]])</f>
        <v>2022</v>
      </c>
      <c r="L1315" s="22">
        <f>MONTH(Tabla1[[#This Row],[Fecha]])</f>
        <v>8</v>
      </c>
    </row>
    <row r="1316" spans="2:12" hidden="1" x14ac:dyDescent="0.25">
      <c r="B1316" s="5" t="s">
        <v>309</v>
      </c>
      <c r="C1316" s="5" t="s">
        <v>321</v>
      </c>
      <c r="D1316" s="5" t="s">
        <v>131</v>
      </c>
      <c r="E1316" s="6">
        <v>44775</v>
      </c>
      <c r="F1316" s="4" t="s">
        <v>91</v>
      </c>
      <c r="G1316" s="4" t="s">
        <v>303</v>
      </c>
      <c r="H1316" s="4" t="s">
        <v>431</v>
      </c>
      <c r="I1316" s="11" t="s">
        <v>1405</v>
      </c>
      <c r="J1316" s="5"/>
      <c r="K1316" s="22">
        <f>YEAR(Tabla1[[#This Row],[Fecha]])</f>
        <v>2022</v>
      </c>
      <c r="L1316" s="22">
        <f>MONTH(Tabla1[[#This Row],[Fecha]])</f>
        <v>8</v>
      </c>
    </row>
    <row r="1317" spans="2:12" hidden="1" x14ac:dyDescent="0.25">
      <c r="B1317" s="5" t="s">
        <v>309</v>
      </c>
      <c r="C1317" s="5" t="s">
        <v>313</v>
      </c>
      <c r="D1317" s="5" t="s">
        <v>131</v>
      </c>
      <c r="E1317" s="13">
        <v>44775</v>
      </c>
      <c r="F1317" s="4" t="s">
        <v>91</v>
      </c>
      <c r="G1317" s="4" t="s">
        <v>303</v>
      </c>
      <c r="H1317" s="4" t="s">
        <v>431</v>
      </c>
      <c r="I1317" s="5" t="s">
        <v>1605</v>
      </c>
      <c r="J1317" s="5"/>
      <c r="K1317" s="22">
        <f>YEAR(Tabla1[[#This Row],[Fecha]])</f>
        <v>2022</v>
      </c>
      <c r="L1317" s="22">
        <f>MONTH(Tabla1[[#This Row],[Fecha]])</f>
        <v>8</v>
      </c>
    </row>
    <row r="1318" spans="2:12" hidden="1" x14ac:dyDescent="0.25">
      <c r="B1318" s="5" t="s">
        <v>309</v>
      </c>
      <c r="C1318" s="5" t="s">
        <v>728</v>
      </c>
      <c r="D1318" s="5" t="s">
        <v>1084</v>
      </c>
      <c r="E1318" s="13">
        <v>44774</v>
      </c>
      <c r="F1318" s="4" t="s">
        <v>91</v>
      </c>
      <c r="G1318" s="4" t="s">
        <v>303</v>
      </c>
      <c r="H1318" s="4" t="s">
        <v>431</v>
      </c>
      <c r="I1318" s="5" t="s">
        <v>1646</v>
      </c>
      <c r="J1318" s="5"/>
      <c r="K1318" s="22">
        <f>YEAR(Tabla1[[#This Row],[Fecha]])</f>
        <v>2022</v>
      </c>
      <c r="L1318" s="22">
        <f>MONTH(Tabla1[[#This Row],[Fecha]])</f>
        <v>8</v>
      </c>
    </row>
    <row r="1319" spans="2:12" hidden="1" x14ac:dyDescent="0.25">
      <c r="B1319" s="5" t="s">
        <v>309</v>
      </c>
      <c r="C1319" s="5" t="s">
        <v>711</v>
      </c>
      <c r="D1319" s="5" t="s">
        <v>1084</v>
      </c>
      <c r="E1319" s="13">
        <v>44774</v>
      </c>
      <c r="F1319" s="4" t="s">
        <v>15</v>
      </c>
      <c r="G1319" s="4" t="s">
        <v>16</v>
      </c>
      <c r="H1319" s="4" t="s">
        <v>34</v>
      </c>
      <c r="I1319" s="5" t="s">
        <v>1647</v>
      </c>
      <c r="J1319" s="5"/>
      <c r="K1319" s="22">
        <f>YEAR(Tabla1[[#This Row],[Fecha]])</f>
        <v>2022</v>
      </c>
      <c r="L1319" s="22">
        <f>MONTH(Tabla1[[#This Row],[Fecha]])</f>
        <v>8</v>
      </c>
    </row>
    <row r="1320" spans="2:12" hidden="1" x14ac:dyDescent="0.25">
      <c r="B1320" s="5" t="s">
        <v>309</v>
      </c>
      <c r="C1320" s="5" t="s">
        <v>371</v>
      </c>
      <c r="D1320" s="5" t="s">
        <v>1084</v>
      </c>
      <c r="E1320" s="13">
        <v>44774</v>
      </c>
      <c r="F1320" s="4" t="s">
        <v>91</v>
      </c>
      <c r="G1320" s="4" t="s">
        <v>303</v>
      </c>
      <c r="H1320" s="4" t="s">
        <v>431</v>
      </c>
      <c r="I1320" s="5" t="s">
        <v>1668</v>
      </c>
      <c r="J1320" s="5"/>
      <c r="K1320" s="22">
        <f>YEAR(Tabla1[[#This Row],[Fecha]])</f>
        <v>2022</v>
      </c>
      <c r="L1320" s="22">
        <f>MONTH(Tabla1[[#This Row],[Fecha]])</f>
        <v>8</v>
      </c>
    </row>
    <row r="1321" spans="2:12" hidden="1" x14ac:dyDescent="0.25">
      <c r="B1321" s="5" t="s">
        <v>309</v>
      </c>
      <c r="C1321" s="5" t="s">
        <v>322</v>
      </c>
      <c r="D1321" s="5" t="s">
        <v>131</v>
      </c>
      <c r="E1321" s="6">
        <v>44770</v>
      </c>
      <c r="F1321" s="4" t="s">
        <v>15</v>
      </c>
      <c r="G1321" s="4" t="s">
        <v>24</v>
      </c>
      <c r="H1321" s="2" t="s">
        <v>333</v>
      </c>
      <c r="I1321" s="11" t="s">
        <v>1488</v>
      </c>
      <c r="J1321" s="5"/>
      <c r="K1321" s="22">
        <f>YEAR(Tabla1[[#This Row],[Fecha]])</f>
        <v>2022</v>
      </c>
      <c r="L1321" s="22">
        <f>MONTH(Tabla1[[#This Row],[Fecha]])</f>
        <v>7</v>
      </c>
    </row>
    <row r="1322" spans="2:12" hidden="1" x14ac:dyDescent="0.25">
      <c r="B1322" s="5" t="s">
        <v>309</v>
      </c>
      <c r="C1322" s="5" t="s">
        <v>313</v>
      </c>
      <c r="D1322" s="5" t="s">
        <v>131</v>
      </c>
      <c r="E1322" s="13">
        <v>44761</v>
      </c>
      <c r="F1322" s="4" t="s">
        <v>15</v>
      </c>
      <c r="G1322" s="4" t="s">
        <v>16</v>
      </c>
      <c r="H1322" s="4" t="s">
        <v>17</v>
      </c>
      <c r="I1322" s="5" t="s">
        <v>1606</v>
      </c>
      <c r="J1322" s="5"/>
      <c r="K1322" s="22">
        <f>YEAR(Tabla1[[#This Row],[Fecha]])</f>
        <v>2022</v>
      </c>
      <c r="L1322" s="22">
        <f>MONTH(Tabla1[[#This Row],[Fecha]])</f>
        <v>7</v>
      </c>
    </row>
    <row r="1323" spans="2:12" hidden="1" x14ac:dyDescent="0.25">
      <c r="B1323" s="5" t="s">
        <v>27</v>
      </c>
      <c r="C1323" s="5" t="s">
        <v>28</v>
      </c>
      <c r="D1323" s="5" t="s">
        <v>131</v>
      </c>
      <c r="E1323" s="6">
        <v>44755</v>
      </c>
      <c r="F1323" s="4" t="s">
        <v>15</v>
      </c>
      <c r="G1323" s="4" t="s">
        <v>16</v>
      </c>
      <c r="H1323" s="4" t="s">
        <v>74</v>
      </c>
      <c r="I1323" s="11" t="s">
        <v>1283</v>
      </c>
      <c r="J1323" s="5"/>
      <c r="K1323" s="22">
        <f>YEAR(Tabla1[[#This Row],[Fecha]])</f>
        <v>2022</v>
      </c>
      <c r="L1323" s="22">
        <f>MONTH(Tabla1[[#This Row],[Fecha]])</f>
        <v>7</v>
      </c>
    </row>
    <row r="1324" spans="2:12" hidden="1" x14ac:dyDescent="0.25">
      <c r="B1324" s="2" t="s">
        <v>309</v>
      </c>
      <c r="C1324" s="2" t="s">
        <v>310</v>
      </c>
      <c r="D1324" s="2" t="s">
        <v>11</v>
      </c>
      <c r="E1324" s="12">
        <v>44754</v>
      </c>
      <c r="F1324" s="4" t="s">
        <v>15</v>
      </c>
      <c r="G1324" s="4" t="s">
        <v>47</v>
      </c>
      <c r="H1324" s="4" t="s">
        <v>121</v>
      </c>
      <c r="I1324" s="2" t="s">
        <v>867</v>
      </c>
      <c r="J1324" s="2" t="s">
        <v>1568</v>
      </c>
      <c r="K1324" s="22">
        <f>YEAR(Tabla1[[#This Row],[Fecha]])</f>
        <v>2022</v>
      </c>
      <c r="L1324" s="22">
        <f>MONTH(Tabla1[[#This Row],[Fecha]])</f>
        <v>7</v>
      </c>
    </row>
    <row r="1325" spans="2:12" hidden="1" x14ac:dyDescent="0.25">
      <c r="B1325" s="2" t="s">
        <v>309</v>
      </c>
      <c r="C1325" s="2" t="s">
        <v>310</v>
      </c>
      <c r="D1325" s="2" t="s">
        <v>11</v>
      </c>
      <c r="E1325" s="12">
        <v>44753</v>
      </c>
      <c r="F1325" s="4" t="s">
        <v>15</v>
      </c>
      <c r="G1325" s="4" t="s">
        <v>47</v>
      </c>
      <c r="H1325" s="4" t="s">
        <v>121</v>
      </c>
      <c r="I1325" s="2" t="s">
        <v>1569</v>
      </c>
      <c r="J1325" s="2" t="s">
        <v>1570</v>
      </c>
      <c r="K1325" s="22">
        <f>YEAR(Tabla1[[#This Row],[Fecha]])</f>
        <v>2022</v>
      </c>
      <c r="L1325" s="22">
        <f>MONTH(Tabla1[[#This Row],[Fecha]])</f>
        <v>7</v>
      </c>
    </row>
    <row r="1326" spans="2:12" hidden="1" x14ac:dyDescent="0.25">
      <c r="B1326" s="5" t="s">
        <v>190</v>
      </c>
      <c r="C1326" s="5" t="s">
        <v>1057</v>
      </c>
      <c r="D1326" s="5" t="s">
        <v>131</v>
      </c>
      <c r="E1326" s="6">
        <v>44748</v>
      </c>
      <c r="F1326" s="4" t="s">
        <v>100</v>
      </c>
      <c r="G1326" s="4"/>
      <c r="H1326" s="2"/>
      <c r="I1326" s="11" t="s">
        <v>1170</v>
      </c>
      <c r="J1326" s="5"/>
      <c r="K1326" s="22">
        <f>YEAR(Tabla1[[#This Row],[Fecha]])</f>
        <v>2022</v>
      </c>
      <c r="L1326" s="22">
        <f>MONTH(Tabla1[[#This Row],[Fecha]])</f>
        <v>7</v>
      </c>
    </row>
    <row r="1327" spans="2:12" hidden="1" x14ac:dyDescent="0.25">
      <c r="B1327" s="5" t="s">
        <v>309</v>
      </c>
      <c r="C1327" s="5" t="s">
        <v>320</v>
      </c>
      <c r="D1327" s="5" t="s">
        <v>131</v>
      </c>
      <c r="E1327" s="6">
        <v>44742</v>
      </c>
      <c r="F1327" s="4" t="s">
        <v>15</v>
      </c>
      <c r="G1327" s="4" t="s">
        <v>24</v>
      </c>
      <c r="H1327" s="2" t="s">
        <v>37</v>
      </c>
      <c r="I1327" s="26" t="s">
        <v>1407</v>
      </c>
      <c r="J1327" s="5"/>
      <c r="K1327" s="22">
        <f>YEAR(Tabla1[[#This Row],[Fecha]])</f>
        <v>2022</v>
      </c>
      <c r="L1327" s="22">
        <f>MONTH(Tabla1[[#This Row],[Fecha]])</f>
        <v>6</v>
      </c>
    </row>
    <row r="1328" spans="2:12" hidden="1" x14ac:dyDescent="0.25">
      <c r="B1328" s="5" t="s">
        <v>309</v>
      </c>
      <c r="C1328" s="5" t="s">
        <v>321</v>
      </c>
      <c r="D1328" s="5" t="s">
        <v>131</v>
      </c>
      <c r="E1328" s="6">
        <v>44742</v>
      </c>
      <c r="F1328" s="11" t="s">
        <v>15</v>
      </c>
      <c r="G1328" s="11" t="s">
        <v>36</v>
      </c>
      <c r="H1328" s="11" t="s">
        <v>37</v>
      </c>
      <c r="I1328" s="11" t="s">
        <v>1408</v>
      </c>
      <c r="J1328" s="5"/>
      <c r="K1328" s="22">
        <f>YEAR(Tabla1[[#This Row],[Fecha]])</f>
        <v>2022</v>
      </c>
      <c r="L1328" s="22">
        <f>MONTH(Tabla1[[#This Row],[Fecha]])</f>
        <v>6</v>
      </c>
    </row>
    <row r="1329" spans="2:12" hidden="1" x14ac:dyDescent="0.25">
      <c r="B1329" s="5" t="s">
        <v>309</v>
      </c>
      <c r="C1329" s="5" t="s">
        <v>313</v>
      </c>
      <c r="D1329" s="5" t="s">
        <v>1084</v>
      </c>
      <c r="E1329" s="13">
        <v>44712</v>
      </c>
      <c r="F1329" s="4" t="s">
        <v>15</v>
      </c>
      <c r="G1329" s="4" t="s">
        <v>16</v>
      </c>
      <c r="H1329" s="4" t="s">
        <v>1775</v>
      </c>
      <c r="I1329" s="5" t="s">
        <v>1604</v>
      </c>
      <c r="J1329" s="5"/>
      <c r="K1329" s="22">
        <f>YEAR(Tabla1[[#This Row],[Fecha]])</f>
        <v>2022</v>
      </c>
      <c r="L1329" s="22">
        <f>MONTH(Tabla1[[#This Row],[Fecha]])</f>
        <v>5</v>
      </c>
    </row>
    <row r="1330" spans="2:12" hidden="1" x14ac:dyDescent="0.25">
      <c r="B1330" s="5" t="s">
        <v>309</v>
      </c>
      <c r="C1330" s="5" t="s">
        <v>321</v>
      </c>
      <c r="D1330" s="5" t="s">
        <v>1167</v>
      </c>
      <c r="E1330" s="6">
        <v>44699</v>
      </c>
      <c r="F1330" s="4" t="s">
        <v>91</v>
      </c>
      <c r="G1330" s="4" t="s">
        <v>36</v>
      </c>
      <c r="H1330" s="2" t="s">
        <v>1780</v>
      </c>
      <c r="I1330" s="26" t="s">
        <v>1409</v>
      </c>
      <c r="J1330" s="5" t="s">
        <v>1410</v>
      </c>
      <c r="K1330" s="22">
        <f>YEAR(Tabla1[[#This Row],[Fecha]])</f>
        <v>2022</v>
      </c>
      <c r="L1330" s="22">
        <f>MONTH(Tabla1[[#This Row],[Fecha]])</f>
        <v>5</v>
      </c>
    </row>
    <row r="1331" spans="2:12" hidden="1" x14ac:dyDescent="0.25">
      <c r="B1331" s="5" t="s">
        <v>309</v>
      </c>
      <c r="C1331" s="5" t="s">
        <v>371</v>
      </c>
      <c r="D1331" s="5" t="s">
        <v>1084</v>
      </c>
      <c r="E1331" s="13">
        <v>44699</v>
      </c>
      <c r="F1331" s="4" t="s">
        <v>91</v>
      </c>
      <c r="G1331" s="4" t="s">
        <v>16</v>
      </c>
      <c r="H1331" s="29" t="s">
        <v>1821</v>
      </c>
      <c r="I1331" s="36" t="s">
        <v>1667</v>
      </c>
      <c r="J1331" s="5"/>
      <c r="K1331" s="22">
        <f>YEAR(Tabla1[[#This Row],[Fecha]])</f>
        <v>2022</v>
      </c>
      <c r="L1331" s="22">
        <f>MONTH(Tabla1[[#This Row],[Fecha]])</f>
        <v>5</v>
      </c>
    </row>
    <row r="1332" spans="2:12" hidden="1" x14ac:dyDescent="0.25">
      <c r="B1332" s="5" t="s">
        <v>49</v>
      </c>
      <c r="C1332" s="5" t="s">
        <v>56</v>
      </c>
      <c r="D1332" s="5" t="s">
        <v>1084</v>
      </c>
      <c r="E1332" s="6">
        <v>44698</v>
      </c>
      <c r="F1332" s="4" t="s">
        <v>91</v>
      </c>
      <c r="G1332" s="4" t="s">
        <v>303</v>
      </c>
      <c r="H1332" s="20" t="s">
        <v>434</v>
      </c>
      <c r="I1332" s="11" t="s">
        <v>1148</v>
      </c>
      <c r="J1332" s="5"/>
      <c r="K1332" s="22">
        <f>YEAR(Tabla1[[#This Row],[Fecha]])</f>
        <v>2022</v>
      </c>
      <c r="L1332" s="22">
        <f>MONTH(Tabla1[[#This Row],[Fecha]])</f>
        <v>5</v>
      </c>
    </row>
    <row r="1333" spans="2:12" hidden="1" x14ac:dyDescent="0.25">
      <c r="B1333" s="5" t="s">
        <v>309</v>
      </c>
      <c r="C1333" s="5" t="s">
        <v>532</v>
      </c>
      <c r="D1333" s="5" t="s">
        <v>1084</v>
      </c>
      <c r="E1333" s="13">
        <v>44697</v>
      </c>
      <c r="F1333" s="4" t="s">
        <v>91</v>
      </c>
      <c r="G1333" s="2" t="s">
        <v>16</v>
      </c>
      <c r="H1333" s="2" t="s">
        <v>1775</v>
      </c>
      <c r="I1333" s="2" t="s">
        <v>1665</v>
      </c>
      <c r="J1333" s="7"/>
      <c r="K1333" s="15">
        <f>YEAR(Tabla1[[#This Row],[Fecha]])</f>
        <v>2022</v>
      </c>
      <c r="L1333" s="15">
        <f>MONTH(Tabla1[[#This Row],[Fecha]])</f>
        <v>5</v>
      </c>
    </row>
    <row r="1334" spans="2:12" hidden="1" x14ac:dyDescent="0.25">
      <c r="B1334" s="5" t="s">
        <v>27</v>
      </c>
      <c r="C1334" s="5" t="s">
        <v>28</v>
      </c>
      <c r="D1334" s="5" t="s">
        <v>1084</v>
      </c>
      <c r="E1334" s="6">
        <v>44694</v>
      </c>
      <c r="F1334" s="4" t="s">
        <v>15</v>
      </c>
      <c r="G1334" s="4" t="s">
        <v>16</v>
      </c>
      <c r="H1334" s="4" t="s">
        <v>41</v>
      </c>
      <c r="I1334" s="11" t="s">
        <v>1284</v>
      </c>
      <c r="J1334" s="5"/>
      <c r="K1334" s="22">
        <f>YEAR(Tabla1[[#This Row],[Fecha]])</f>
        <v>2022</v>
      </c>
      <c r="L1334" s="22">
        <f>MONTH(Tabla1[[#This Row],[Fecha]])</f>
        <v>5</v>
      </c>
    </row>
    <row r="1335" spans="2:12" hidden="1" x14ac:dyDescent="0.25">
      <c r="B1335" s="5" t="s">
        <v>49</v>
      </c>
      <c r="C1335" s="5" t="s">
        <v>60</v>
      </c>
      <c r="D1335" s="5" t="s">
        <v>131</v>
      </c>
      <c r="E1335" s="6">
        <v>44691</v>
      </c>
      <c r="F1335" s="4" t="s">
        <v>15</v>
      </c>
      <c r="G1335" s="4" t="s">
        <v>16</v>
      </c>
      <c r="H1335" s="4" t="s">
        <v>63</v>
      </c>
      <c r="I1335" s="5" t="s">
        <v>1146</v>
      </c>
      <c r="J1335" s="5"/>
      <c r="K1335" s="22">
        <f>YEAR(Tabla1[[#This Row],[Fecha]])</f>
        <v>2022</v>
      </c>
      <c r="L1335" s="22">
        <f>MONTH(Tabla1[[#This Row],[Fecha]])</f>
        <v>5</v>
      </c>
    </row>
    <row r="1336" spans="2:12" hidden="1" x14ac:dyDescent="0.25">
      <c r="B1336" s="5" t="s">
        <v>49</v>
      </c>
      <c r="C1336" s="5" t="s">
        <v>56</v>
      </c>
      <c r="D1336" s="5" t="s">
        <v>131</v>
      </c>
      <c r="E1336" s="6">
        <v>44691</v>
      </c>
      <c r="F1336" s="4" t="s">
        <v>91</v>
      </c>
      <c r="G1336" s="4" t="s">
        <v>24</v>
      </c>
      <c r="H1336" s="8" t="s">
        <v>118</v>
      </c>
      <c r="I1336" s="5" t="s">
        <v>1147</v>
      </c>
      <c r="J1336" s="7"/>
      <c r="K1336" s="15">
        <f>YEAR(Tabla1[[#This Row],[Fecha]])</f>
        <v>2022</v>
      </c>
      <c r="L1336" s="15">
        <f>MONTH(Tabla1[[#This Row],[Fecha]])</f>
        <v>5</v>
      </c>
    </row>
    <row r="1337" spans="2:12" hidden="1" x14ac:dyDescent="0.25">
      <c r="B1337" s="5" t="s">
        <v>49</v>
      </c>
      <c r="C1337" s="5" t="s">
        <v>117</v>
      </c>
      <c r="D1337" s="5" t="s">
        <v>131</v>
      </c>
      <c r="E1337" s="6">
        <v>44691</v>
      </c>
      <c r="F1337" s="4" t="s">
        <v>15</v>
      </c>
      <c r="G1337" s="4" t="s">
        <v>16</v>
      </c>
      <c r="H1337" s="2" t="s">
        <v>34</v>
      </c>
      <c r="I1337" s="11" t="s">
        <v>1150</v>
      </c>
      <c r="J1337" s="5"/>
      <c r="K1337" s="22">
        <f>YEAR(Tabla1[[#This Row],[Fecha]])</f>
        <v>2022</v>
      </c>
      <c r="L1337" s="22">
        <f>MONTH(Tabla1[[#This Row],[Fecha]])</f>
        <v>5</v>
      </c>
    </row>
    <row r="1338" spans="2:12" hidden="1" x14ac:dyDescent="0.25">
      <c r="B1338" s="5" t="s">
        <v>309</v>
      </c>
      <c r="C1338" s="5" t="s">
        <v>728</v>
      </c>
      <c r="D1338" s="5" t="s">
        <v>1084</v>
      </c>
      <c r="E1338" s="13">
        <v>44689</v>
      </c>
      <c r="F1338" s="4" t="s">
        <v>15</v>
      </c>
      <c r="G1338" s="4" t="s">
        <v>36</v>
      </c>
      <c r="H1338" s="4" t="s">
        <v>37</v>
      </c>
      <c r="I1338" s="5" t="s">
        <v>1635</v>
      </c>
      <c r="J1338" s="5"/>
      <c r="K1338" s="22">
        <f>YEAR(Tabla1[[#This Row],[Fecha]])</f>
        <v>2022</v>
      </c>
      <c r="L1338" s="22">
        <f>MONTH(Tabla1[[#This Row],[Fecha]])</f>
        <v>5</v>
      </c>
    </row>
    <row r="1339" spans="2:12" hidden="1" x14ac:dyDescent="0.25">
      <c r="B1339" s="5" t="s">
        <v>309</v>
      </c>
      <c r="C1339" s="5" t="s">
        <v>321</v>
      </c>
      <c r="D1339" s="5" t="s">
        <v>131</v>
      </c>
      <c r="E1339" s="6">
        <v>44686</v>
      </c>
      <c r="F1339" s="4" t="s">
        <v>15</v>
      </c>
      <c r="G1339" s="4" t="s">
        <v>24</v>
      </c>
      <c r="H1339" s="2" t="s">
        <v>51</v>
      </c>
      <c r="I1339" s="26" t="s">
        <v>1411</v>
      </c>
      <c r="J1339" s="5" t="s">
        <v>1412</v>
      </c>
      <c r="K1339" s="22">
        <f>YEAR(Tabla1[[#This Row],[Fecha]])</f>
        <v>2022</v>
      </c>
      <c r="L1339" s="22">
        <f>MONTH(Tabla1[[#This Row],[Fecha]])</f>
        <v>5</v>
      </c>
    </row>
    <row r="1340" spans="2:12" hidden="1" x14ac:dyDescent="0.25">
      <c r="B1340" s="5" t="s">
        <v>49</v>
      </c>
      <c r="C1340" s="5" t="s">
        <v>117</v>
      </c>
      <c r="D1340" s="5" t="s">
        <v>131</v>
      </c>
      <c r="E1340" s="6">
        <v>44684</v>
      </c>
      <c r="F1340" s="4" t="s">
        <v>91</v>
      </c>
      <c r="G1340" s="4" t="s">
        <v>303</v>
      </c>
      <c r="H1340" s="4" t="s">
        <v>431</v>
      </c>
      <c r="I1340" s="11" t="s">
        <v>1149</v>
      </c>
      <c r="J1340" s="5"/>
      <c r="K1340" s="22">
        <f>YEAR(Tabla1[[#This Row],[Fecha]])</f>
        <v>2022</v>
      </c>
      <c r="L1340" s="22">
        <f>MONTH(Tabla1[[#This Row],[Fecha]])</f>
        <v>5</v>
      </c>
    </row>
    <row r="1341" spans="2:12" hidden="1" x14ac:dyDescent="0.25">
      <c r="B1341" s="5" t="s">
        <v>309</v>
      </c>
      <c r="C1341" s="5" t="s">
        <v>1014</v>
      </c>
      <c r="D1341" s="5" t="s">
        <v>131</v>
      </c>
      <c r="E1341" s="6">
        <v>44677</v>
      </c>
      <c r="F1341" s="4" t="s">
        <v>15</v>
      </c>
      <c r="G1341" s="4" t="s">
        <v>16</v>
      </c>
      <c r="H1341" s="2" t="s">
        <v>1796</v>
      </c>
      <c r="I1341" s="26" t="s">
        <v>1526</v>
      </c>
      <c r="J1341" s="5"/>
      <c r="K1341" s="22">
        <f>YEAR(Tabla1[[#This Row],[Fecha]])</f>
        <v>2022</v>
      </c>
      <c r="L1341" s="22">
        <f>MONTH(Tabla1[[#This Row],[Fecha]])</f>
        <v>4</v>
      </c>
    </row>
    <row r="1342" spans="2:12" hidden="1" x14ac:dyDescent="0.25">
      <c r="B1342" s="2" t="s">
        <v>309</v>
      </c>
      <c r="C1342" s="2" t="s">
        <v>310</v>
      </c>
      <c r="D1342" s="2" t="s">
        <v>11</v>
      </c>
      <c r="E1342" s="12">
        <v>44673</v>
      </c>
      <c r="F1342" s="2" t="s">
        <v>15</v>
      </c>
      <c r="G1342" s="4" t="s">
        <v>47</v>
      </c>
      <c r="H1342" s="2" t="s">
        <v>333</v>
      </c>
      <c r="I1342" s="2" t="s">
        <v>1566</v>
      </c>
      <c r="J1342" s="2" t="s">
        <v>1567</v>
      </c>
      <c r="K1342" s="22">
        <f>YEAR(Tabla1[[#This Row],[Fecha]])</f>
        <v>2022</v>
      </c>
      <c r="L1342" s="22">
        <f>MONTH(Tabla1[[#This Row],[Fecha]])</f>
        <v>4</v>
      </c>
    </row>
    <row r="1343" spans="2:12" hidden="1" x14ac:dyDescent="0.25">
      <c r="B1343" s="5" t="s">
        <v>309</v>
      </c>
      <c r="C1343" s="5" t="s">
        <v>728</v>
      </c>
      <c r="D1343" s="5" t="s">
        <v>131</v>
      </c>
      <c r="E1343" s="13">
        <v>44673</v>
      </c>
      <c r="F1343" s="4" t="s">
        <v>91</v>
      </c>
      <c r="G1343" s="2" t="s">
        <v>16</v>
      </c>
      <c r="H1343" s="2" t="s">
        <v>1775</v>
      </c>
      <c r="I1343" s="2" t="s">
        <v>1632</v>
      </c>
      <c r="J1343" s="7"/>
      <c r="K1343" s="15">
        <f>YEAR(Tabla1[[#This Row],[Fecha]])</f>
        <v>2022</v>
      </c>
      <c r="L1343" s="15">
        <f>MONTH(Tabla1[[#This Row],[Fecha]])</f>
        <v>4</v>
      </c>
    </row>
    <row r="1344" spans="2:12" hidden="1" x14ac:dyDescent="0.25">
      <c r="B1344" s="5" t="s">
        <v>49</v>
      </c>
      <c r="C1344" s="5" t="s">
        <v>50</v>
      </c>
      <c r="D1344" s="5" t="s">
        <v>1084</v>
      </c>
      <c r="E1344" s="6">
        <v>44670</v>
      </c>
      <c r="F1344" s="4" t="s">
        <v>15</v>
      </c>
      <c r="G1344" s="4" t="s">
        <v>16</v>
      </c>
      <c r="H1344" s="4" t="s">
        <v>34</v>
      </c>
      <c r="I1344" s="11" t="s">
        <v>1151</v>
      </c>
      <c r="J1344" s="5"/>
      <c r="K1344" s="22">
        <f>YEAR(Tabla1[[#This Row],[Fecha]])</f>
        <v>2022</v>
      </c>
      <c r="L1344" s="22">
        <f>MONTH(Tabla1[[#This Row],[Fecha]])</f>
        <v>4</v>
      </c>
    </row>
    <row r="1345" spans="2:12" hidden="1" x14ac:dyDescent="0.25">
      <c r="B1345" s="5" t="s">
        <v>309</v>
      </c>
      <c r="C1345" s="5" t="s">
        <v>1014</v>
      </c>
      <c r="D1345" s="5" t="s">
        <v>131</v>
      </c>
      <c r="E1345" s="6">
        <v>44670</v>
      </c>
      <c r="F1345" s="2" t="s">
        <v>15</v>
      </c>
      <c r="G1345" s="4" t="s">
        <v>47</v>
      </c>
      <c r="H1345" s="2" t="s">
        <v>333</v>
      </c>
      <c r="I1345" s="11" t="s">
        <v>1524</v>
      </c>
      <c r="J1345" s="5"/>
      <c r="K1345" s="22">
        <f>YEAR(Tabla1[[#This Row],[Fecha]])</f>
        <v>2022</v>
      </c>
      <c r="L1345" s="22">
        <f>MONTH(Tabla1[[#This Row],[Fecha]])</f>
        <v>4</v>
      </c>
    </row>
    <row r="1346" spans="2:12" hidden="1" x14ac:dyDescent="0.25">
      <c r="B1346" s="5" t="s">
        <v>309</v>
      </c>
      <c r="C1346" s="5" t="s">
        <v>318</v>
      </c>
      <c r="D1346" s="5" t="s">
        <v>131</v>
      </c>
      <c r="E1346" s="6">
        <v>44670</v>
      </c>
      <c r="F1346" s="4" t="s">
        <v>91</v>
      </c>
      <c r="G1346" s="4" t="s">
        <v>24</v>
      </c>
      <c r="H1346" s="8" t="s">
        <v>118</v>
      </c>
      <c r="I1346" s="11" t="s">
        <v>1525</v>
      </c>
      <c r="J1346" s="7"/>
      <c r="K1346" s="15">
        <f>YEAR(Tabla1[[#This Row],[Fecha]])</f>
        <v>2022</v>
      </c>
      <c r="L1346" s="15">
        <f>MONTH(Tabla1[[#This Row],[Fecha]])</f>
        <v>4</v>
      </c>
    </row>
    <row r="1347" spans="2:12" hidden="1" x14ac:dyDescent="0.25">
      <c r="B1347" s="5" t="s">
        <v>190</v>
      </c>
      <c r="C1347" s="5" t="s">
        <v>287</v>
      </c>
      <c r="D1347" s="5" t="s">
        <v>131</v>
      </c>
      <c r="E1347" s="6">
        <v>44665</v>
      </c>
      <c r="F1347" s="4" t="s">
        <v>15</v>
      </c>
      <c r="G1347" s="4" t="s">
        <v>16</v>
      </c>
      <c r="H1347" s="2" t="s">
        <v>17</v>
      </c>
      <c r="I1347" s="11" t="s">
        <v>1171</v>
      </c>
      <c r="J1347" s="5"/>
      <c r="K1347" s="22">
        <f>YEAR(Tabla1[[#This Row],[Fecha]])</f>
        <v>2022</v>
      </c>
      <c r="L1347" s="22">
        <f>MONTH(Tabla1[[#This Row],[Fecha]])</f>
        <v>4</v>
      </c>
    </row>
    <row r="1348" spans="2:12" hidden="1" x14ac:dyDescent="0.25">
      <c r="B1348" s="5" t="s">
        <v>32</v>
      </c>
      <c r="C1348" s="5" t="s">
        <v>33</v>
      </c>
      <c r="D1348" s="5" t="s">
        <v>131</v>
      </c>
      <c r="E1348" s="6">
        <v>44665</v>
      </c>
      <c r="F1348" s="4" t="s">
        <v>15</v>
      </c>
      <c r="G1348" s="4" t="s">
        <v>16</v>
      </c>
      <c r="H1348" s="2" t="s">
        <v>34</v>
      </c>
      <c r="I1348" s="26" t="s">
        <v>1352</v>
      </c>
      <c r="J1348" s="5"/>
      <c r="K1348" s="22">
        <f>YEAR(Tabla1[[#This Row],[Fecha]])</f>
        <v>2022</v>
      </c>
      <c r="L1348" s="22">
        <f>MONTH(Tabla1[[#This Row],[Fecha]])</f>
        <v>4</v>
      </c>
    </row>
    <row r="1349" spans="2:12" ht="15.75" hidden="1" thickBot="1" x14ac:dyDescent="0.3">
      <c r="B1349" s="5" t="s">
        <v>309</v>
      </c>
      <c r="C1349" s="5" t="s">
        <v>532</v>
      </c>
      <c r="D1349" s="5" t="s">
        <v>131</v>
      </c>
      <c r="E1349" s="13">
        <v>44665</v>
      </c>
      <c r="F1349" s="4" t="s">
        <v>91</v>
      </c>
      <c r="G1349" s="40" t="s">
        <v>36</v>
      </c>
      <c r="H1349" s="41" t="s">
        <v>1785</v>
      </c>
      <c r="I1349" s="5" t="s">
        <v>1666</v>
      </c>
      <c r="J1349" s="5"/>
      <c r="K1349" s="22">
        <f>YEAR(Tabla1[[#This Row],[Fecha]])</f>
        <v>2022</v>
      </c>
      <c r="L1349" s="22">
        <f>MONTH(Tabla1[[#This Row],[Fecha]])</f>
        <v>4</v>
      </c>
    </row>
    <row r="1350" spans="2:12" hidden="1" x14ac:dyDescent="0.25">
      <c r="B1350" s="5" t="s">
        <v>49</v>
      </c>
      <c r="C1350" s="5" t="s">
        <v>53</v>
      </c>
      <c r="D1350" s="5" t="s">
        <v>1084</v>
      </c>
      <c r="E1350" s="6">
        <v>44659</v>
      </c>
      <c r="F1350" s="4" t="s">
        <v>91</v>
      </c>
      <c r="G1350" s="4" t="s">
        <v>303</v>
      </c>
      <c r="H1350" s="4" t="s">
        <v>434</v>
      </c>
      <c r="I1350" s="5" t="s">
        <v>1133</v>
      </c>
      <c r="J1350" s="5"/>
      <c r="K1350" s="22">
        <f>YEAR(Tabla1[[#This Row],[Fecha]])</f>
        <v>2022</v>
      </c>
      <c r="L1350" s="22">
        <f>MONTH(Tabla1[[#This Row],[Fecha]])</f>
        <v>4</v>
      </c>
    </row>
    <row r="1351" spans="2:12" hidden="1" x14ac:dyDescent="0.25">
      <c r="B1351" s="5" t="s">
        <v>27</v>
      </c>
      <c r="C1351" s="5" t="s">
        <v>28</v>
      </c>
      <c r="D1351" s="5" t="s">
        <v>131</v>
      </c>
      <c r="E1351" s="6">
        <v>44659</v>
      </c>
      <c r="F1351" s="11" t="s">
        <v>91</v>
      </c>
      <c r="G1351" s="11" t="s">
        <v>24</v>
      </c>
      <c r="H1351" s="11" t="s">
        <v>1780</v>
      </c>
      <c r="I1351" s="11" t="s">
        <v>1285</v>
      </c>
      <c r="J1351" s="5"/>
      <c r="K1351" s="22">
        <f>YEAR(Tabla1[[#This Row],[Fecha]])</f>
        <v>2022</v>
      </c>
      <c r="L1351" s="22">
        <f>MONTH(Tabla1[[#This Row],[Fecha]])</f>
        <v>4</v>
      </c>
    </row>
    <row r="1352" spans="2:12" hidden="1" x14ac:dyDescent="0.25">
      <c r="B1352" s="5" t="s">
        <v>309</v>
      </c>
      <c r="C1352" s="5" t="s">
        <v>321</v>
      </c>
      <c r="D1352" s="5" t="s">
        <v>1167</v>
      </c>
      <c r="E1352" s="6">
        <v>44658</v>
      </c>
      <c r="F1352" s="4" t="s">
        <v>91</v>
      </c>
      <c r="G1352" s="2" t="s">
        <v>16</v>
      </c>
      <c r="H1352" s="2" t="s">
        <v>17</v>
      </c>
      <c r="I1352" s="2" t="s">
        <v>1406</v>
      </c>
      <c r="J1352" s="7"/>
      <c r="K1352" s="15">
        <f>YEAR(Tabla1[[#This Row],[Fecha]])</f>
        <v>2022</v>
      </c>
      <c r="L1352" s="15">
        <f>MONTH(Tabla1[[#This Row],[Fecha]])</f>
        <v>4</v>
      </c>
    </row>
    <row r="1353" spans="2:12" hidden="1" x14ac:dyDescent="0.25">
      <c r="B1353" s="5" t="s">
        <v>49</v>
      </c>
      <c r="C1353" s="5" t="s">
        <v>117</v>
      </c>
      <c r="D1353" s="5" t="s">
        <v>131</v>
      </c>
      <c r="E1353" s="6">
        <v>44657</v>
      </c>
      <c r="F1353" s="4" t="s">
        <v>91</v>
      </c>
      <c r="G1353" s="4" t="s">
        <v>303</v>
      </c>
      <c r="H1353" s="4" t="s">
        <v>434</v>
      </c>
      <c r="I1353" s="5" t="s">
        <v>1122</v>
      </c>
      <c r="J1353" s="5"/>
      <c r="K1353" s="22">
        <f>YEAR(Tabla1[[#This Row],[Fecha]])</f>
        <v>2022</v>
      </c>
      <c r="L1353" s="22">
        <f>MONTH(Tabla1[[#This Row],[Fecha]])</f>
        <v>4</v>
      </c>
    </row>
    <row r="1354" spans="2:12" hidden="1" x14ac:dyDescent="0.25">
      <c r="B1354" s="5" t="s">
        <v>49</v>
      </c>
      <c r="C1354" s="5" t="s">
        <v>117</v>
      </c>
      <c r="D1354" s="5" t="s">
        <v>1084</v>
      </c>
      <c r="E1354" s="6">
        <v>44657</v>
      </c>
      <c r="F1354" s="4" t="s">
        <v>91</v>
      </c>
      <c r="G1354" s="4" t="s">
        <v>303</v>
      </c>
      <c r="H1354" s="4" t="s">
        <v>434</v>
      </c>
      <c r="I1354" s="5" t="s">
        <v>1126</v>
      </c>
      <c r="J1354" s="5"/>
      <c r="K1354" s="22">
        <f>YEAR(Tabla1[[#This Row],[Fecha]])</f>
        <v>2022</v>
      </c>
      <c r="L1354" s="22">
        <f>MONTH(Tabla1[[#This Row],[Fecha]])</f>
        <v>4</v>
      </c>
    </row>
    <row r="1355" spans="2:12" hidden="1" x14ac:dyDescent="0.25">
      <c r="B1355" s="5" t="s">
        <v>49</v>
      </c>
      <c r="C1355" s="5" t="s">
        <v>117</v>
      </c>
      <c r="D1355" s="5" t="s">
        <v>1084</v>
      </c>
      <c r="E1355" s="6">
        <v>44657</v>
      </c>
      <c r="F1355" s="4" t="s">
        <v>91</v>
      </c>
      <c r="G1355" s="4" t="s">
        <v>303</v>
      </c>
      <c r="H1355" s="4" t="s">
        <v>434</v>
      </c>
      <c r="I1355" s="5" t="s">
        <v>1127</v>
      </c>
      <c r="J1355" s="5"/>
      <c r="K1355" s="22">
        <f>YEAR(Tabla1[[#This Row],[Fecha]])</f>
        <v>2022</v>
      </c>
      <c r="L1355" s="22">
        <f>MONTH(Tabla1[[#This Row],[Fecha]])</f>
        <v>4</v>
      </c>
    </row>
    <row r="1356" spans="2:12" hidden="1" x14ac:dyDescent="0.25">
      <c r="B1356" s="5" t="s">
        <v>49</v>
      </c>
      <c r="C1356" s="5" t="s">
        <v>117</v>
      </c>
      <c r="D1356" s="5" t="s">
        <v>131</v>
      </c>
      <c r="E1356" s="6">
        <v>44655</v>
      </c>
      <c r="F1356" s="4" t="s">
        <v>91</v>
      </c>
      <c r="G1356" s="4" t="s">
        <v>303</v>
      </c>
      <c r="H1356" s="4" t="s">
        <v>431</v>
      </c>
      <c r="I1356" s="5" t="s">
        <v>1121</v>
      </c>
      <c r="J1356" s="5"/>
      <c r="K1356" s="22">
        <f>YEAR(Tabla1[[#This Row],[Fecha]])</f>
        <v>2022</v>
      </c>
      <c r="L1356" s="22">
        <f>MONTH(Tabla1[[#This Row],[Fecha]])</f>
        <v>4</v>
      </c>
    </row>
    <row r="1357" spans="2:12" hidden="1" x14ac:dyDescent="0.25">
      <c r="B1357" s="5" t="s">
        <v>49</v>
      </c>
      <c r="C1357" s="5" t="s">
        <v>53</v>
      </c>
      <c r="D1357" s="5" t="s">
        <v>1084</v>
      </c>
      <c r="E1357" s="6">
        <v>44655</v>
      </c>
      <c r="F1357" s="4" t="s">
        <v>91</v>
      </c>
      <c r="G1357" s="4" t="s">
        <v>303</v>
      </c>
      <c r="H1357" s="4" t="s">
        <v>431</v>
      </c>
      <c r="I1357" s="5" t="s">
        <v>1130</v>
      </c>
      <c r="J1357" s="5"/>
      <c r="K1357" s="22">
        <f>YEAR(Tabla1[[#This Row],[Fecha]])</f>
        <v>2022</v>
      </c>
      <c r="L1357" s="22">
        <f>MONTH(Tabla1[[#This Row],[Fecha]])</f>
        <v>4</v>
      </c>
    </row>
    <row r="1358" spans="2:12" hidden="1" x14ac:dyDescent="0.25">
      <c r="B1358" s="5" t="s">
        <v>49</v>
      </c>
      <c r="C1358" s="5" t="s">
        <v>53</v>
      </c>
      <c r="D1358" s="5" t="s">
        <v>1084</v>
      </c>
      <c r="E1358" s="6">
        <v>44654</v>
      </c>
      <c r="F1358" s="4" t="s">
        <v>91</v>
      </c>
      <c r="G1358" s="4" t="s">
        <v>303</v>
      </c>
      <c r="H1358" s="4" t="s">
        <v>434</v>
      </c>
      <c r="I1358" s="5" t="s">
        <v>1131</v>
      </c>
      <c r="J1358" s="5"/>
      <c r="K1358" s="22">
        <f>YEAR(Tabla1[[#This Row],[Fecha]])</f>
        <v>2022</v>
      </c>
      <c r="L1358" s="22">
        <f>MONTH(Tabla1[[#This Row],[Fecha]])</f>
        <v>4</v>
      </c>
    </row>
    <row r="1359" spans="2:12" hidden="1" x14ac:dyDescent="0.25">
      <c r="B1359" s="5" t="s">
        <v>49</v>
      </c>
      <c r="C1359" s="5" t="s">
        <v>176</v>
      </c>
      <c r="D1359" s="5" t="s">
        <v>131</v>
      </c>
      <c r="E1359" s="6">
        <v>44652</v>
      </c>
      <c r="F1359" s="4" t="s">
        <v>91</v>
      </c>
      <c r="G1359" s="4" t="s">
        <v>303</v>
      </c>
      <c r="H1359" s="4" t="s">
        <v>434</v>
      </c>
      <c r="I1359" s="5" t="s">
        <v>1117</v>
      </c>
      <c r="J1359" s="5"/>
      <c r="K1359" s="22">
        <f>YEAR(Tabla1[[#This Row],[Fecha]])</f>
        <v>2022</v>
      </c>
      <c r="L1359" s="22">
        <f>MONTH(Tabla1[[#This Row],[Fecha]])</f>
        <v>4</v>
      </c>
    </row>
    <row r="1360" spans="2:12" hidden="1" x14ac:dyDescent="0.25">
      <c r="B1360" s="5" t="s">
        <v>49</v>
      </c>
      <c r="C1360" s="5" t="s">
        <v>117</v>
      </c>
      <c r="D1360" s="5" t="s">
        <v>1084</v>
      </c>
      <c r="E1360" s="6">
        <v>44652</v>
      </c>
      <c r="F1360" s="4" t="s">
        <v>91</v>
      </c>
      <c r="G1360" s="4" t="s">
        <v>303</v>
      </c>
      <c r="H1360" s="4" t="s">
        <v>431</v>
      </c>
      <c r="I1360" s="5" t="s">
        <v>1124</v>
      </c>
      <c r="J1360" s="5"/>
      <c r="K1360" s="22">
        <f>YEAR(Tabla1[[#This Row],[Fecha]])</f>
        <v>2022</v>
      </c>
      <c r="L1360" s="22">
        <f>MONTH(Tabla1[[#This Row],[Fecha]])</f>
        <v>4</v>
      </c>
    </row>
    <row r="1361" spans="2:12" hidden="1" x14ac:dyDescent="0.25">
      <c r="B1361" s="5" t="s">
        <v>49</v>
      </c>
      <c r="C1361" s="5" t="s">
        <v>111</v>
      </c>
      <c r="D1361" s="5" t="s">
        <v>1084</v>
      </c>
      <c r="E1361" s="6">
        <v>44652</v>
      </c>
      <c r="F1361" s="4" t="s">
        <v>91</v>
      </c>
      <c r="G1361" s="4" t="s">
        <v>303</v>
      </c>
      <c r="H1361" s="4" t="s">
        <v>434</v>
      </c>
      <c r="I1361" s="5" t="s">
        <v>1135</v>
      </c>
      <c r="J1361" s="5"/>
      <c r="K1361" s="22">
        <f>YEAR(Tabla1[[#This Row],[Fecha]])</f>
        <v>2022</v>
      </c>
      <c r="L1361" s="22">
        <f>MONTH(Tabla1[[#This Row],[Fecha]])</f>
        <v>4</v>
      </c>
    </row>
    <row r="1362" spans="2:12" hidden="1" x14ac:dyDescent="0.25">
      <c r="B1362" s="5" t="s">
        <v>49</v>
      </c>
      <c r="C1362" s="5" t="s">
        <v>117</v>
      </c>
      <c r="D1362" s="5" t="s">
        <v>131</v>
      </c>
      <c r="E1362" s="6">
        <v>44650</v>
      </c>
      <c r="F1362" s="4" t="s">
        <v>91</v>
      </c>
      <c r="G1362" s="4" t="s">
        <v>303</v>
      </c>
      <c r="H1362" s="4" t="s">
        <v>434</v>
      </c>
      <c r="I1362" s="5" t="s">
        <v>1123</v>
      </c>
      <c r="J1362" s="5"/>
      <c r="K1362" s="22">
        <f>YEAR(Tabla1[[#This Row],[Fecha]])</f>
        <v>2022</v>
      </c>
      <c r="L1362" s="22">
        <f>MONTH(Tabla1[[#This Row],[Fecha]])</f>
        <v>3</v>
      </c>
    </row>
    <row r="1363" spans="2:12" hidden="1" x14ac:dyDescent="0.25">
      <c r="B1363" s="5" t="s">
        <v>49</v>
      </c>
      <c r="C1363" s="5" t="s">
        <v>111</v>
      </c>
      <c r="D1363" s="5" t="s">
        <v>1084</v>
      </c>
      <c r="E1363" s="6">
        <v>44650</v>
      </c>
      <c r="F1363" s="4" t="s">
        <v>91</v>
      </c>
      <c r="G1363" s="4" t="s">
        <v>303</v>
      </c>
      <c r="H1363" s="4" t="s">
        <v>434</v>
      </c>
      <c r="I1363" s="5" t="s">
        <v>1136</v>
      </c>
      <c r="J1363" s="5"/>
      <c r="K1363" s="22">
        <f>YEAR(Tabla1[[#This Row],[Fecha]])</f>
        <v>2022</v>
      </c>
      <c r="L1363" s="22">
        <f>MONTH(Tabla1[[#This Row],[Fecha]])</f>
        <v>3</v>
      </c>
    </row>
    <row r="1364" spans="2:12" hidden="1" x14ac:dyDescent="0.25">
      <c r="B1364" s="5" t="s">
        <v>49</v>
      </c>
      <c r="C1364" s="5" t="s">
        <v>176</v>
      </c>
      <c r="D1364" s="5" t="s">
        <v>131</v>
      </c>
      <c r="E1364" s="6">
        <v>44648</v>
      </c>
      <c r="F1364" s="4" t="s">
        <v>91</v>
      </c>
      <c r="G1364" s="4" t="s">
        <v>303</v>
      </c>
      <c r="H1364" s="4" t="s">
        <v>431</v>
      </c>
      <c r="I1364" s="5" t="s">
        <v>1119</v>
      </c>
      <c r="J1364" s="5"/>
      <c r="K1364" s="22">
        <f>YEAR(Tabla1[[#This Row],[Fecha]])</f>
        <v>2022</v>
      </c>
      <c r="L1364" s="22">
        <f>MONTH(Tabla1[[#This Row],[Fecha]])</f>
        <v>3</v>
      </c>
    </row>
    <row r="1365" spans="2:12" hidden="1" x14ac:dyDescent="0.25">
      <c r="B1365" s="5" t="s">
        <v>49</v>
      </c>
      <c r="C1365" s="5" t="s">
        <v>117</v>
      </c>
      <c r="D1365" s="5" t="s">
        <v>1084</v>
      </c>
      <c r="E1365" s="6">
        <v>44648</v>
      </c>
      <c r="F1365" s="4" t="s">
        <v>91</v>
      </c>
      <c r="G1365" s="4" t="s">
        <v>303</v>
      </c>
      <c r="H1365" s="4" t="s">
        <v>431</v>
      </c>
      <c r="I1365" s="5" t="s">
        <v>1125</v>
      </c>
      <c r="J1365" s="5"/>
      <c r="K1365" s="22">
        <f>YEAR(Tabla1[[#This Row],[Fecha]])</f>
        <v>2022</v>
      </c>
      <c r="L1365" s="22">
        <f>MONTH(Tabla1[[#This Row],[Fecha]])</f>
        <v>3</v>
      </c>
    </row>
    <row r="1366" spans="2:12" hidden="1" x14ac:dyDescent="0.25">
      <c r="B1366" s="5" t="s">
        <v>49</v>
      </c>
      <c r="C1366" s="5" t="s">
        <v>53</v>
      </c>
      <c r="D1366" s="5" t="s">
        <v>1084</v>
      </c>
      <c r="E1366" s="6">
        <v>44648</v>
      </c>
      <c r="F1366" s="4" t="s">
        <v>91</v>
      </c>
      <c r="G1366" s="4" t="s">
        <v>303</v>
      </c>
      <c r="H1366" s="4" t="s">
        <v>431</v>
      </c>
      <c r="I1366" s="5" t="s">
        <v>1132</v>
      </c>
      <c r="J1366" s="5"/>
      <c r="K1366" s="22">
        <f>YEAR(Tabla1[[#This Row],[Fecha]])</f>
        <v>2022</v>
      </c>
      <c r="L1366" s="22">
        <f>MONTH(Tabla1[[#This Row],[Fecha]])</f>
        <v>3</v>
      </c>
    </row>
    <row r="1367" spans="2:12" ht="60" hidden="1" x14ac:dyDescent="0.25">
      <c r="B1367" s="5" t="s">
        <v>309</v>
      </c>
      <c r="C1367" s="5" t="s">
        <v>371</v>
      </c>
      <c r="D1367" s="5" t="s">
        <v>1084</v>
      </c>
      <c r="E1367" s="13">
        <v>44645</v>
      </c>
      <c r="F1367" s="4" t="s">
        <v>91</v>
      </c>
      <c r="G1367" s="4" t="s">
        <v>36</v>
      </c>
      <c r="H1367" s="4" t="s">
        <v>1777</v>
      </c>
      <c r="I1367" s="23" t="s">
        <v>1787</v>
      </c>
      <c r="J1367" s="5"/>
      <c r="K1367" s="22">
        <f>YEAR(Tabla1[[#This Row],[Fecha]])</f>
        <v>2022</v>
      </c>
      <c r="L1367" s="22">
        <f>MONTH(Tabla1[[#This Row],[Fecha]])</f>
        <v>3</v>
      </c>
    </row>
    <row r="1368" spans="2:12" hidden="1" x14ac:dyDescent="0.25">
      <c r="B1368" s="5" t="s">
        <v>49</v>
      </c>
      <c r="C1368" s="5" t="s">
        <v>176</v>
      </c>
      <c r="D1368" s="5" t="s">
        <v>131</v>
      </c>
      <c r="E1368" s="6">
        <v>44644</v>
      </c>
      <c r="F1368" s="4" t="s">
        <v>91</v>
      </c>
      <c r="G1368" s="4" t="s">
        <v>16</v>
      </c>
      <c r="H1368" s="8" t="s">
        <v>118</v>
      </c>
      <c r="I1368" s="5" t="s">
        <v>1120</v>
      </c>
      <c r="J1368" s="7"/>
      <c r="K1368" s="15">
        <f>YEAR(Tabla1[[#This Row],[Fecha]])</f>
        <v>2022</v>
      </c>
      <c r="L1368" s="15">
        <f>MONTH(Tabla1[[#This Row],[Fecha]])</f>
        <v>3</v>
      </c>
    </row>
    <row r="1369" spans="2:12" hidden="1" x14ac:dyDescent="0.25">
      <c r="B1369" s="5" t="s">
        <v>49</v>
      </c>
      <c r="C1369" s="5" t="s">
        <v>57</v>
      </c>
      <c r="D1369" s="5" t="s">
        <v>1084</v>
      </c>
      <c r="E1369" s="6">
        <v>44644</v>
      </c>
      <c r="F1369" s="4" t="s">
        <v>91</v>
      </c>
      <c r="G1369" s="4" t="s">
        <v>303</v>
      </c>
      <c r="H1369" s="29" t="s">
        <v>434</v>
      </c>
      <c r="I1369" s="5" t="s">
        <v>1138</v>
      </c>
      <c r="J1369" s="7"/>
      <c r="K1369" s="15">
        <f>YEAR(Tabla1[[#This Row],[Fecha]])</f>
        <v>2022</v>
      </c>
      <c r="L1369" s="15">
        <f>MONTH(Tabla1[[#This Row],[Fecha]])</f>
        <v>3</v>
      </c>
    </row>
    <row r="1370" spans="2:12" hidden="1" x14ac:dyDescent="0.25">
      <c r="B1370" s="5" t="s">
        <v>49</v>
      </c>
      <c r="C1370" s="5" t="s">
        <v>66</v>
      </c>
      <c r="D1370" s="5" t="s">
        <v>1084</v>
      </c>
      <c r="E1370" s="6">
        <v>44644</v>
      </c>
      <c r="F1370" s="4" t="s">
        <v>91</v>
      </c>
      <c r="G1370" s="4" t="s">
        <v>16</v>
      </c>
      <c r="H1370" s="8" t="s">
        <v>34</v>
      </c>
      <c r="I1370" s="5" t="s">
        <v>1144</v>
      </c>
      <c r="J1370" s="7"/>
      <c r="K1370" s="15">
        <f>YEAR(Tabla1[[#This Row],[Fecha]])</f>
        <v>2022</v>
      </c>
      <c r="L1370" s="15">
        <f>MONTH(Tabla1[[#This Row],[Fecha]])</f>
        <v>3</v>
      </c>
    </row>
    <row r="1371" spans="2:12" hidden="1" x14ac:dyDescent="0.25">
      <c r="B1371" s="5" t="s">
        <v>49</v>
      </c>
      <c r="C1371" s="5" t="s">
        <v>66</v>
      </c>
      <c r="D1371" s="5" t="s">
        <v>131</v>
      </c>
      <c r="E1371" s="6">
        <v>44644</v>
      </c>
      <c r="F1371" s="4" t="s">
        <v>91</v>
      </c>
      <c r="G1371" s="4" t="s">
        <v>303</v>
      </c>
      <c r="H1371" s="4" t="s">
        <v>434</v>
      </c>
      <c r="I1371" s="5" t="s">
        <v>1145</v>
      </c>
      <c r="J1371" s="5"/>
      <c r="K1371" s="22">
        <f>YEAR(Tabla1[[#This Row],[Fecha]])</f>
        <v>2022</v>
      </c>
      <c r="L1371" s="22">
        <f>MONTH(Tabla1[[#This Row],[Fecha]])</f>
        <v>3</v>
      </c>
    </row>
    <row r="1372" spans="2:12" hidden="1" x14ac:dyDescent="0.25">
      <c r="B1372" s="5" t="s">
        <v>27</v>
      </c>
      <c r="C1372" s="5" t="s">
        <v>28</v>
      </c>
      <c r="D1372" s="5" t="s">
        <v>1084</v>
      </c>
      <c r="E1372" s="6">
        <v>44644</v>
      </c>
      <c r="F1372" s="4" t="s">
        <v>15</v>
      </c>
      <c r="G1372" s="4" t="s">
        <v>16</v>
      </c>
      <c r="H1372" s="4" t="s">
        <v>34</v>
      </c>
      <c r="I1372" s="11" t="s">
        <v>1286</v>
      </c>
      <c r="J1372" s="5"/>
      <c r="K1372" s="22">
        <f>YEAR(Tabla1[[#This Row],[Fecha]])</f>
        <v>2022</v>
      </c>
      <c r="L1372" s="22">
        <f>MONTH(Tabla1[[#This Row],[Fecha]])</f>
        <v>3</v>
      </c>
    </row>
    <row r="1373" spans="2:12" hidden="1" x14ac:dyDescent="0.25">
      <c r="B1373" s="5" t="s">
        <v>49</v>
      </c>
      <c r="C1373" s="5" t="s">
        <v>117</v>
      </c>
      <c r="D1373" s="5" t="s">
        <v>1084</v>
      </c>
      <c r="E1373" s="6">
        <v>44643</v>
      </c>
      <c r="F1373" s="4" t="s">
        <v>91</v>
      </c>
      <c r="G1373" s="4" t="s">
        <v>24</v>
      </c>
      <c r="H1373" s="8" t="s">
        <v>118</v>
      </c>
      <c r="I1373" s="5" t="s">
        <v>1129</v>
      </c>
      <c r="J1373" s="7"/>
      <c r="K1373" s="15">
        <f>YEAR(Tabla1[[#This Row],[Fecha]])</f>
        <v>2022</v>
      </c>
      <c r="L1373" s="15">
        <f>MONTH(Tabla1[[#This Row],[Fecha]])</f>
        <v>3</v>
      </c>
    </row>
    <row r="1374" spans="2:12" hidden="1" x14ac:dyDescent="0.25">
      <c r="B1374" s="5" t="s">
        <v>49</v>
      </c>
      <c r="C1374" s="5" t="s">
        <v>57</v>
      </c>
      <c r="D1374" s="5" t="s">
        <v>1084</v>
      </c>
      <c r="E1374" s="6">
        <v>44643</v>
      </c>
      <c r="F1374" s="4" t="s">
        <v>91</v>
      </c>
      <c r="G1374" s="4" t="s">
        <v>24</v>
      </c>
      <c r="H1374" s="8" t="s">
        <v>118</v>
      </c>
      <c r="I1374" s="11" t="s">
        <v>1139</v>
      </c>
      <c r="J1374" s="7"/>
      <c r="K1374" s="15">
        <f>YEAR(Tabla1[[#This Row],[Fecha]])</f>
        <v>2022</v>
      </c>
      <c r="L1374" s="15">
        <f>MONTH(Tabla1[[#This Row],[Fecha]])</f>
        <v>3</v>
      </c>
    </row>
    <row r="1375" spans="2:12" hidden="1" x14ac:dyDescent="0.25">
      <c r="B1375" s="5" t="s">
        <v>49</v>
      </c>
      <c r="C1375" s="5" t="s">
        <v>115</v>
      </c>
      <c r="D1375" s="5" t="s">
        <v>1084</v>
      </c>
      <c r="E1375" s="6">
        <v>44643</v>
      </c>
      <c r="F1375" s="4" t="s">
        <v>91</v>
      </c>
      <c r="G1375" s="4" t="s">
        <v>24</v>
      </c>
      <c r="H1375" s="8" t="s">
        <v>118</v>
      </c>
      <c r="I1375" s="11" t="s">
        <v>1142</v>
      </c>
      <c r="J1375" s="7"/>
      <c r="K1375" s="15">
        <f>YEAR(Tabla1[[#This Row],[Fecha]])</f>
        <v>2022</v>
      </c>
      <c r="L1375" s="15">
        <f>MONTH(Tabla1[[#This Row],[Fecha]])</f>
        <v>3</v>
      </c>
    </row>
    <row r="1376" spans="2:12" hidden="1" x14ac:dyDescent="0.25">
      <c r="B1376" s="5" t="s">
        <v>49</v>
      </c>
      <c r="C1376" s="5" t="s">
        <v>123</v>
      </c>
      <c r="D1376" s="5" t="s">
        <v>1084</v>
      </c>
      <c r="E1376" s="6">
        <v>44643</v>
      </c>
      <c r="F1376" s="4" t="s">
        <v>91</v>
      </c>
      <c r="G1376" s="4" t="s">
        <v>24</v>
      </c>
      <c r="H1376" s="8" t="s">
        <v>118</v>
      </c>
      <c r="I1376" s="5" t="s">
        <v>1143</v>
      </c>
      <c r="J1376" s="7"/>
      <c r="K1376" s="15">
        <f>YEAR(Tabla1[[#This Row],[Fecha]])</f>
        <v>2022</v>
      </c>
      <c r="L1376" s="15">
        <f>MONTH(Tabla1[[#This Row],[Fecha]])</f>
        <v>3</v>
      </c>
    </row>
    <row r="1377" spans="2:12" hidden="1" x14ac:dyDescent="0.25">
      <c r="B1377" s="5" t="s">
        <v>49</v>
      </c>
      <c r="C1377" s="5" t="s">
        <v>60</v>
      </c>
      <c r="D1377" s="5" t="s">
        <v>1084</v>
      </c>
      <c r="E1377" s="6">
        <v>44642</v>
      </c>
      <c r="F1377" s="4" t="s">
        <v>91</v>
      </c>
      <c r="G1377" s="4" t="s">
        <v>16</v>
      </c>
      <c r="H1377" s="8" t="s">
        <v>34</v>
      </c>
      <c r="I1377" s="11" t="s">
        <v>1141</v>
      </c>
      <c r="J1377" s="7"/>
      <c r="K1377" s="15">
        <f>YEAR(Tabla1[[#This Row],[Fecha]])</f>
        <v>2022</v>
      </c>
      <c r="L1377" s="15">
        <f>MONTH(Tabla1[[#This Row],[Fecha]])</f>
        <v>3</v>
      </c>
    </row>
    <row r="1378" spans="2:12" hidden="1" x14ac:dyDescent="0.25">
      <c r="B1378" s="5" t="s">
        <v>32</v>
      </c>
      <c r="C1378" s="5" t="s">
        <v>1031</v>
      </c>
      <c r="D1378" s="5" t="s">
        <v>131</v>
      </c>
      <c r="E1378" s="6">
        <v>44642</v>
      </c>
      <c r="F1378" s="4" t="s">
        <v>91</v>
      </c>
      <c r="G1378" s="2" t="s">
        <v>36</v>
      </c>
      <c r="H1378" s="2" t="s">
        <v>1780</v>
      </c>
      <c r="I1378" s="2" t="s">
        <v>1367</v>
      </c>
      <c r="J1378" s="7"/>
      <c r="K1378" s="15">
        <f>YEAR(Tabla1[[#This Row],[Fecha]])</f>
        <v>2022</v>
      </c>
      <c r="L1378" s="15">
        <f>MONTH(Tabla1[[#This Row],[Fecha]])</f>
        <v>3</v>
      </c>
    </row>
    <row r="1379" spans="2:12" hidden="1" x14ac:dyDescent="0.25">
      <c r="B1379" s="5" t="s">
        <v>49</v>
      </c>
      <c r="C1379" s="5" t="s">
        <v>176</v>
      </c>
      <c r="D1379" s="5" t="s">
        <v>131</v>
      </c>
      <c r="E1379" s="6">
        <v>44640</v>
      </c>
      <c r="F1379" s="4" t="s">
        <v>91</v>
      </c>
      <c r="G1379" s="4" t="s">
        <v>303</v>
      </c>
      <c r="H1379" s="4" t="s">
        <v>434</v>
      </c>
      <c r="I1379" s="5" t="s">
        <v>1118</v>
      </c>
      <c r="J1379" s="5"/>
      <c r="K1379" s="22">
        <f>YEAR(Tabla1[[#This Row],[Fecha]])</f>
        <v>2022</v>
      </c>
      <c r="L1379" s="22">
        <f>MONTH(Tabla1[[#This Row],[Fecha]])</f>
        <v>3</v>
      </c>
    </row>
    <row r="1380" spans="2:12" hidden="1" x14ac:dyDescent="0.25">
      <c r="B1380" s="5" t="s">
        <v>49</v>
      </c>
      <c r="C1380" s="5" t="s">
        <v>117</v>
      </c>
      <c r="D1380" s="5" t="s">
        <v>1084</v>
      </c>
      <c r="E1380" s="6">
        <v>44638</v>
      </c>
      <c r="F1380" s="4" t="s">
        <v>91</v>
      </c>
      <c r="G1380" s="4" t="s">
        <v>16</v>
      </c>
      <c r="H1380" s="8" t="s">
        <v>34</v>
      </c>
      <c r="I1380" s="5" t="s">
        <v>1128</v>
      </c>
      <c r="J1380" s="7"/>
      <c r="K1380" s="15">
        <f>YEAR(Tabla1[[#This Row],[Fecha]])</f>
        <v>2022</v>
      </c>
      <c r="L1380" s="15">
        <f>MONTH(Tabla1[[#This Row],[Fecha]])</f>
        <v>3</v>
      </c>
    </row>
    <row r="1381" spans="2:12" hidden="1" x14ac:dyDescent="0.25">
      <c r="B1381" s="5" t="s">
        <v>49</v>
      </c>
      <c r="C1381" s="5" t="s">
        <v>53</v>
      </c>
      <c r="D1381" s="5" t="s">
        <v>1084</v>
      </c>
      <c r="E1381" s="6">
        <v>44638</v>
      </c>
      <c r="F1381" s="4" t="s">
        <v>91</v>
      </c>
      <c r="G1381" s="4" t="s">
        <v>16</v>
      </c>
      <c r="H1381" s="8" t="s">
        <v>1775</v>
      </c>
      <c r="I1381" s="5" t="s">
        <v>1134</v>
      </c>
      <c r="J1381" s="7"/>
      <c r="K1381" s="15">
        <f>YEAR(Tabla1[[#This Row],[Fecha]])</f>
        <v>2022</v>
      </c>
      <c r="L1381" s="15">
        <f>MONTH(Tabla1[[#This Row],[Fecha]])</f>
        <v>3</v>
      </c>
    </row>
    <row r="1382" spans="2:12" hidden="1" x14ac:dyDescent="0.25">
      <c r="B1382" s="5" t="s">
        <v>49</v>
      </c>
      <c r="C1382" s="5" t="s">
        <v>111</v>
      </c>
      <c r="D1382" s="5" t="s">
        <v>1084</v>
      </c>
      <c r="E1382" s="6">
        <v>44638</v>
      </c>
      <c r="F1382" s="4" t="s">
        <v>91</v>
      </c>
      <c r="G1382" s="4" t="s">
        <v>16</v>
      </c>
      <c r="H1382" s="8" t="s">
        <v>34</v>
      </c>
      <c r="I1382" s="5" t="s">
        <v>1137</v>
      </c>
      <c r="J1382" s="7"/>
      <c r="K1382" s="15">
        <f>YEAR(Tabla1[[#This Row],[Fecha]])</f>
        <v>2022</v>
      </c>
      <c r="L1382" s="15">
        <f>MONTH(Tabla1[[#This Row],[Fecha]])</f>
        <v>3</v>
      </c>
    </row>
    <row r="1383" spans="2:12" hidden="1" x14ac:dyDescent="0.25">
      <c r="B1383" s="5" t="s">
        <v>49</v>
      </c>
      <c r="C1383" s="5" t="s">
        <v>50</v>
      </c>
      <c r="D1383" s="5" t="s">
        <v>1084</v>
      </c>
      <c r="E1383" s="6">
        <v>44637</v>
      </c>
      <c r="F1383" s="4" t="s">
        <v>91</v>
      </c>
      <c r="G1383" s="4" t="s">
        <v>16</v>
      </c>
      <c r="H1383" s="8" t="s">
        <v>34</v>
      </c>
      <c r="I1383" s="11" t="s">
        <v>1152</v>
      </c>
      <c r="J1383" s="7"/>
      <c r="K1383" s="15">
        <f>YEAR(Tabla1[[#This Row],[Fecha]])</f>
        <v>2022</v>
      </c>
      <c r="L1383" s="15">
        <f>MONTH(Tabla1[[#This Row],[Fecha]])</f>
        <v>3</v>
      </c>
    </row>
    <row r="1384" spans="2:12" hidden="1" x14ac:dyDescent="0.25">
      <c r="B1384" s="5" t="s">
        <v>49</v>
      </c>
      <c r="C1384" s="5" t="s">
        <v>115</v>
      </c>
      <c r="D1384" s="5" t="s">
        <v>1084</v>
      </c>
      <c r="E1384" s="6">
        <v>44637</v>
      </c>
      <c r="F1384" s="4" t="s">
        <v>15</v>
      </c>
      <c r="G1384" s="4" t="s">
        <v>16</v>
      </c>
      <c r="H1384" s="2" t="s">
        <v>34</v>
      </c>
      <c r="I1384" s="11" t="s">
        <v>1162</v>
      </c>
      <c r="J1384" s="5"/>
      <c r="K1384" s="22">
        <f>YEAR(Tabla1[[#This Row],[Fecha]])</f>
        <v>2022</v>
      </c>
      <c r="L1384" s="22">
        <f>MONTH(Tabla1[[#This Row],[Fecha]])</f>
        <v>3</v>
      </c>
    </row>
    <row r="1385" spans="2:12" hidden="1" x14ac:dyDescent="0.25">
      <c r="B1385" s="5" t="s">
        <v>49</v>
      </c>
      <c r="C1385" s="5" t="s">
        <v>57</v>
      </c>
      <c r="D1385" s="5" t="s">
        <v>131</v>
      </c>
      <c r="E1385" s="6">
        <v>44636</v>
      </c>
      <c r="F1385" s="4" t="s">
        <v>15</v>
      </c>
      <c r="G1385" s="4" t="s">
        <v>16</v>
      </c>
      <c r="H1385" s="2" t="s">
        <v>17</v>
      </c>
      <c r="I1385" s="11" t="s">
        <v>1157</v>
      </c>
      <c r="J1385" s="5"/>
      <c r="K1385" s="22">
        <f>YEAR(Tabla1[[#This Row],[Fecha]])</f>
        <v>2022</v>
      </c>
      <c r="L1385" s="22">
        <f>MONTH(Tabla1[[#This Row],[Fecha]])</f>
        <v>3</v>
      </c>
    </row>
    <row r="1386" spans="2:12" hidden="1" x14ac:dyDescent="0.25">
      <c r="B1386" s="5" t="s">
        <v>49</v>
      </c>
      <c r="C1386" s="5" t="s">
        <v>123</v>
      </c>
      <c r="D1386" s="5" t="s">
        <v>131</v>
      </c>
      <c r="E1386" s="6">
        <v>44636</v>
      </c>
      <c r="F1386" s="4" t="s">
        <v>15</v>
      </c>
      <c r="G1386" s="4" t="s">
        <v>16</v>
      </c>
      <c r="H1386" s="2" t="s">
        <v>43</v>
      </c>
      <c r="I1386" s="26" t="s">
        <v>1159</v>
      </c>
      <c r="J1386" s="5"/>
      <c r="K1386" s="22">
        <f>YEAR(Tabla1[[#This Row],[Fecha]])</f>
        <v>2022</v>
      </c>
      <c r="L1386" s="22">
        <f>MONTH(Tabla1[[#This Row],[Fecha]])</f>
        <v>3</v>
      </c>
    </row>
    <row r="1387" spans="2:12" hidden="1" x14ac:dyDescent="0.25">
      <c r="B1387" s="5" t="s">
        <v>49</v>
      </c>
      <c r="C1387" s="5" t="s">
        <v>60</v>
      </c>
      <c r="D1387" s="5" t="s">
        <v>1084</v>
      </c>
      <c r="E1387" s="6">
        <v>44634</v>
      </c>
      <c r="F1387" s="4" t="s">
        <v>15</v>
      </c>
      <c r="G1387" s="4" t="s">
        <v>16</v>
      </c>
      <c r="H1387" s="19" t="s">
        <v>1775</v>
      </c>
      <c r="I1387" s="11" t="s">
        <v>1164</v>
      </c>
      <c r="J1387" s="7"/>
      <c r="K1387" s="15">
        <f>YEAR(Tabla1[[#This Row],[Fecha]])</f>
        <v>2022</v>
      </c>
      <c r="L1387" s="15">
        <f>MONTH(Tabla1[[#This Row],[Fecha]])</f>
        <v>3</v>
      </c>
    </row>
    <row r="1388" spans="2:12" hidden="1" x14ac:dyDescent="0.25">
      <c r="B1388" s="5" t="s">
        <v>309</v>
      </c>
      <c r="C1388" s="5" t="s">
        <v>711</v>
      </c>
      <c r="D1388" s="5" t="s">
        <v>1084</v>
      </c>
      <c r="E1388" s="13">
        <v>44634</v>
      </c>
      <c r="F1388" s="4" t="s">
        <v>15</v>
      </c>
      <c r="G1388" s="4" t="s">
        <v>16</v>
      </c>
      <c r="H1388" s="4" t="s">
        <v>43</v>
      </c>
      <c r="I1388" s="5" t="s">
        <v>1633</v>
      </c>
      <c r="J1388" s="5"/>
      <c r="K1388" s="22">
        <f>YEAR(Tabla1[[#This Row],[Fecha]])</f>
        <v>2022</v>
      </c>
      <c r="L1388" s="22">
        <f>MONTH(Tabla1[[#This Row],[Fecha]])</f>
        <v>3</v>
      </c>
    </row>
    <row r="1389" spans="2:12" hidden="1" x14ac:dyDescent="0.25">
      <c r="B1389" s="5" t="s">
        <v>309</v>
      </c>
      <c r="C1389" s="5" t="s">
        <v>728</v>
      </c>
      <c r="D1389" s="5" t="s">
        <v>1084</v>
      </c>
      <c r="E1389" s="13">
        <v>44634</v>
      </c>
      <c r="F1389" s="4" t="s">
        <v>15</v>
      </c>
      <c r="G1389" s="4" t="s">
        <v>16</v>
      </c>
      <c r="H1389" s="4" t="s">
        <v>1775</v>
      </c>
      <c r="I1389" s="5" t="s">
        <v>1634</v>
      </c>
      <c r="J1389" s="5"/>
      <c r="K1389" s="22">
        <f>YEAR(Tabla1[[#This Row],[Fecha]])</f>
        <v>2022</v>
      </c>
      <c r="L1389" s="22">
        <f>MONTH(Tabla1[[#This Row],[Fecha]])</f>
        <v>3</v>
      </c>
    </row>
    <row r="1390" spans="2:12" hidden="1" x14ac:dyDescent="0.25">
      <c r="B1390" s="5" t="s">
        <v>309</v>
      </c>
      <c r="C1390" s="5" t="s">
        <v>371</v>
      </c>
      <c r="D1390" s="5" t="s">
        <v>131</v>
      </c>
      <c r="E1390" s="13">
        <v>44634</v>
      </c>
      <c r="F1390" s="4" t="s">
        <v>15</v>
      </c>
      <c r="G1390" s="4" t="s">
        <v>36</v>
      </c>
      <c r="H1390" s="4" t="s">
        <v>1794</v>
      </c>
      <c r="I1390" s="5" t="s">
        <v>1663</v>
      </c>
      <c r="J1390" s="5"/>
      <c r="K1390" s="22">
        <f>YEAR(Tabla1[[#This Row],[Fecha]])</f>
        <v>2022</v>
      </c>
      <c r="L1390" s="22">
        <f>MONTH(Tabla1[[#This Row],[Fecha]])</f>
        <v>3</v>
      </c>
    </row>
    <row r="1391" spans="2:12" hidden="1" x14ac:dyDescent="0.25">
      <c r="B1391" s="5" t="s">
        <v>49</v>
      </c>
      <c r="C1391" s="5" t="s">
        <v>60</v>
      </c>
      <c r="D1391" s="5" t="s">
        <v>1084</v>
      </c>
      <c r="E1391" s="6">
        <v>44631</v>
      </c>
      <c r="F1391" s="4" t="s">
        <v>91</v>
      </c>
      <c r="G1391" s="4" t="s">
        <v>303</v>
      </c>
      <c r="H1391" s="29" t="s">
        <v>431</v>
      </c>
      <c r="I1391" s="11" t="s">
        <v>1165</v>
      </c>
      <c r="J1391" s="7"/>
      <c r="K1391" s="15">
        <f>YEAR(Tabla1[[#This Row],[Fecha]])</f>
        <v>2022</v>
      </c>
      <c r="L1391" s="15">
        <f>MONTH(Tabla1[[#This Row],[Fecha]])</f>
        <v>3</v>
      </c>
    </row>
    <row r="1392" spans="2:12" hidden="1" x14ac:dyDescent="0.25">
      <c r="B1392" s="5" t="s">
        <v>309</v>
      </c>
      <c r="C1392" s="5" t="s">
        <v>320</v>
      </c>
      <c r="D1392" s="5" t="s">
        <v>131</v>
      </c>
      <c r="E1392" s="6">
        <v>44631</v>
      </c>
      <c r="F1392" s="4" t="s">
        <v>15</v>
      </c>
      <c r="G1392" s="4" t="s">
        <v>16</v>
      </c>
      <c r="H1392" s="4" t="s">
        <v>34</v>
      </c>
      <c r="I1392" s="11" t="s">
        <v>1413</v>
      </c>
      <c r="J1392" s="5"/>
      <c r="K1392" s="22">
        <f>YEAR(Tabla1[[#This Row],[Fecha]])</f>
        <v>2022</v>
      </c>
      <c r="L1392" s="22">
        <f>MONTH(Tabla1[[#This Row],[Fecha]])</f>
        <v>3</v>
      </c>
    </row>
    <row r="1393" spans="2:12" hidden="1" x14ac:dyDescent="0.25">
      <c r="B1393" s="5" t="s">
        <v>309</v>
      </c>
      <c r="C1393" s="5" t="s">
        <v>321</v>
      </c>
      <c r="D1393" s="5" t="s">
        <v>131</v>
      </c>
      <c r="E1393" s="6">
        <v>44631</v>
      </c>
      <c r="F1393" s="4" t="s">
        <v>15</v>
      </c>
      <c r="G1393" s="4" t="s">
        <v>16</v>
      </c>
      <c r="H1393" s="4" t="s">
        <v>34</v>
      </c>
      <c r="I1393" s="11" t="s">
        <v>1414</v>
      </c>
      <c r="J1393" s="5"/>
      <c r="K1393" s="22">
        <f>YEAR(Tabla1[[#This Row],[Fecha]])</f>
        <v>2022</v>
      </c>
      <c r="L1393" s="22">
        <f>MONTH(Tabla1[[#This Row],[Fecha]])</f>
        <v>3</v>
      </c>
    </row>
    <row r="1394" spans="2:12" hidden="1" x14ac:dyDescent="0.25">
      <c r="B1394" s="2" t="s">
        <v>309</v>
      </c>
      <c r="C1394" s="2" t="s">
        <v>310</v>
      </c>
      <c r="D1394" s="2" t="s">
        <v>11</v>
      </c>
      <c r="E1394" s="12">
        <v>44631</v>
      </c>
      <c r="F1394" s="2" t="s">
        <v>91</v>
      </c>
      <c r="G1394" s="2" t="s">
        <v>16</v>
      </c>
      <c r="H1394" s="2" t="s">
        <v>118</v>
      </c>
      <c r="I1394" s="2" t="s">
        <v>1564</v>
      </c>
      <c r="J1394" s="2" t="s">
        <v>1565</v>
      </c>
      <c r="K1394" s="22">
        <f>YEAR(Tabla1[[#This Row],[Fecha]])</f>
        <v>2022</v>
      </c>
      <c r="L1394" s="22">
        <f>MONTH(Tabla1[[#This Row],[Fecha]])</f>
        <v>3</v>
      </c>
    </row>
    <row r="1395" spans="2:12" hidden="1" x14ac:dyDescent="0.25">
      <c r="B1395" s="5" t="s">
        <v>49</v>
      </c>
      <c r="C1395" s="5" t="s">
        <v>50</v>
      </c>
      <c r="D1395" s="5" t="s">
        <v>1084</v>
      </c>
      <c r="E1395" s="6">
        <v>44629</v>
      </c>
      <c r="F1395" s="4" t="s">
        <v>91</v>
      </c>
      <c r="G1395" s="4" t="s">
        <v>16</v>
      </c>
      <c r="H1395" s="8" t="s">
        <v>118</v>
      </c>
      <c r="I1395" s="11" t="s">
        <v>1153</v>
      </c>
      <c r="J1395" s="7"/>
      <c r="K1395" s="15">
        <f>YEAR(Tabla1[[#This Row],[Fecha]])</f>
        <v>2022</v>
      </c>
      <c r="L1395" s="15">
        <f>MONTH(Tabla1[[#This Row],[Fecha]])</f>
        <v>3</v>
      </c>
    </row>
    <row r="1396" spans="2:12" hidden="1" x14ac:dyDescent="0.25">
      <c r="B1396" s="5" t="s">
        <v>49</v>
      </c>
      <c r="C1396" s="5" t="s">
        <v>117</v>
      </c>
      <c r="D1396" s="5" t="s">
        <v>1084</v>
      </c>
      <c r="E1396" s="6">
        <v>44629</v>
      </c>
      <c r="F1396" s="4" t="s">
        <v>91</v>
      </c>
      <c r="G1396" s="4" t="s">
        <v>24</v>
      </c>
      <c r="H1396" s="8" t="s">
        <v>118</v>
      </c>
      <c r="I1396" s="11" t="s">
        <v>1155</v>
      </c>
      <c r="J1396" s="7"/>
      <c r="K1396" s="15">
        <f>YEAR(Tabla1[[#This Row],[Fecha]])</f>
        <v>2022</v>
      </c>
      <c r="L1396" s="15">
        <f>MONTH(Tabla1[[#This Row],[Fecha]])</f>
        <v>3</v>
      </c>
    </row>
    <row r="1397" spans="2:12" hidden="1" x14ac:dyDescent="0.25">
      <c r="B1397" s="5" t="s">
        <v>49</v>
      </c>
      <c r="C1397" s="5" t="s">
        <v>57</v>
      </c>
      <c r="D1397" s="5" t="s">
        <v>1084</v>
      </c>
      <c r="E1397" s="6">
        <v>44629</v>
      </c>
      <c r="F1397" s="4" t="s">
        <v>15</v>
      </c>
      <c r="G1397" s="4" t="s">
        <v>16</v>
      </c>
      <c r="H1397" s="2" t="s">
        <v>1775</v>
      </c>
      <c r="I1397" s="11" t="s">
        <v>1158</v>
      </c>
      <c r="J1397" s="5"/>
      <c r="K1397" s="22">
        <f>YEAR(Tabla1[[#This Row],[Fecha]])</f>
        <v>2022</v>
      </c>
      <c r="L1397" s="22">
        <f>MONTH(Tabla1[[#This Row],[Fecha]])</f>
        <v>3</v>
      </c>
    </row>
    <row r="1398" spans="2:12" hidden="1" x14ac:dyDescent="0.25">
      <c r="B1398" s="5" t="s">
        <v>49</v>
      </c>
      <c r="C1398" s="5" t="s">
        <v>123</v>
      </c>
      <c r="D1398" s="5" t="s">
        <v>1084</v>
      </c>
      <c r="E1398" s="6">
        <v>44627</v>
      </c>
      <c r="F1398" s="4" t="s">
        <v>15</v>
      </c>
      <c r="G1398" s="4" t="s">
        <v>47</v>
      </c>
      <c r="H1398" s="2" t="s">
        <v>1776</v>
      </c>
      <c r="I1398" s="26" t="s">
        <v>1160</v>
      </c>
      <c r="J1398" s="5"/>
      <c r="K1398" s="22">
        <f>YEAR(Tabla1[[#This Row],[Fecha]])</f>
        <v>2022</v>
      </c>
      <c r="L1398" s="22">
        <f>MONTH(Tabla1[[#This Row],[Fecha]])</f>
        <v>3</v>
      </c>
    </row>
    <row r="1399" spans="2:12" hidden="1" x14ac:dyDescent="0.25">
      <c r="B1399" s="5" t="s">
        <v>309</v>
      </c>
      <c r="C1399" s="5" t="s">
        <v>371</v>
      </c>
      <c r="D1399" s="5" t="s">
        <v>131</v>
      </c>
      <c r="E1399" s="13">
        <v>44627</v>
      </c>
      <c r="F1399" s="4" t="s">
        <v>15</v>
      </c>
      <c r="G1399" s="4" t="s">
        <v>16</v>
      </c>
      <c r="H1399" s="4" t="s">
        <v>1690</v>
      </c>
      <c r="I1399" s="36" t="s">
        <v>1661</v>
      </c>
      <c r="J1399" s="5"/>
      <c r="K1399" s="22">
        <f>YEAR(Tabla1[[#This Row],[Fecha]])</f>
        <v>2022</v>
      </c>
      <c r="L1399" s="22">
        <f>MONTH(Tabla1[[#This Row],[Fecha]])</f>
        <v>3</v>
      </c>
    </row>
    <row r="1400" spans="2:12" hidden="1" x14ac:dyDescent="0.25">
      <c r="B1400" s="5" t="s">
        <v>309</v>
      </c>
      <c r="C1400" s="5" t="s">
        <v>318</v>
      </c>
      <c r="D1400" s="5" t="s">
        <v>1084</v>
      </c>
      <c r="E1400" s="6">
        <v>44624</v>
      </c>
      <c r="F1400" s="4" t="s">
        <v>15</v>
      </c>
      <c r="G1400" s="4" t="s">
        <v>16</v>
      </c>
      <c r="H1400" s="4" t="s">
        <v>34</v>
      </c>
      <c r="I1400" s="11" t="s">
        <v>1521</v>
      </c>
      <c r="J1400" s="5"/>
      <c r="K1400" s="22">
        <f>YEAR(Tabla1[[#This Row],[Fecha]])</f>
        <v>2022</v>
      </c>
      <c r="L1400" s="22">
        <f>MONTH(Tabla1[[#This Row],[Fecha]])</f>
        <v>3</v>
      </c>
    </row>
    <row r="1401" spans="2:12" hidden="1" x14ac:dyDescent="0.25">
      <c r="B1401" s="5" t="s">
        <v>309</v>
      </c>
      <c r="C1401" s="5" t="s">
        <v>1014</v>
      </c>
      <c r="D1401" s="5" t="s">
        <v>1084</v>
      </c>
      <c r="E1401" s="6">
        <v>44624</v>
      </c>
      <c r="F1401" s="11" t="s">
        <v>15</v>
      </c>
      <c r="G1401" s="11" t="s">
        <v>36</v>
      </c>
      <c r="H1401" s="11" t="s">
        <v>1780</v>
      </c>
      <c r="I1401" s="11" t="s">
        <v>1522</v>
      </c>
      <c r="J1401" s="5"/>
      <c r="K1401" s="22">
        <f>YEAR(Tabla1[[#This Row],[Fecha]])</f>
        <v>2022</v>
      </c>
      <c r="L1401" s="22">
        <f>MONTH(Tabla1[[#This Row],[Fecha]])</f>
        <v>3</v>
      </c>
    </row>
    <row r="1402" spans="2:12" hidden="1" x14ac:dyDescent="0.25">
      <c r="B1402" s="5" t="s">
        <v>309</v>
      </c>
      <c r="C1402" s="5" t="s">
        <v>317</v>
      </c>
      <c r="D1402" s="5" t="s">
        <v>131</v>
      </c>
      <c r="E1402" s="6">
        <v>44624</v>
      </c>
      <c r="F1402" s="4" t="s">
        <v>91</v>
      </c>
      <c r="G1402" s="4" t="s">
        <v>103</v>
      </c>
      <c r="H1402" s="2" t="s">
        <v>298</v>
      </c>
      <c r="I1402" s="26" t="s">
        <v>1523</v>
      </c>
      <c r="J1402" s="5"/>
      <c r="K1402" s="22">
        <f>YEAR(Tabla1[[#This Row],[Fecha]])</f>
        <v>2022</v>
      </c>
      <c r="L1402" s="22">
        <f>MONTH(Tabla1[[#This Row],[Fecha]])</f>
        <v>3</v>
      </c>
    </row>
    <row r="1403" spans="2:12" hidden="1" x14ac:dyDescent="0.25">
      <c r="B1403" s="5" t="s">
        <v>309</v>
      </c>
      <c r="C1403" s="5" t="s">
        <v>315</v>
      </c>
      <c r="D1403" s="5" t="s">
        <v>131</v>
      </c>
      <c r="E1403" s="6">
        <v>44624</v>
      </c>
      <c r="F1403" s="4" t="s">
        <v>91</v>
      </c>
      <c r="G1403" s="4" t="s">
        <v>103</v>
      </c>
      <c r="H1403" s="2" t="s">
        <v>298</v>
      </c>
      <c r="I1403" s="26" t="s">
        <v>1523</v>
      </c>
      <c r="J1403" s="5"/>
      <c r="K1403" s="22">
        <f>YEAR(Tabla1[[#This Row],[Fecha]])</f>
        <v>2022</v>
      </c>
      <c r="L1403" s="22">
        <f>MONTH(Tabla1[[#This Row],[Fecha]])</f>
        <v>3</v>
      </c>
    </row>
    <row r="1404" spans="2:12" hidden="1" x14ac:dyDescent="0.25">
      <c r="B1404" s="5" t="s">
        <v>309</v>
      </c>
      <c r="C1404" s="5" t="s">
        <v>318</v>
      </c>
      <c r="D1404" s="5" t="s">
        <v>131</v>
      </c>
      <c r="E1404" s="6">
        <v>44624</v>
      </c>
      <c r="F1404" s="4" t="s">
        <v>91</v>
      </c>
      <c r="G1404" s="4" t="s">
        <v>103</v>
      </c>
      <c r="H1404" s="2" t="s">
        <v>298</v>
      </c>
      <c r="I1404" s="26" t="s">
        <v>1523</v>
      </c>
      <c r="J1404" s="5"/>
      <c r="K1404" s="22">
        <f>YEAR(Tabla1[[#This Row],[Fecha]])</f>
        <v>2022</v>
      </c>
      <c r="L1404" s="22">
        <f>MONTH(Tabla1[[#This Row],[Fecha]])</f>
        <v>3</v>
      </c>
    </row>
    <row r="1405" spans="2:12" hidden="1" x14ac:dyDescent="0.25">
      <c r="B1405" s="5" t="s">
        <v>309</v>
      </c>
      <c r="C1405" s="5" t="s">
        <v>1014</v>
      </c>
      <c r="D1405" s="5" t="s">
        <v>131</v>
      </c>
      <c r="E1405" s="6">
        <v>44624</v>
      </c>
      <c r="F1405" s="4" t="s">
        <v>91</v>
      </c>
      <c r="G1405" s="4" t="s">
        <v>103</v>
      </c>
      <c r="H1405" s="2" t="s">
        <v>298</v>
      </c>
      <c r="I1405" s="26" t="s">
        <v>1523</v>
      </c>
      <c r="J1405" s="5"/>
      <c r="K1405" s="22">
        <f>YEAR(Tabla1[[#This Row],[Fecha]])</f>
        <v>2022</v>
      </c>
      <c r="L1405" s="22">
        <f>MONTH(Tabla1[[#This Row],[Fecha]])</f>
        <v>3</v>
      </c>
    </row>
    <row r="1406" spans="2:12" hidden="1" x14ac:dyDescent="0.25">
      <c r="B1406" s="5" t="s">
        <v>49</v>
      </c>
      <c r="C1406" s="5" t="s">
        <v>111</v>
      </c>
      <c r="D1406" s="5" t="s">
        <v>1084</v>
      </c>
      <c r="E1406" s="6">
        <v>44623</v>
      </c>
      <c r="F1406" s="4" t="s">
        <v>15</v>
      </c>
      <c r="G1406" s="4" t="s">
        <v>47</v>
      </c>
      <c r="H1406" s="2" t="s">
        <v>51</v>
      </c>
      <c r="I1406" s="11" t="s">
        <v>1163</v>
      </c>
      <c r="J1406" s="5"/>
      <c r="K1406" s="22">
        <f>YEAR(Tabla1[[#This Row],[Fecha]])</f>
        <v>2022</v>
      </c>
      <c r="L1406" s="22">
        <f>MONTH(Tabla1[[#This Row],[Fecha]])</f>
        <v>3</v>
      </c>
    </row>
    <row r="1407" spans="2:12" hidden="1" x14ac:dyDescent="0.25">
      <c r="B1407" s="5" t="s">
        <v>49</v>
      </c>
      <c r="C1407" s="5" t="s">
        <v>60</v>
      </c>
      <c r="D1407" s="5" t="s">
        <v>1084</v>
      </c>
      <c r="E1407" s="6">
        <v>44623</v>
      </c>
      <c r="F1407" s="4" t="s">
        <v>91</v>
      </c>
      <c r="G1407" s="4" t="s">
        <v>16</v>
      </c>
      <c r="H1407" s="8" t="s">
        <v>43</v>
      </c>
      <c r="I1407" s="11" t="s">
        <v>1166</v>
      </c>
      <c r="J1407" s="7"/>
      <c r="K1407" s="15">
        <f>YEAR(Tabla1[[#This Row],[Fecha]])</f>
        <v>2022</v>
      </c>
      <c r="L1407" s="15">
        <f>MONTH(Tabla1[[#This Row],[Fecha]])</f>
        <v>3</v>
      </c>
    </row>
    <row r="1408" spans="2:12" hidden="1" x14ac:dyDescent="0.25">
      <c r="B1408" s="5" t="s">
        <v>49</v>
      </c>
      <c r="C1408" s="5" t="s">
        <v>176</v>
      </c>
      <c r="D1408" s="5" t="s">
        <v>1084</v>
      </c>
      <c r="E1408" s="6">
        <v>44622</v>
      </c>
      <c r="F1408" s="4" t="s">
        <v>15</v>
      </c>
      <c r="G1408" s="4" t="s">
        <v>24</v>
      </c>
      <c r="H1408" s="2" t="s">
        <v>51</v>
      </c>
      <c r="I1408" s="26" t="s">
        <v>1161</v>
      </c>
      <c r="J1408" s="5"/>
      <c r="K1408" s="22">
        <f>YEAR(Tabla1[[#This Row],[Fecha]])</f>
        <v>2022</v>
      </c>
      <c r="L1408" s="22">
        <f>MONTH(Tabla1[[#This Row],[Fecha]])</f>
        <v>3</v>
      </c>
    </row>
    <row r="1409" spans="2:12" hidden="1" x14ac:dyDescent="0.25">
      <c r="B1409" s="5" t="s">
        <v>309</v>
      </c>
      <c r="C1409" s="5" t="s">
        <v>371</v>
      </c>
      <c r="D1409" s="5" t="s">
        <v>1084</v>
      </c>
      <c r="E1409" s="13">
        <v>44622</v>
      </c>
      <c r="F1409" s="4" t="s">
        <v>15</v>
      </c>
      <c r="G1409" s="4" t="s">
        <v>47</v>
      </c>
      <c r="H1409" s="4" t="s">
        <v>121</v>
      </c>
      <c r="I1409" s="5" t="s">
        <v>1664</v>
      </c>
      <c r="J1409" s="5"/>
      <c r="K1409" s="22">
        <f>YEAR(Tabla1[[#This Row],[Fecha]])</f>
        <v>2022</v>
      </c>
      <c r="L1409" s="22">
        <f>MONTH(Tabla1[[#This Row],[Fecha]])</f>
        <v>3</v>
      </c>
    </row>
    <row r="1410" spans="2:12" hidden="1" x14ac:dyDescent="0.25">
      <c r="B1410" s="5" t="s">
        <v>49</v>
      </c>
      <c r="C1410" s="5" t="s">
        <v>50</v>
      </c>
      <c r="D1410" s="5" t="s">
        <v>1084</v>
      </c>
      <c r="E1410" s="6">
        <v>44621</v>
      </c>
      <c r="F1410" s="4" t="s">
        <v>91</v>
      </c>
      <c r="G1410" s="4" t="s">
        <v>24</v>
      </c>
      <c r="H1410" s="8" t="s">
        <v>118</v>
      </c>
      <c r="I1410" s="11" t="s">
        <v>1154</v>
      </c>
      <c r="J1410" s="7"/>
      <c r="K1410" s="15">
        <f>YEAR(Tabla1[[#This Row],[Fecha]])</f>
        <v>2022</v>
      </c>
      <c r="L1410" s="15">
        <f>MONTH(Tabla1[[#This Row],[Fecha]])</f>
        <v>3</v>
      </c>
    </row>
    <row r="1411" spans="2:12" hidden="1" x14ac:dyDescent="0.25">
      <c r="B1411" s="5" t="s">
        <v>49</v>
      </c>
      <c r="C1411" s="5" t="s">
        <v>117</v>
      </c>
      <c r="D1411" s="5" t="s">
        <v>1084</v>
      </c>
      <c r="E1411" s="6">
        <v>44621</v>
      </c>
      <c r="F1411" s="4" t="s">
        <v>15</v>
      </c>
      <c r="G1411" s="4" t="s">
        <v>16</v>
      </c>
      <c r="H1411" s="2" t="s">
        <v>34</v>
      </c>
      <c r="I1411" s="11" t="s">
        <v>1156</v>
      </c>
      <c r="J1411" s="5"/>
      <c r="K1411" s="22">
        <f>YEAR(Tabla1[[#This Row],[Fecha]])</f>
        <v>2022</v>
      </c>
      <c r="L1411" s="22">
        <f>MONTH(Tabla1[[#This Row],[Fecha]])</f>
        <v>3</v>
      </c>
    </row>
    <row r="1412" spans="2:12" hidden="1" x14ac:dyDescent="0.25">
      <c r="B1412" s="5" t="s">
        <v>309</v>
      </c>
      <c r="C1412" s="5" t="s">
        <v>318</v>
      </c>
      <c r="D1412" s="5" t="s">
        <v>1084</v>
      </c>
      <c r="E1412" s="6">
        <v>44609</v>
      </c>
      <c r="F1412" s="4" t="s">
        <v>91</v>
      </c>
      <c r="G1412" s="4" t="s">
        <v>103</v>
      </c>
      <c r="H1412" s="2" t="s">
        <v>298</v>
      </c>
      <c r="I1412" s="26" t="s">
        <v>1520</v>
      </c>
      <c r="J1412" s="5"/>
      <c r="K1412" s="22">
        <f>YEAR(Tabla1[[#This Row],[Fecha]])</f>
        <v>2022</v>
      </c>
      <c r="L1412" s="22">
        <f>MONTH(Tabla1[[#This Row],[Fecha]])</f>
        <v>2</v>
      </c>
    </row>
    <row r="1413" spans="2:12" hidden="1" x14ac:dyDescent="0.25">
      <c r="B1413" s="5" t="s">
        <v>309</v>
      </c>
      <c r="C1413" s="5" t="s">
        <v>371</v>
      </c>
      <c r="D1413" s="5" t="s">
        <v>131</v>
      </c>
      <c r="E1413" s="13">
        <v>44608</v>
      </c>
      <c r="F1413" s="4" t="s">
        <v>100</v>
      </c>
      <c r="G1413" s="2"/>
      <c r="H1413" s="2"/>
      <c r="I1413" s="2" t="s">
        <v>1662</v>
      </c>
      <c r="J1413" s="7"/>
      <c r="K1413" s="15">
        <f>YEAR(Tabla1[[#This Row],[Fecha]])</f>
        <v>2022</v>
      </c>
      <c r="L1413" s="15">
        <f>MONTH(Tabla1[[#This Row],[Fecha]])</f>
        <v>2</v>
      </c>
    </row>
    <row r="1414" spans="2:12" hidden="1" x14ac:dyDescent="0.25">
      <c r="B1414" s="5" t="s">
        <v>248</v>
      </c>
      <c r="C1414" s="5" t="s">
        <v>249</v>
      </c>
      <c r="D1414" s="5" t="s">
        <v>1084</v>
      </c>
      <c r="E1414" s="6">
        <v>44602</v>
      </c>
      <c r="F1414" s="4" t="s">
        <v>15</v>
      </c>
      <c r="G1414" s="4" t="s">
        <v>36</v>
      </c>
      <c r="H1414" s="2" t="s">
        <v>37</v>
      </c>
      <c r="I1414" s="11" t="s">
        <v>1239</v>
      </c>
      <c r="J1414" s="5"/>
      <c r="K1414" s="22">
        <f>YEAR(Tabla1[[#This Row],[Fecha]])</f>
        <v>2022</v>
      </c>
      <c r="L1414" s="22">
        <f>MONTH(Tabla1[[#This Row],[Fecha]])</f>
        <v>2</v>
      </c>
    </row>
    <row r="1415" spans="2:12" hidden="1" x14ac:dyDescent="0.25">
      <c r="B1415" s="5" t="s">
        <v>193</v>
      </c>
      <c r="C1415" s="5" t="s">
        <v>1323</v>
      </c>
      <c r="D1415" s="5" t="s">
        <v>1084</v>
      </c>
      <c r="E1415" s="6">
        <v>44600</v>
      </c>
      <c r="F1415" s="4" t="s">
        <v>15</v>
      </c>
      <c r="G1415" s="4" t="s">
        <v>47</v>
      </c>
      <c r="H1415" s="19" t="s">
        <v>41</v>
      </c>
      <c r="I1415" s="11" t="s">
        <v>1324</v>
      </c>
      <c r="J1415" s="7"/>
      <c r="K1415" s="15">
        <f>YEAR(Tabla1[[#This Row],[Fecha]])</f>
        <v>2022</v>
      </c>
      <c r="L1415" s="15">
        <f>MONTH(Tabla1[[#This Row],[Fecha]])</f>
        <v>2</v>
      </c>
    </row>
    <row r="1416" spans="2:12" hidden="1" x14ac:dyDescent="0.25">
      <c r="B1416" s="5" t="s">
        <v>309</v>
      </c>
      <c r="C1416" s="5" t="s">
        <v>322</v>
      </c>
      <c r="D1416" s="5" t="s">
        <v>131</v>
      </c>
      <c r="E1416" s="6">
        <v>44600</v>
      </c>
      <c r="F1416" s="4" t="s">
        <v>91</v>
      </c>
      <c r="G1416" s="4" t="s">
        <v>103</v>
      </c>
      <c r="H1416" s="8" t="s">
        <v>298</v>
      </c>
      <c r="I1416" s="11" t="s">
        <v>1712</v>
      </c>
      <c r="J1416" s="7"/>
      <c r="K1416" s="15">
        <f>YEAR(Tabla1[[#This Row],[Fecha]])</f>
        <v>2022</v>
      </c>
      <c r="L1416" s="15">
        <f>MONTH(Tabla1[[#This Row],[Fecha]])</f>
        <v>2</v>
      </c>
    </row>
    <row r="1417" spans="2:12" hidden="1" x14ac:dyDescent="0.25">
      <c r="B1417" s="2" t="s">
        <v>309</v>
      </c>
      <c r="C1417" s="2" t="s">
        <v>310</v>
      </c>
      <c r="D1417" s="2" t="s">
        <v>11</v>
      </c>
      <c r="E1417" s="12">
        <v>44599</v>
      </c>
      <c r="F1417" s="2" t="s">
        <v>15</v>
      </c>
      <c r="G1417" s="4" t="s">
        <v>16</v>
      </c>
      <c r="H1417" s="2" t="s">
        <v>63</v>
      </c>
      <c r="I1417" s="26" t="s">
        <v>1562</v>
      </c>
      <c r="J1417" s="2" t="s">
        <v>1563</v>
      </c>
      <c r="K1417" s="22">
        <f>YEAR(Tabla1[[#This Row],[Fecha]])</f>
        <v>2022</v>
      </c>
      <c r="L1417" s="22">
        <f>MONTH(Tabla1[[#This Row],[Fecha]])</f>
        <v>2</v>
      </c>
    </row>
    <row r="1418" spans="2:12" hidden="1" x14ac:dyDescent="0.25">
      <c r="B1418" s="5" t="s">
        <v>309</v>
      </c>
      <c r="C1418" s="5" t="s">
        <v>711</v>
      </c>
      <c r="D1418" s="5" t="s">
        <v>131</v>
      </c>
      <c r="E1418" s="13">
        <v>44596</v>
      </c>
      <c r="F1418" s="4" t="s">
        <v>91</v>
      </c>
      <c r="G1418" s="4" t="s">
        <v>303</v>
      </c>
      <c r="H1418" s="4" t="s">
        <v>431</v>
      </c>
      <c r="I1418" s="5" t="s">
        <v>1629</v>
      </c>
      <c r="J1418" s="5"/>
      <c r="K1418" s="22">
        <f>YEAR(Tabla1[[#This Row],[Fecha]])</f>
        <v>2022</v>
      </c>
      <c r="L1418" s="22">
        <f>MONTH(Tabla1[[#This Row],[Fecha]])</f>
        <v>2</v>
      </c>
    </row>
    <row r="1419" spans="2:12" hidden="1" x14ac:dyDescent="0.25">
      <c r="B1419" s="5" t="s">
        <v>309</v>
      </c>
      <c r="C1419" s="5" t="s">
        <v>728</v>
      </c>
      <c r="D1419" s="5" t="s">
        <v>131</v>
      </c>
      <c r="E1419" s="13">
        <v>44596</v>
      </c>
      <c r="F1419" s="4" t="s">
        <v>91</v>
      </c>
      <c r="G1419" s="4" t="s">
        <v>303</v>
      </c>
      <c r="H1419" s="4" t="s">
        <v>431</v>
      </c>
      <c r="I1419" s="5" t="s">
        <v>1630</v>
      </c>
      <c r="J1419" s="5"/>
      <c r="K1419" s="22">
        <f>YEAR(Tabla1[[#This Row],[Fecha]])</f>
        <v>2022</v>
      </c>
      <c r="L1419" s="22">
        <f>MONTH(Tabla1[[#This Row],[Fecha]])</f>
        <v>2</v>
      </c>
    </row>
    <row r="1420" spans="2:12" hidden="1" x14ac:dyDescent="0.25">
      <c r="B1420" s="5" t="s">
        <v>27</v>
      </c>
      <c r="C1420" s="5" t="s">
        <v>28</v>
      </c>
      <c r="D1420" s="5" t="s">
        <v>131</v>
      </c>
      <c r="E1420" s="6">
        <v>44595</v>
      </c>
      <c r="F1420" s="4" t="s">
        <v>15</v>
      </c>
      <c r="G1420" s="4" t="s">
        <v>16</v>
      </c>
      <c r="H1420" s="2" t="s">
        <v>1775</v>
      </c>
      <c r="I1420" s="11" t="s">
        <v>1287</v>
      </c>
      <c r="J1420" s="5"/>
      <c r="K1420" s="22">
        <f>YEAR(Tabla1[[#This Row],[Fecha]])</f>
        <v>2022</v>
      </c>
      <c r="L1420" s="22">
        <f>MONTH(Tabla1[[#This Row],[Fecha]])</f>
        <v>2</v>
      </c>
    </row>
    <row r="1421" spans="2:12" hidden="1" x14ac:dyDescent="0.25">
      <c r="B1421" s="5" t="s">
        <v>309</v>
      </c>
      <c r="C1421" s="5" t="s">
        <v>728</v>
      </c>
      <c r="D1421" s="5" t="s">
        <v>1084</v>
      </c>
      <c r="E1421" s="13">
        <v>44594</v>
      </c>
      <c r="F1421" s="4" t="s">
        <v>15</v>
      </c>
      <c r="G1421" s="4" t="s">
        <v>16</v>
      </c>
      <c r="H1421" s="4" t="s">
        <v>34</v>
      </c>
      <c r="I1421" s="5" t="s">
        <v>1631</v>
      </c>
      <c r="J1421" s="5"/>
      <c r="K1421" s="22">
        <f>YEAR(Tabla1[[#This Row],[Fecha]])</f>
        <v>2022</v>
      </c>
      <c r="L1421" s="22">
        <f>MONTH(Tabla1[[#This Row],[Fecha]])</f>
        <v>2</v>
      </c>
    </row>
    <row r="1422" spans="2:12" ht="30" hidden="1" x14ac:dyDescent="0.25">
      <c r="B1422" s="5" t="s">
        <v>193</v>
      </c>
      <c r="C1422" s="5" t="s">
        <v>1323</v>
      </c>
      <c r="D1422" s="5" t="s">
        <v>1084</v>
      </c>
      <c r="E1422" s="6">
        <v>44582</v>
      </c>
      <c r="F1422" s="4" t="s">
        <v>91</v>
      </c>
      <c r="G1422" s="4" t="s">
        <v>24</v>
      </c>
      <c r="H1422" s="19" t="s">
        <v>118</v>
      </c>
      <c r="I1422" s="30" t="s">
        <v>1770</v>
      </c>
      <c r="J1422" s="7"/>
      <c r="K1422" s="15">
        <f>YEAR(Tabla1[[#This Row],[Fecha]])</f>
        <v>2022</v>
      </c>
      <c r="L1422" s="15">
        <f>MONTH(Tabla1[[#This Row],[Fecha]])</f>
        <v>1</v>
      </c>
    </row>
    <row r="1423" spans="2:12" ht="30" hidden="1" x14ac:dyDescent="0.25">
      <c r="B1423" s="5" t="s">
        <v>193</v>
      </c>
      <c r="C1423" s="5" t="s">
        <v>752</v>
      </c>
      <c r="D1423" s="5" t="s">
        <v>1084</v>
      </c>
      <c r="E1423" s="6">
        <v>44582</v>
      </c>
      <c r="F1423" s="4" t="s">
        <v>91</v>
      </c>
      <c r="G1423" s="4" t="s">
        <v>24</v>
      </c>
      <c r="H1423" s="29" t="s">
        <v>118</v>
      </c>
      <c r="I1423" s="30" t="s">
        <v>1770</v>
      </c>
      <c r="J1423" s="7"/>
      <c r="K1423" s="15">
        <f>YEAR(Tabla1[[#This Row],[Fecha]])</f>
        <v>2022</v>
      </c>
      <c r="L1423" s="15">
        <f>MONTH(Tabla1[[#This Row],[Fecha]])</f>
        <v>1</v>
      </c>
    </row>
    <row r="1424" spans="2:12" ht="30" hidden="1" x14ac:dyDescent="0.25">
      <c r="B1424" s="5" t="s">
        <v>193</v>
      </c>
      <c r="C1424" s="5" t="s">
        <v>1049</v>
      </c>
      <c r="D1424" s="5" t="s">
        <v>1084</v>
      </c>
      <c r="E1424" s="6">
        <v>44582</v>
      </c>
      <c r="F1424" s="4" t="s">
        <v>91</v>
      </c>
      <c r="G1424" s="4" t="s">
        <v>24</v>
      </c>
      <c r="H1424" s="29" t="s">
        <v>118</v>
      </c>
      <c r="I1424" s="30" t="s">
        <v>1770</v>
      </c>
      <c r="J1424" s="7"/>
      <c r="K1424" s="15">
        <f>YEAR(Tabla1[[#This Row],[Fecha]])</f>
        <v>2022</v>
      </c>
      <c r="L1424" s="15">
        <f>MONTH(Tabla1[[#This Row],[Fecha]])</f>
        <v>1</v>
      </c>
    </row>
    <row r="1425" spans="2:12" hidden="1" x14ac:dyDescent="0.25">
      <c r="B1425" s="5" t="s">
        <v>309</v>
      </c>
      <c r="C1425" s="5" t="s">
        <v>378</v>
      </c>
      <c r="D1425" s="5" t="s">
        <v>1084</v>
      </c>
      <c r="E1425" s="6">
        <v>44581</v>
      </c>
      <c r="F1425" s="4" t="s">
        <v>15</v>
      </c>
      <c r="G1425" s="2" t="s">
        <v>16</v>
      </c>
      <c r="H1425" s="2" t="s">
        <v>1704</v>
      </c>
      <c r="I1425" s="2" t="s">
        <v>1490</v>
      </c>
      <c r="J1425" s="7"/>
      <c r="K1425" s="15">
        <f>YEAR(Tabla1[[#This Row],[Fecha]])</f>
        <v>2022</v>
      </c>
      <c r="L1425" s="15">
        <f>MONTH(Tabla1[[#This Row],[Fecha]])</f>
        <v>1</v>
      </c>
    </row>
    <row r="1426" spans="2:12" hidden="1" x14ac:dyDescent="0.25">
      <c r="B1426" s="5" t="s">
        <v>248</v>
      </c>
      <c r="C1426" s="5" t="s">
        <v>261</v>
      </c>
      <c r="D1426" s="5" t="s">
        <v>131</v>
      </c>
      <c r="E1426" s="6">
        <v>44579</v>
      </c>
      <c r="F1426" s="4" t="s">
        <v>15</v>
      </c>
      <c r="G1426" s="4" t="s">
        <v>16</v>
      </c>
      <c r="H1426" s="2" t="s">
        <v>41</v>
      </c>
      <c r="I1426" s="11" t="s">
        <v>1240</v>
      </c>
      <c r="J1426" s="5"/>
      <c r="K1426" s="22">
        <f>YEAR(Tabla1[[#This Row],[Fecha]])</f>
        <v>2022</v>
      </c>
      <c r="L1426" s="22">
        <f>MONTH(Tabla1[[#This Row],[Fecha]])</f>
        <v>1</v>
      </c>
    </row>
    <row r="1427" spans="2:12" hidden="1" x14ac:dyDescent="0.25">
      <c r="B1427" s="5" t="s">
        <v>193</v>
      </c>
      <c r="C1427" s="5" t="s">
        <v>1325</v>
      </c>
      <c r="D1427" s="5" t="s">
        <v>131</v>
      </c>
      <c r="E1427" s="6">
        <v>44574</v>
      </c>
      <c r="F1427" s="4" t="s">
        <v>15</v>
      </c>
      <c r="G1427" s="4" t="s">
        <v>16</v>
      </c>
      <c r="H1427" s="19" t="s">
        <v>1704</v>
      </c>
      <c r="I1427" s="11" t="s">
        <v>1326</v>
      </c>
      <c r="J1427" s="5" t="s">
        <v>1327</v>
      </c>
      <c r="K1427" s="15">
        <f>YEAR(Tabla1[[#This Row],[Fecha]])</f>
        <v>2022</v>
      </c>
      <c r="L1427" s="15">
        <f>MONTH(Tabla1[[#This Row],[Fecha]])</f>
        <v>1</v>
      </c>
    </row>
    <row r="1428" spans="2:12" hidden="1" x14ac:dyDescent="0.25">
      <c r="B1428" s="2" t="s">
        <v>309</v>
      </c>
      <c r="C1428" s="2" t="s">
        <v>310</v>
      </c>
      <c r="D1428" s="2" t="s">
        <v>11</v>
      </c>
      <c r="E1428" s="12">
        <v>44574</v>
      </c>
      <c r="F1428" s="2" t="s">
        <v>15</v>
      </c>
      <c r="G1428" s="4" t="s">
        <v>47</v>
      </c>
      <c r="H1428" s="2" t="s">
        <v>333</v>
      </c>
      <c r="I1428" s="2" t="s">
        <v>1560</v>
      </c>
      <c r="J1428" s="2" t="s">
        <v>1561</v>
      </c>
      <c r="K1428" s="22">
        <f>YEAR(Tabla1[[#This Row],[Fecha]])</f>
        <v>2022</v>
      </c>
      <c r="L1428" s="22">
        <f>MONTH(Tabla1[[#This Row],[Fecha]])</f>
        <v>1</v>
      </c>
    </row>
    <row r="1429" spans="2:12" hidden="1" x14ac:dyDescent="0.25">
      <c r="B1429" s="5" t="s">
        <v>309</v>
      </c>
      <c r="C1429" s="5" t="s">
        <v>318</v>
      </c>
      <c r="D1429" s="5" t="s">
        <v>1084</v>
      </c>
      <c r="E1429" s="6">
        <v>44572</v>
      </c>
      <c r="F1429" s="4" t="s">
        <v>15</v>
      </c>
      <c r="G1429" s="4" t="s">
        <v>16</v>
      </c>
      <c r="H1429" s="4" t="s">
        <v>34</v>
      </c>
      <c r="I1429" s="11" t="s">
        <v>1509</v>
      </c>
      <c r="J1429" s="5"/>
      <c r="K1429" s="22">
        <f>YEAR(Tabla1[[#This Row],[Fecha]])</f>
        <v>2022</v>
      </c>
      <c r="L1429" s="22">
        <f>MONTH(Tabla1[[#This Row],[Fecha]])</f>
        <v>1</v>
      </c>
    </row>
    <row r="1430" spans="2:12" hidden="1" x14ac:dyDescent="0.25">
      <c r="B1430" s="5" t="s">
        <v>309</v>
      </c>
      <c r="C1430" s="5" t="s">
        <v>711</v>
      </c>
      <c r="D1430" s="5" t="s">
        <v>1084</v>
      </c>
      <c r="E1430" s="13">
        <v>44571</v>
      </c>
      <c r="F1430" s="4" t="s">
        <v>15</v>
      </c>
      <c r="G1430" s="4" t="s">
        <v>47</v>
      </c>
      <c r="H1430" s="4" t="s">
        <v>333</v>
      </c>
      <c r="I1430" s="5" t="s">
        <v>1628</v>
      </c>
      <c r="J1430" s="5"/>
      <c r="K1430" s="22">
        <f>YEAR(Tabla1[[#This Row],[Fecha]])</f>
        <v>2022</v>
      </c>
      <c r="L1430" s="22">
        <f>MONTH(Tabla1[[#This Row],[Fecha]])</f>
        <v>1</v>
      </c>
    </row>
    <row r="1431" spans="2:12" hidden="1" x14ac:dyDescent="0.25">
      <c r="B1431" s="2" t="s">
        <v>309</v>
      </c>
      <c r="C1431" s="2" t="s">
        <v>310</v>
      </c>
      <c r="D1431" s="2" t="s">
        <v>11</v>
      </c>
      <c r="E1431" s="12">
        <v>44567</v>
      </c>
      <c r="F1431" s="2" t="s">
        <v>15</v>
      </c>
      <c r="G1431" s="4" t="s">
        <v>16</v>
      </c>
      <c r="H1431" s="2" t="s">
        <v>34</v>
      </c>
      <c r="I1431" s="26" t="s">
        <v>1558</v>
      </c>
      <c r="J1431" s="2" t="s">
        <v>1559</v>
      </c>
      <c r="K1431" s="22">
        <f>YEAR(Tabla1[[#This Row],[Fecha]])</f>
        <v>2022</v>
      </c>
      <c r="L1431" s="22">
        <f>MONTH(Tabla1[[#This Row],[Fecha]])</f>
        <v>1</v>
      </c>
    </row>
    <row r="1432" spans="2:12" hidden="1" x14ac:dyDescent="0.25">
      <c r="B1432" s="5" t="s">
        <v>309</v>
      </c>
      <c r="C1432" s="5" t="s">
        <v>321</v>
      </c>
      <c r="D1432" s="5" t="s">
        <v>131</v>
      </c>
      <c r="E1432" s="6">
        <v>44566</v>
      </c>
      <c r="F1432" s="4" t="s">
        <v>91</v>
      </c>
      <c r="G1432" s="4" t="s">
        <v>16</v>
      </c>
      <c r="H1432" s="8" t="s">
        <v>34</v>
      </c>
      <c r="I1432" s="11" t="s">
        <v>1426</v>
      </c>
      <c r="J1432" s="5" t="s">
        <v>1427</v>
      </c>
      <c r="K1432" s="15">
        <f>YEAR(Tabla1[[#This Row],[Fecha]])</f>
        <v>2022</v>
      </c>
      <c r="L1432" s="15">
        <f>MONTH(Tabla1[[#This Row],[Fecha]])</f>
        <v>1</v>
      </c>
    </row>
    <row r="1433" spans="2:12" hidden="1" x14ac:dyDescent="0.25">
      <c r="B1433" s="2" t="s">
        <v>309</v>
      </c>
      <c r="C1433" s="2" t="s">
        <v>310</v>
      </c>
      <c r="D1433" s="2" t="s">
        <v>11</v>
      </c>
      <c r="E1433" s="12">
        <v>44566</v>
      </c>
      <c r="F1433" s="4" t="s">
        <v>15</v>
      </c>
      <c r="G1433" s="4" t="s">
        <v>16</v>
      </c>
      <c r="H1433" s="2" t="s">
        <v>34</v>
      </c>
      <c r="I1433" s="26" t="s">
        <v>1556</v>
      </c>
      <c r="J1433" s="2" t="s">
        <v>1557</v>
      </c>
      <c r="K1433" s="22">
        <f>YEAR(Tabla1[[#This Row],[Fecha]])</f>
        <v>2022</v>
      </c>
      <c r="L1433" s="22">
        <f>MONTH(Tabla1[[#This Row],[Fecha]])</f>
        <v>1</v>
      </c>
    </row>
    <row r="1434" spans="2:12" hidden="1" x14ac:dyDescent="0.25">
      <c r="B1434" s="5" t="s">
        <v>309</v>
      </c>
      <c r="C1434" s="5" t="s">
        <v>321</v>
      </c>
      <c r="D1434" s="5" t="s">
        <v>131</v>
      </c>
      <c r="E1434" s="6">
        <v>44565</v>
      </c>
      <c r="F1434" s="4" t="s">
        <v>15</v>
      </c>
      <c r="G1434" s="4" t="s">
        <v>16</v>
      </c>
      <c r="H1434" s="2" t="s">
        <v>1704</v>
      </c>
      <c r="I1434" s="26" t="s">
        <v>1425</v>
      </c>
      <c r="J1434" s="5"/>
      <c r="K1434" s="22">
        <f>YEAR(Tabla1[[#This Row],[Fecha]])</f>
        <v>2022</v>
      </c>
      <c r="L1434" s="22">
        <f>MONTH(Tabla1[[#This Row],[Fecha]])</f>
        <v>1</v>
      </c>
    </row>
    <row r="1435" spans="2:12" hidden="1" x14ac:dyDescent="0.25">
      <c r="B1435" s="5" t="s">
        <v>309</v>
      </c>
      <c r="C1435" s="5" t="s">
        <v>313</v>
      </c>
      <c r="D1435" s="5" t="s">
        <v>131</v>
      </c>
      <c r="E1435" s="38">
        <v>44560</v>
      </c>
      <c r="F1435" s="4"/>
      <c r="G1435" s="4" t="s">
        <v>16</v>
      </c>
      <c r="H1435" s="4"/>
      <c r="I1435" s="5" t="s">
        <v>1601</v>
      </c>
      <c r="J1435" s="5"/>
      <c r="K1435" s="22">
        <f>YEAR(Tabla1[[#This Row],[Fecha]])</f>
        <v>2021</v>
      </c>
      <c r="L1435" s="22">
        <f>MONTH(Tabla1[[#This Row],[Fecha]])</f>
        <v>12</v>
      </c>
    </row>
    <row r="1436" spans="2:12" hidden="1" x14ac:dyDescent="0.25">
      <c r="B1436" s="5" t="s">
        <v>248</v>
      </c>
      <c r="C1436" s="5" t="s">
        <v>249</v>
      </c>
      <c r="D1436" s="5" t="s">
        <v>131</v>
      </c>
      <c r="E1436" s="38">
        <v>44553</v>
      </c>
      <c r="F1436" s="4"/>
      <c r="G1436" s="4" t="s">
        <v>24</v>
      </c>
      <c r="H1436" s="2"/>
      <c r="I1436" s="11" t="s">
        <v>1241</v>
      </c>
      <c r="J1436" s="5"/>
      <c r="K1436" s="22">
        <f>YEAR(Tabla1[[#This Row],[Fecha]])</f>
        <v>2021</v>
      </c>
      <c r="L1436" s="22">
        <f>MONTH(Tabla1[[#This Row],[Fecha]])</f>
        <v>12</v>
      </c>
    </row>
    <row r="1437" spans="2:12" hidden="1" x14ac:dyDescent="0.25">
      <c r="B1437" s="5" t="s">
        <v>49</v>
      </c>
      <c r="C1437" s="5" t="s">
        <v>57</v>
      </c>
      <c r="D1437" s="5" t="s">
        <v>1084</v>
      </c>
      <c r="E1437" s="38">
        <v>44552</v>
      </c>
      <c r="F1437" s="4"/>
      <c r="G1437" s="4" t="s">
        <v>16</v>
      </c>
      <c r="H1437" s="2"/>
      <c r="I1437" s="11" t="s">
        <v>1178</v>
      </c>
      <c r="J1437" s="5"/>
      <c r="K1437" s="22">
        <f>YEAR(Tabla1[[#This Row],[Fecha]])</f>
        <v>2021</v>
      </c>
      <c r="L1437" s="22">
        <f>MONTH(Tabla1[[#This Row],[Fecha]])</f>
        <v>12</v>
      </c>
    </row>
    <row r="1438" spans="2:12" hidden="1" x14ac:dyDescent="0.25">
      <c r="B1438" s="5" t="s">
        <v>49</v>
      </c>
      <c r="C1438" s="5" t="s">
        <v>53</v>
      </c>
      <c r="D1438" s="5" t="s">
        <v>1084</v>
      </c>
      <c r="E1438" s="38">
        <v>44552</v>
      </c>
      <c r="F1438" s="4"/>
      <c r="G1438" s="4" t="s">
        <v>16</v>
      </c>
      <c r="H1438" s="2"/>
      <c r="I1438" s="11" t="s">
        <v>1178</v>
      </c>
      <c r="J1438" s="5"/>
      <c r="K1438" s="22">
        <f>YEAR(Tabla1[[#This Row],[Fecha]])</f>
        <v>2021</v>
      </c>
      <c r="L1438" s="22">
        <f>MONTH(Tabla1[[#This Row],[Fecha]])</f>
        <v>12</v>
      </c>
    </row>
    <row r="1439" spans="2:12" hidden="1" x14ac:dyDescent="0.25">
      <c r="B1439" s="5" t="s">
        <v>49</v>
      </c>
      <c r="C1439" s="5" t="s">
        <v>66</v>
      </c>
      <c r="D1439" s="5" t="s">
        <v>1084</v>
      </c>
      <c r="E1439" s="38">
        <v>44552</v>
      </c>
      <c r="F1439" s="4"/>
      <c r="G1439" s="4" t="s">
        <v>16</v>
      </c>
      <c r="H1439" s="2"/>
      <c r="I1439" s="11" t="s">
        <v>1178</v>
      </c>
      <c r="J1439" s="5"/>
      <c r="K1439" s="22">
        <f>YEAR(Tabla1[[#This Row],[Fecha]])</f>
        <v>2021</v>
      </c>
      <c r="L1439" s="22">
        <f>MONTH(Tabla1[[#This Row],[Fecha]])</f>
        <v>12</v>
      </c>
    </row>
    <row r="1440" spans="2:12" hidden="1" x14ac:dyDescent="0.25">
      <c r="B1440" s="5" t="s">
        <v>49</v>
      </c>
      <c r="C1440" s="5" t="s">
        <v>60</v>
      </c>
      <c r="D1440" s="5" t="s">
        <v>1084</v>
      </c>
      <c r="E1440" s="38">
        <v>44552</v>
      </c>
      <c r="F1440" s="4"/>
      <c r="G1440" s="4" t="s">
        <v>16</v>
      </c>
      <c r="H1440" s="2"/>
      <c r="I1440" s="11" t="s">
        <v>1180</v>
      </c>
      <c r="J1440" s="5"/>
      <c r="K1440" s="22">
        <f>YEAR(Tabla1[[#This Row],[Fecha]])</f>
        <v>2021</v>
      </c>
      <c r="L1440" s="22">
        <f>MONTH(Tabla1[[#This Row],[Fecha]])</f>
        <v>12</v>
      </c>
    </row>
    <row r="1441" spans="2:12" hidden="1" x14ac:dyDescent="0.25">
      <c r="B1441" s="5" t="s">
        <v>49</v>
      </c>
      <c r="C1441" s="5" t="s">
        <v>56</v>
      </c>
      <c r="D1441" s="5" t="s">
        <v>1084</v>
      </c>
      <c r="E1441" s="38">
        <v>44552</v>
      </c>
      <c r="F1441" s="4"/>
      <c r="G1441" s="4" t="s">
        <v>16</v>
      </c>
      <c r="H1441" s="2"/>
      <c r="I1441" s="11" t="s">
        <v>1180</v>
      </c>
      <c r="J1441" s="5"/>
      <c r="K1441" s="22">
        <f>YEAR(Tabla1[[#This Row],[Fecha]])</f>
        <v>2021</v>
      </c>
      <c r="L1441" s="22">
        <f>MONTH(Tabla1[[#This Row],[Fecha]])</f>
        <v>12</v>
      </c>
    </row>
    <row r="1442" spans="2:12" hidden="1" x14ac:dyDescent="0.25">
      <c r="B1442" s="5" t="s">
        <v>49</v>
      </c>
      <c r="C1442" s="5" t="s">
        <v>176</v>
      </c>
      <c r="D1442" s="5" t="s">
        <v>1084</v>
      </c>
      <c r="E1442" s="38">
        <v>44552</v>
      </c>
      <c r="F1442" s="4"/>
      <c r="G1442" s="4" t="s">
        <v>16</v>
      </c>
      <c r="H1442" s="2"/>
      <c r="I1442" s="11" t="s">
        <v>1180</v>
      </c>
      <c r="J1442" s="5"/>
      <c r="K1442" s="22">
        <f>YEAR(Tabla1[[#This Row],[Fecha]])</f>
        <v>2021</v>
      </c>
      <c r="L1442" s="22">
        <f>MONTH(Tabla1[[#This Row],[Fecha]])</f>
        <v>12</v>
      </c>
    </row>
    <row r="1443" spans="2:12" hidden="1" x14ac:dyDescent="0.25">
      <c r="B1443" s="5" t="s">
        <v>49</v>
      </c>
      <c r="C1443" s="5" t="s">
        <v>111</v>
      </c>
      <c r="D1443" s="5" t="s">
        <v>1084</v>
      </c>
      <c r="E1443" s="38">
        <v>44552</v>
      </c>
      <c r="F1443" s="4"/>
      <c r="G1443" s="4" t="s">
        <v>16</v>
      </c>
      <c r="H1443" s="2"/>
      <c r="I1443" s="11" t="s">
        <v>1181</v>
      </c>
      <c r="J1443" s="5"/>
      <c r="K1443" s="22">
        <f>YEAR(Tabla1[[#This Row],[Fecha]])</f>
        <v>2021</v>
      </c>
      <c r="L1443" s="22">
        <f>MONTH(Tabla1[[#This Row],[Fecha]])</f>
        <v>12</v>
      </c>
    </row>
    <row r="1444" spans="2:12" hidden="1" x14ac:dyDescent="0.25">
      <c r="B1444" s="5" t="s">
        <v>49</v>
      </c>
      <c r="C1444" s="5" t="s">
        <v>117</v>
      </c>
      <c r="D1444" s="5" t="s">
        <v>1084</v>
      </c>
      <c r="E1444" s="38">
        <v>44551</v>
      </c>
      <c r="F1444" s="4"/>
      <c r="G1444" s="4" t="s">
        <v>16</v>
      </c>
      <c r="H1444" s="2"/>
      <c r="I1444" s="11" t="s">
        <v>1178</v>
      </c>
      <c r="J1444" s="5"/>
      <c r="K1444" s="22">
        <f>YEAR(Tabla1[[#This Row],[Fecha]])</f>
        <v>2021</v>
      </c>
      <c r="L1444" s="22">
        <f>MONTH(Tabla1[[#This Row],[Fecha]])</f>
        <v>12</v>
      </c>
    </row>
    <row r="1445" spans="2:12" hidden="1" x14ac:dyDescent="0.25">
      <c r="B1445" s="5" t="s">
        <v>49</v>
      </c>
      <c r="C1445" s="5" t="s">
        <v>115</v>
      </c>
      <c r="D1445" s="5" t="s">
        <v>1084</v>
      </c>
      <c r="E1445" s="38">
        <v>44551</v>
      </c>
      <c r="F1445" s="4"/>
      <c r="G1445" s="4" t="s">
        <v>16</v>
      </c>
      <c r="H1445" s="2"/>
      <c r="I1445" s="11" t="s">
        <v>1179</v>
      </c>
      <c r="J1445" s="5"/>
      <c r="K1445" s="22">
        <f>YEAR(Tabla1[[#This Row],[Fecha]])</f>
        <v>2021</v>
      </c>
      <c r="L1445" s="22">
        <f>MONTH(Tabla1[[#This Row],[Fecha]])</f>
        <v>12</v>
      </c>
    </row>
    <row r="1446" spans="2:12" hidden="1" x14ac:dyDescent="0.25">
      <c r="B1446" s="5" t="s">
        <v>49</v>
      </c>
      <c r="C1446" s="5" t="s">
        <v>123</v>
      </c>
      <c r="D1446" s="5" t="s">
        <v>1084</v>
      </c>
      <c r="E1446" s="38">
        <v>44551</v>
      </c>
      <c r="F1446" s="4"/>
      <c r="G1446" s="4" t="s">
        <v>16</v>
      </c>
      <c r="H1446" s="2"/>
      <c r="I1446" s="11" t="s">
        <v>1182</v>
      </c>
      <c r="J1446" s="5"/>
      <c r="K1446" s="22">
        <f>YEAR(Tabla1[[#This Row],[Fecha]])</f>
        <v>2021</v>
      </c>
      <c r="L1446" s="22">
        <f>MONTH(Tabla1[[#This Row],[Fecha]])</f>
        <v>12</v>
      </c>
    </row>
    <row r="1447" spans="2:12" hidden="1" x14ac:dyDescent="0.25">
      <c r="B1447" s="5" t="s">
        <v>309</v>
      </c>
      <c r="C1447" s="5" t="s">
        <v>320</v>
      </c>
      <c r="D1447" s="5" t="s">
        <v>131</v>
      </c>
      <c r="E1447" s="6">
        <v>44550</v>
      </c>
      <c r="F1447" s="4" t="s">
        <v>91</v>
      </c>
      <c r="G1447" s="4" t="s">
        <v>303</v>
      </c>
      <c r="H1447" s="4" t="s">
        <v>434</v>
      </c>
      <c r="I1447" s="11" t="s">
        <v>1422</v>
      </c>
      <c r="J1447" s="5" t="s">
        <v>1423</v>
      </c>
      <c r="K1447" s="22">
        <f>YEAR(Tabla1[[#This Row],[Fecha]])</f>
        <v>2021</v>
      </c>
      <c r="L1447" s="22">
        <f>MONTH(Tabla1[[#This Row],[Fecha]])</f>
        <v>12</v>
      </c>
    </row>
    <row r="1448" spans="2:12" hidden="1" x14ac:dyDescent="0.25">
      <c r="B1448" s="5" t="s">
        <v>309</v>
      </c>
      <c r="C1448" s="5" t="s">
        <v>321</v>
      </c>
      <c r="D1448" s="5" t="s">
        <v>131</v>
      </c>
      <c r="E1448" s="6">
        <v>44550</v>
      </c>
      <c r="F1448" s="4" t="s">
        <v>91</v>
      </c>
      <c r="G1448" s="4" t="s">
        <v>303</v>
      </c>
      <c r="H1448" s="4" t="s">
        <v>434</v>
      </c>
      <c r="I1448" s="11" t="s">
        <v>1422</v>
      </c>
      <c r="J1448" s="5" t="s">
        <v>1424</v>
      </c>
      <c r="K1448" s="22">
        <f>YEAR(Tabla1[[#This Row],[Fecha]])</f>
        <v>2021</v>
      </c>
      <c r="L1448" s="22">
        <f>MONTH(Tabla1[[#This Row],[Fecha]])</f>
        <v>12</v>
      </c>
    </row>
    <row r="1449" spans="2:12" hidden="1" x14ac:dyDescent="0.25">
      <c r="B1449" s="5" t="s">
        <v>27</v>
      </c>
      <c r="C1449" s="5" t="s">
        <v>28</v>
      </c>
      <c r="D1449" s="5" t="s">
        <v>1167</v>
      </c>
      <c r="E1449" s="38">
        <v>44545</v>
      </c>
      <c r="F1449" s="4"/>
      <c r="G1449" s="4" t="s">
        <v>16</v>
      </c>
      <c r="H1449" s="2"/>
      <c r="I1449" s="11" t="s">
        <v>1288</v>
      </c>
      <c r="J1449" s="5"/>
      <c r="K1449" s="22">
        <f>YEAR(Tabla1[[#This Row],[Fecha]])</f>
        <v>2021</v>
      </c>
      <c r="L1449" s="22">
        <f>MONTH(Tabla1[[#This Row],[Fecha]])</f>
        <v>12</v>
      </c>
    </row>
    <row r="1450" spans="2:12" hidden="1" x14ac:dyDescent="0.25">
      <c r="B1450" s="5" t="s">
        <v>309</v>
      </c>
      <c r="C1450" s="5" t="s">
        <v>321</v>
      </c>
      <c r="D1450" s="5" t="s">
        <v>1167</v>
      </c>
      <c r="E1450" s="6">
        <v>44544</v>
      </c>
      <c r="F1450" s="4" t="s">
        <v>91</v>
      </c>
      <c r="G1450" s="4" t="s">
        <v>303</v>
      </c>
      <c r="H1450" s="4" t="s">
        <v>431</v>
      </c>
      <c r="I1450" s="11" t="s">
        <v>1420</v>
      </c>
      <c r="J1450" s="5"/>
      <c r="K1450" s="22">
        <f>YEAR(Tabla1[[#This Row],[Fecha]])</f>
        <v>2021</v>
      </c>
      <c r="L1450" s="22">
        <f>MONTH(Tabla1[[#This Row],[Fecha]])</f>
        <v>12</v>
      </c>
    </row>
    <row r="1451" spans="2:12" hidden="1" x14ac:dyDescent="0.25">
      <c r="B1451" s="5" t="s">
        <v>309</v>
      </c>
      <c r="C1451" s="5" t="s">
        <v>320</v>
      </c>
      <c r="D1451" s="5" t="s">
        <v>1167</v>
      </c>
      <c r="E1451" s="6">
        <v>44544</v>
      </c>
      <c r="F1451" s="4" t="s">
        <v>91</v>
      </c>
      <c r="G1451" s="4" t="s">
        <v>303</v>
      </c>
      <c r="H1451" s="4" t="s">
        <v>431</v>
      </c>
      <c r="I1451" s="11" t="s">
        <v>1420</v>
      </c>
      <c r="J1451" s="5" t="s">
        <v>1421</v>
      </c>
      <c r="K1451" s="22">
        <f>YEAR(Tabla1[[#This Row],[Fecha]])</f>
        <v>2021</v>
      </c>
      <c r="L1451" s="22">
        <f>MONTH(Tabla1[[#This Row],[Fecha]])</f>
        <v>12</v>
      </c>
    </row>
    <row r="1452" spans="2:12" hidden="1" x14ac:dyDescent="0.25">
      <c r="B1452" s="5" t="s">
        <v>309</v>
      </c>
      <c r="C1452" s="5" t="s">
        <v>1014</v>
      </c>
      <c r="D1452" s="5" t="s">
        <v>131</v>
      </c>
      <c r="E1452" s="38">
        <v>44544</v>
      </c>
      <c r="F1452" s="4"/>
      <c r="G1452" s="4" t="s">
        <v>103</v>
      </c>
      <c r="H1452" s="2"/>
      <c r="I1452" s="11" t="s">
        <v>1519</v>
      </c>
      <c r="J1452" s="5"/>
      <c r="K1452" s="22">
        <f>YEAR(Tabla1[[#This Row],[Fecha]])</f>
        <v>2021</v>
      </c>
      <c r="L1452" s="22">
        <f>MONTH(Tabla1[[#This Row],[Fecha]])</f>
        <v>12</v>
      </c>
    </row>
    <row r="1453" spans="2:12" hidden="1" x14ac:dyDescent="0.25">
      <c r="B1453" s="5" t="s">
        <v>309</v>
      </c>
      <c r="C1453" s="5" t="s">
        <v>313</v>
      </c>
      <c r="D1453" s="5" t="s">
        <v>131</v>
      </c>
      <c r="E1453" s="13">
        <v>44543</v>
      </c>
      <c r="F1453" s="4" t="s">
        <v>91</v>
      </c>
      <c r="G1453" s="4" t="s">
        <v>303</v>
      </c>
      <c r="H1453" s="4" t="s">
        <v>434</v>
      </c>
      <c r="I1453" s="5" t="s">
        <v>1602</v>
      </c>
      <c r="J1453" s="5"/>
      <c r="K1453" s="22">
        <f>YEAR(Tabla1[[#This Row],[Fecha]])</f>
        <v>2021</v>
      </c>
      <c r="L1453" s="22">
        <f>MONTH(Tabla1[[#This Row],[Fecha]])</f>
        <v>12</v>
      </c>
    </row>
    <row r="1454" spans="2:12" hidden="1" x14ac:dyDescent="0.25">
      <c r="B1454" s="5" t="s">
        <v>309</v>
      </c>
      <c r="C1454" s="5" t="s">
        <v>1014</v>
      </c>
      <c r="D1454" s="5" t="s">
        <v>1167</v>
      </c>
      <c r="E1454" s="38">
        <v>44540</v>
      </c>
      <c r="F1454" s="4"/>
      <c r="G1454" s="4" t="s">
        <v>103</v>
      </c>
      <c r="H1454" s="2"/>
      <c r="I1454" s="11" t="s">
        <v>1510</v>
      </c>
      <c r="J1454" s="5"/>
      <c r="K1454" s="22">
        <f>YEAR(Tabla1[[#This Row],[Fecha]])</f>
        <v>2021</v>
      </c>
      <c r="L1454" s="22">
        <f>MONTH(Tabla1[[#This Row],[Fecha]])</f>
        <v>12</v>
      </c>
    </row>
    <row r="1455" spans="2:12" hidden="1" x14ac:dyDescent="0.25">
      <c r="B1455" s="5" t="s">
        <v>309</v>
      </c>
      <c r="C1455" s="5" t="s">
        <v>317</v>
      </c>
      <c r="D1455" s="5" t="s">
        <v>1167</v>
      </c>
      <c r="E1455" s="38">
        <v>44540</v>
      </c>
      <c r="F1455" s="4"/>
      <c r="G1455" s="4" t="s">
        <v>24</v>
      </c>
      <c r="H1455" s="2"/>
      <c r="I1455" s="11" t="s">
        <v>1511</v>
      </c>
      <c r="J1455" s="5"/>
      <c r="K1455" s="22">
        <f>YEAR(Tabla1[[#This Row],[Fecha]])</f>
        <v>2021</v>
      </c>
      <c r="L1455" s="22">
        <f>MONTH(Tabla1[[#This Row],[Fecha]])</f>
        <v>12</v>
      </c>
    </row>
    <row r="1456" spans="2:12" hidden="1" x14ac:dyDescent="0.25">
      <c r="B1456" s="5" t="s">
        <v>309</v>
      </c>
      <c r="C1456" s="5" t="s">
        <v>320</v>
      </c>
      <c r="D1456" s="5" t="s">
        <v>131</v>
      </c>
      <c r="E1456" s="6">
        <v>44537</v>
      </c>
      <c r="F1456" s="4" t="s">
        <v>15</v>
      </c>
      <c r="G1456" s="4" t="s">
        <v>16</v>
      </c>
      <c r="H1456" s="2" t="s">
        <v>1704</v>
      </c>
      <c r="I1456" s="11" t="s">
        <v>1418</v>
      </c>
      <c r="J1456" s="5" t="s">
        <v>1419</v>
      </c>
      <c r="K1456" s="22">
        <f>YEAR(Tabla1[[#This Row],[Fecha]])</f>
        <v>2021</v>
      </c>
      <c r="L1456" s="22">
        <f>MONTH(Tabla1[[#This Row],[Fecha]])</f>
        <v>12</v>
      </c>
    </row>
    <row r="1457" spans="2:12" hidden="1" x14ac:dyDescent="0.25">
      <c r="B1457" s="5" t="s">
        <v>309</v>
      </c>
      <c r="C1457" s="5" t="s">
        <v>321</v>
      </c>
      <c r="D1457" s="5" t="s">
        <v>131</v>
      </c>
      <c r="E1457" s="6">
        <v>44537</v>
      </c>
      <c r="F1457" s="4" t="s">
        <v>15</v>
      </c>
      <c r="G1457" s="4" t="s">
        <v>16</v>
      </c>
      <c r="H1457" s="2" t="s">
        <v>1704</v>
      </c>
      <c r="I1457" s="11" t="s">
        <v>1418</v>
      </c>
      <c r="J1457" s="5" t="s">
        <v>1419</v>
      </c>
      <c r="K1457" s="22">
        <f>YEAR(Tabla1[[#This Row],[Fecha]])</f>
        <v>2021</v>
      </c>
      <c r="L1457" s="22">
        <f>MONTH(Tabla1[[#This Row],[Fecha]])</f>
        <v>12</v>
      </c>
    </row>
    <row r="1458" spans="2:12" hidden="1" x14ac:dyDescent="0.25">
      <c r="B1458" s="5" t="s">
        <v>309</v>
      </c>
      <c r="C1458" s="5" t="s">
        <v>321</v>
      </c>
      <c r="D1458" s="5" t="s">
        <v>131</v>
      </c>
      <c r="E1458" s="6">
        <v>44537</v>
      </c>
      <c r="F1458" s="4" t="s">
        <v>15</v>
      </c>
      <c r="G1458" s="4" t="s">
        <v>16</v>
      </c>
      <c r="H1458" s="2" t="s">
        <v>1704</v>
      </c>
      <c r="I1458" s="11" t="s">
        <v>1418</v>
      </c>
      <c r="J1458" s="5" t="s">
        <v>1419</v>
      </c>
      <c r="K1458" s="22">
        <f>YEAR(Tabla1[[#This Row],[Fecha]])</f>
        <v>2021</v>
      </c>
      <c r="L1458" s="22">
        <f>MONTH(Tabla1[[#This Row],[Fecha]])</f>
        <v>12</v>
      </c>
    </row>
    <row r="1459" spans="2:12" hidden="1" x14ac:dyDescent="0.25">
      <c r="B1459" s="5" t="s">
        <v>309</v>
      </c>
      <c r="C1459" s="5" t="s">
        <v>313</v>
      </c>
      <c r="D1459" s="5" t="s">
        <v>131</v>
      </c>
      <c r="E1459" s="13">
        <v>44536</v>
      </c>
      <c r="F1459" s="4" t="s">
        <v>91</v>
      </c>
      <c r="G1459" s="4" t="s">
        <v>303</v>
      </c>
      <c r="H1459" s="4" t="s">
        <v>431</v>
      </c>
      <c r="I1459" s="5" t="s">
        <v>1603</v>
      </c>
      <c r="J1459" s="5"/>
      <c r="K1459" s="22">
        <f>YEAR(Tabla1[[#This Row],[Fecha]])</f>
        <v>2021</v>
      </c>
      <c r="L1459" s="22">
        <f>MONTH(Tabla1[[#This Row],[Fecha]])</f>
        <v>12</v>
      </c>
    </row>
    <row r="1460" spans="2:12" hidden="1" x14ac:dyDescent="0.25">
      <c r="B1460" s="5" t="s">
        <v>27</v>
      </c>
      <c r="C1460" s="5" t="s">
        <v>28</v>
      </c>
      <c r="D1460" s="5" t="s">
        <v>131</v>
      </c>
      <c r="E1460" s="38">
        <v>44524</v>
      </c>
      <c r="F1460" s="4"/>
      <c r="G1460" s="4" t="s">
        <v>16</v>
      </c>
      <c r="H1460" s="2"/>
      <c r="I1460" s="11"/>
      <c r="J1460" s="5"/>
      <c r="K1460" s="22">
        <f>YEAR(Tabla1[[#This Row],[Fecha]])</f>
        <v>2021</v>
      </c>
      <c r="L1460" s="22">
        <f>MONTH(Tabla1[[#This Row],[Fecha]])</f>
        <v>11</v>
      </c>
    </row>
    <row r="1461" spans="2:12" hidden="1" x14ac:dyDescent="0.25">
      <c r="B1461" s="5" t="s">
        <v>309</v>
      </c>
      <c r="C1461" s="5" t="s">
        <v>321</v>
      </c>
      <c r="D1461" s="5" t="s">
        <v>1167</v>
      </c>
      <c r="E1461" s="38">
        <v>44523</v>
      </c>
      <c r="F1461" s="4"/>
      <c r="G1461" s="4" t="s">
        <v>16</v>
      </c>
      <c r="H1461" s="2"/>
      <c r="I1461" s="11" t="s">
        <v>1415</v>
      </c>
      <c r="J1461" s="5"/>
      <c r="K1461" s="22">
        <f>YEAR(Tabla1[[#This Row],[Fecha]])</f>
        <v>2021</v>
      </c>
      <c r="L1461" s="22">
        <f>MONTH(Tabla1[[#This Row],[Fecha]])</f>
        <v>11</v>
      </c>
    </row>
    <row r="1462" spans="2:12" hidden="1" x14ac:dyDescent="0.25">
      <c r="B1462" s="5" t="s">
        <v>309</v>
      </c>
      <c r="C1462" s="5" t="s">
        <v>1014</v>
      </c>
      <c r="D1462" s="5" t="s">
        <v>131</v>
      </c>
      <c r="E1462" s="38">
        <v>44522</v>
      </c>
      <c r="F1462" s="4"/>
      <c r="G1462" s="4" t="s">
        <v>16</v>
      </c>
      <c r="H1462" s="2"/>
      <c r="I1462" s="11" t="s">
        <v>1516</v>
      </c>
      <c r="J1462" s="5"/>
      <c r="K1462" s="22">
        <f>YEAR(Tabla1[[#This Row],[Fecha]])</f>
        <v>2021</v>
      </c>
      <c r="L1462" s="22">
        <f>MONTH(Tabla1[[#This Row],[Fecha]])</f>
        <v>11</v>
      </c>
    </row>
    <row r="1463" spans="2:12" hidden="1" x14ac:dyDescent="0.25">
      <c r="B1463" s="5" t="s">
        <v>49</v>
      </c>
      <c r="C1463" s="5" t="s">
        <v>60</v>
      </c>
      <c r="D1463" s="5" t="s">
        <v>1084</v>
      </c>
      <c r="E1463" s="38">
        <v>44518</v>
      </c>
      <c r="F1463" s="4"/>
      <c r="G1463" s="4" t="s">
        <v>16</v>
      </c>
      <c r="H1463" s="2"/>
      <c r="I1463" s="11" t="s">
        <v>1177</v>
      </c>
      <c r="J1463" s="5"/>
      <c r="K1463" s="22">
        <f>YEAR(Tabla1[[#This Row],[Fecha]])</f>
        <v>2021</v>
      </c>
      <c r="L1463" s="22">
        <f>MONTH(Tabla1[[#This Row],[Fecha]])</f>
        <v>11</v>
      </c>
    </row>
    <row r="1464" spans="2:12" hidden="1" x14ac:dyDescent="0.25">
      <c r="B1464" s="5" t="s">
        <v>49</v>
      </c>
      <c r="C1464" s="5" t="s">
        <v>53</v>
      </c>
      <c r="D1464" s="5" t="s">
        <v>1084</v>
      </c>
      <c r="E1464" s="38">
        <v>44518</v>
      </c>
      <c r="F1464" s="4"/>
      <c r="G1464" s="4" t="s">
        <v>16</v>
      </c>
      <c r="H1464" s="2"/>
      <c r="I1464" s="11" t="s">
        <v>1177</v>
      </c>
      <c r="J1464" s="5"/>
      <c r="K1464" s="22">
        <f>YEAR(Tabla1[[#This Row],[Fecha]])</f>
        <v>2021</v>
      </c>
      <c r="L1464" s="22">
        <f>MONTH(Tabla1[[#This Row],[Fecha]])</f>
        <v>11</v>
      </c>
    </row>
    <row r="1465" spans="2:12" hidden="1" x14ac:dyDescent="0.25">
      <c r="B1465" s="5" t="s">
        <v>49</v>
      </c>
      <c r="C1465" s="5" t="s">
        <v>50</v>
      </c>
      <c r="D1465" s="5" t="s">
        <v>1084</v>
      </c>
      <c r="E1465" s="38">
        <v>44518</v>
      </c>
      <c r="F1465" s="4"/>
      <c r="G1465" s="4" t="s">
        <v>16</v>
      </c>
      <c r="H1465" s="2"/>
      <c r="I1465" s="11" t="s">
        <v>1177</v>
      </c>
      <c r="J1465" s="5"/>
      <c r="K1465" s="22">
        <f>YEAR(Tabla1[[#This Row],[Fecha]])</f>
        <v>2021</v>
      </c>
      <c r="L1465" s="22">
        <f>MONTH(Tabla1[[#This Row],[Fecha]])</f>
        <v>11</v>
      </c>
    </row>
    <row r="1466" spans="2:12" hidden="1" x14ac:dyDescent="0.25">
      <c r="B1466" s="5" t="s">
        <v>49</v>
      </c>
      <c r="C1466" s="5" t="s">
        <v>176</v>
      </c>
      <c r="D1466" s="5" t="s">
        <v>1084</v>
      </c>
      <c r="E1466" s="38">
        <v>44518</v>
      </c>
      <c r="F1466" s="4"/>
      <c r="G1466" s="4" t="s">
        <v>16</v>
      </c>
      <c r="H1466" s="2"/>
      <c r="I1466" s="11" t="s">
        <v>1177</v>
      </c>
      <c r="J1466" s="5"/>
      <c r="K1466" s="22">
        <f>YEAR(Tabla1[[#This Row],[Fecha]])</f>
        <v>2021</v>
      </c>
      <c r="L1466" s="22">
        <f>MONTH(Tabla1[[#This Row],[Fecha]])</f>
        <v>11</v>
      </c>
    </row>
    <row r="1467" spans="2:12" hidden="1" x14ac:dyDescent="0.25">
      <c r="B1467" s="5" t="s">
        <v>49</v>
      </c>
      <c r="C1467" s="5" t="s">
        <v>111</v>
      </c>
      <c r="D1467" s="5" t="s">
        <v>1084</v>
      </c>
      <c r="E1467" s="38">
        <v>44518</v>
      </c>
      <c r="F1467" s="4"/>
      <c r="G1467" s="4" t="s">
        <v>16</v>
      </c>
      <c r="H1467" s="2"/>
      <c r="I1467" s="11" t="s">
        <v>1177</v>
      </c>
      <c r="J1467" s="5"/>
      <c r="K1467" s="22">
        <f>YEAR(Tabla1[[#This Row],[Fecha]])</f>
        <v>2021</v>
      </c>
      <c r="L1467" s="22">
        <f>MONTH(Tabla1[[#This Row],[Fecha]])</f>
        <v>11</v>
      </c>
    </row>
    <row r="1468" spans="2:12" hidden="1" x14ac:dyDescent="0.25">
      <c r="B1468" s="5" t="s">
        <v>309</v>
      </c>
      <c r="C1468" s="5" t="s">
        <v>1014</v>
      </c>
      <c r="D1468" s="5" t="s">
        <v>131</v>
      </c>
      <c r="E1468" s="38">
        <v>44518</v>
      </c>
      <c r="F1468" s="4"/>
      <c r="G1468" s="4" t="s">
        <v>16</v>
      </c>
      <c r="H1468" s="2"/>
      <c r="I1468" s="11" t="s">
        <v>1517</v>
      </c>
      <c r="J1468" s="5" t="s">
        <v>1518</v>
      </c>
      <c r="K1468" s="22">
        <f>YEAR(Tabla1[[#This Row],[Fecha]])</f>
        <v>2021</v>
      </c>
      <c r="L1468" s="22">
        <f>MONTH(Tabla1[[#This Row],[Fecha]])</f>
        <v>11</v>
      </c>
    </row>
    <row r="1469" spans="2:12" hidden="1" x14ac:dyDescent="0.25">
      <c r="B1469" s="5" t="s">
        <v>49</v>
      </c>
      <c r="C1469" s="5" t="s">
        <v>115</v>
      </c>
      <c r="D1469" s="5" t="s">
        <v>1167</v>
      </c>
      <c r="E1469" s="6">
        <v>44517</v>
      </c>
      <c r="F1469" s="4" t="s">
        <v>91</v>
      </c>
      <c r="G1469" s="4" t="s">
        <v>16</v>
      </c>
      <c r="H1469" s="8" t="s">
        <v>34</v>
      </c>
      <c r="I1469" s="11" t="s">
        <v>1168</v>
      </c>
      <c r="J1469" s="7"/>
      <c r="K1469" s="15">
        <f>YEAR(Tabla1[[#This Row],[Fecha]])</f>
        <v>2021</v>
      </c>
      <c r="L1469" s="15">
        <f>MONTH(Tabla1[[#This Row],[Fecha]])</f>
        <v>11</v>
      </c>
    </row>
    <row r="1470" spans="2:12" hidden="1" x14ac:dyDescent="0.25">
      <c r="B1470" s="5" t="s">
        <v>49</v>
      </c>
      <c r="C1470" s="5" t="s">
        <v>117</v>
      </c>
      <c r="D1470" s="5" t="s">
        <v>1167</v>
      </c>
      <c r="E1470" s="6">
        <v>44517</v>
      </c>
      <c r="F1470" s="4" t="s">
        <v>91</v>
      </c>
      <c r="G1470" s="4" t="s">
        <v>16</v>
      </c>
      <c r="H1470" s="8" t="s">
        <v>34</v>
      </c>
      <c r="I1470" s="11" t="s">
        <v>1168</v>
      </c>
      <c r="J1470" s="7"/>
      <c r="K1470" s="15">
        <f>YEAR(Tabla1[[#This Row],[Fecha]])</f>
        <v>2021</v>
      </c>
      <c r="L1470" s="15">
        <f>MONTH(Tabla1[[#This Row],[Fecha]])</f>
        <v>11</v>
      </c>
    </row>
    <row r="1471" spans="2:12" hidden="1" x14ac:dyDescent="0.25">
      <c r="B1471" s="5" t="s">
        <v>49</v>
      </c>
      <c r="C1471" s="5" t="s">
        <v>57</v>
      </c>
      <c r="D1471" s="5" t="s">
        <v>1167</v>
      </c>
      <c r="E1471" s="6">
        <v>44517</v>
      </c>
      <c r="F1471" s="4" t="s">
        <v>91</v>
      </c>
      <c r="G1471" s="4" t="s">
        <v>16</v>
      </c>
      <c r="H1471" s="8" t="s">
        <v>34</v>
      </c>
      <c r="I1471" s="11" t="s">
        <v>1168</v>
      </c>
      <c r="J1471" s="7"/>
      <c r="K1471" s="15">
        <f>YEAR(Tabla1[[#This Row],[Fecha]])</f>
        <v>2021</v>
      </c>
      <c r="L1471" s="15">
        <f>MONTH(Tabla1[[#This Row],[Fecha]])</f>
        <v>11</v>
      </c>
    </row>
    <row r="1472" spans="2:12" hidden="1" x14ac:dyDescent="0.25">
      <c r="B1472" s="5" t="s">
        <v>49</v>
      </c>
      <c r="C1472" s="5" t="s">
        <v>123</v>
      </c>
      <c r="D1472" s="5" t="s">
        <v>1167</v>
      </c>
      <c r="E1472" s="6">
        <v>44517</v>
      </c>
      <c r="F1472" s="4" t="s">
        <v>91</v>
      </c>
      <c r="G1472" s="4" t="s">
        <v>16</v>
      </c>
      <c r="H1472" s="8" t="s">
        <v>34</v>
      </c>
      <c r="I1472" s="11" t="s">
        <v>1168</v>
      </c>
      <c r="J1472" s="7"/>
      <c r="K1472" s="15">
        <f>YEAR(Tabla1[[#This Row],[Fecha]])</f>
        <v>2021</v>
      </c>
      <c r="L1472" s="15">
        <f>MONTH(Tabla1[[#This Row],[Fecha]])</f>
        <v>11</v>
      </c>
    </row>
    <row r="1473" spans="2:12" hidden="1" x14ac:dyDescent="0.25">
      <c r="B1473" s="5" t="s">
        <v>49</v>
      </c>
      <c r="C1473" s="5" t="s">
        <v>56</v>
      </c>
      <c r="D1473" s="5" t="s">
        <v>1084</v>
      </c>
      <c r="E1473" s="38">
        <v>44517</v>
      </c>
      <c r="F1473" s="4"/>
      <c r="G1473" s="4" t="s">
        <v>16</v>
      </c>
      <c r="H1473" s="2"/>
      <c r="I1473" s="11" t="s">
        <v>1177</v>
      </c>
      <c r="J1473" s="5"/>
      <c r="K1473" s="22">
        <f>YEAR(Tabla1[[#This Row],[Fecha]])</f>
        <v>2021</v>
      </c>
      <c r="L1473" s="22">
        <f>MONTH(Tabla1[[#This Row],[Fecha]])</f>
        <v>11</v>
      </c>
    </row>
    <row r="1474" spans="2:12" hidden="1" x14ac:dyDescent="0.25">
      <c r="B1474" s="5" t="s">
        <v>49</v>
      </c>
      <c r="C1474" s="5" t="s">
        <v>66</v>
      </c>
      <c r="D1474" s="5" t="s">
        <v>1084</v>
      </c>
      <c r="E1474" s="38">
        <v>44517</v>
      </c>
      <c r="F1474" s="4"/>
      <c r="G1474" s="4" t="s">
        <v>16</v>
      </c>
      <c r="H1474" s="2"/>
      <c r="I1474" s="11" t="s">
        <v>1177</v>
      </c>
      <c r="J1474" s="5"/>
      <c r="K1474" s="22">
        <f>YEAR(Tabla1[[#This Row],[Fecha]])</f>
        <v>2021</v>
      </c>
      <c r="L1474" s="22">
        <f>MONTH(Tabla1[[#This Row],[Fecha]])</f>
        <v>11</v>
      </c>
    </row>
    <row r="1475" spans="2:12" hidden="1" x14ac:dyDescent="0.25">
      <c r="B1475" s="5" t="s">
        <v>309</v>
      </c>
      <c r="C1475" s="5" t="s">
        <v>1014</v>
      </c>
      <c r="D1475" s="5" t="s">
        <v>131</v>
      </c>
      <c r="E1475" s="38">
        <v>44511</v>
      </c>
      <c r="F1475" s="4"/>
      <c r="G1475" s="4" t="s">
        <v>16</v>
      </c>
      <c r="H1475" s="2"/>
      <c r="I1475" s="11" t="s">
        <v>1515</v>
      </c>
      <c r="J1475" s="5"/>
      <c r="K1475" s="22">
        <f>YEAR(Tabla1[[#This Row],[Fecha]])</f>
        <v>2021</v>
      </c>
      <c r="L1475" s="22">
        <f>MONTH(Tabla1[[#This Row],[Fecha]])</f>
        <v>11</v>
      </c>
    </row>
    <row r="1476" spans="2:12" hidden="1" x14ac:dyDescent="0.25">
      <c r="B1476" s="5" t="s">
        <v>309</v>
      </c>
      <c r="C1476" s="5" t="s">
        <v>318</v>
      </c>
      <c r="D1476" s="5" t="s">
        <v>131</v>
      </c>
      <c r="E1476" s="38">
        <v>44511</v>
      </c>
      <c r="F1476" s="4"/>
      <c r="G1476" s="4" t="s">
        <v>16</v>
      </c>
      <c r="H1476" s="2"/>
      <c r="I1476" s="11" t="s">
        <v>1516</v>
      </c>
      <c r="J1476" s="5"/>
      <c r="K1476" s="22">
        <f>YEAR(Tabla1[[#This Row],[Fecha]])</f>
        <v>2021</v>
      </c>
      <c r="L1476" s="22">
        <f>MONTH(Tabla1[[#This Row],[Fecha]])</f>
        <v>11</v>
      </c>
    </row>
    <row r="1477" spans="2:12" hidden="1" x14ac:dyDescent="0.25">
      <c r="B1477" s="5" t="s">
        <v>309</v>
      </c>
      <c r="C1477" s="5" t="s">
        <v>321</v>
      </c>
      <c r="D1477" s="5" t="s">
        <v>1167</v>
      </c>
      <c r="E1477" s="38">
        <v>44504</v>
      </c>
      <c r="F1477" s="4"/>
      <c r="G1477" s="4" t="s">
        <v>16</v>
      </c>
      <c r="H1477" s="2"/>
      <c r="I1477" s="11" t="s">
        <v>1416</v>
      </c>
      <c r="J1477" s="5" t="s">
        <v>1417</v>
      </c>
      <c r="K1477" s="22">
        <f>YEAR(Tabla1[[#This Row],[Fecha]])</f>
        <v>2021</v>
      </c>
      <c r="L1477" s="22">
        <f>MONTH(Tabla1[[#This Row],[Fecha]])</f>
        <v>11</v>
      </c>
    </row>
    <row r="1478" spans="2:12" hidden="1" x14ac:dyDescent="0.25">
      <c r="B1478" s="5" t="s">
        <v>309</v>
      </c>
      <c r="C1478" s="5" t="s">
        <v>1014</v>
      </c>
      <c r="D1478" s="5" t="s">
        <v>131</v>
      </c>
      <c r="E1478" s="38">
        <v>44503</v>
      </c>
      <c r="F1478" s="4"/>
      <c r="G1478" s="4" t="s">
        <v>16</v>
      </c>
      <c r="H1478" s="2"/>
      <c r="I1478" s="11" t="s">
        <v>1512</v>
      </c>
      <c r="J1478" s="5" t="s">
        <v>1513</v>
      </c>
      <c r="K1478" s="22">
        <f>YEAR(Tabla1[[#This Row],[Fecha]])</f>
        <v>2021</v>
      </c>
      <c r="L1478" s="22">
        <f>MONTH(Tabla1[[#This Row],[Fecha]])</f>
        <v>11</v>
      </c>
    </row>
    <row r="1479" spans="2:12" hidden="1" x14ac:dyDescent="0.25">
      <c r="B1479" s="5" t="s">
        <v>309</v>
      </c>
      <c r="C1479" s="5" t="s">
        <v>318</v>
      </c>
      <c r="D1479" s="5" t="s">
        <v>131</v>
      </c>
      <c r="E1479" s="38">
        <v>44503</v>
      </c>
      <c r="F1479" s="4"/>
      <c r="G1479" s="4" t="s">
        <v>16</v>
      </c>
      <c r="H1479" s="2"/>
      <c r="I1479" s="11" t="s">
        <v>1514</v>
      </c>
      <c r="J1479" s="5"/>
      <c r="K1479" s="22">
        <f>YEAR(Tabla1[[#This Row],[Fecha]])</f>
        <v>2021</v>
      </c>
      <c r="L1479" s="22">
        <f>MONTH(Tabla1[[#This Row],[Fecha]])</f>
        <v>11</v>
      </c>
    </row>
    <row r="1480" spans="2:12" hidden="1" x14ac:dyDescent="0.25">
      <c r="B1480" s="5" t="s">
        <v>309</v>
      </c>
      <c r="C1480" s="5" t="s">
        <v>321</v>
      </c>
      <c r="D1480" s="5" t="s">
        <v>131</v>
      </c>
      <c r="E1480" s="38">
        <v>44502</v>
      </c>
      <c r="F1480" s="4"/>
      <c r="G1480" s="4" t="s">
        <v>16</v>
      </c>
      <c r="H1480" s="2"/>
      <c r="I1480" s="11" t="s">
        <v>1449</v>
      </c>
      <c r="J1480" s="5" t="s">
        <v>1450</v>
      </c>
      <c r="K1480" s="22">
        <f>YEAR(Tabla1[[#This Row],[Fecha]])</f>
        <v>2021</v>
      </c>
      <c r="L1480" s="22">
        <f>MONTH(Tabla1[[#This Row],[Fecha]])</f>
        <v>11</v>
      </c>
    </row>
    <row r="1481" spans="2:12" hidden="1" x14ac:dyDescent="0.25">
      <c r="B1481" s="5" t="s">
        <v>309</v>
      </c>
      <c r="C1481" s="5" t="s">
        <v>321</v>
      </c>
      <c r="D1481" s="5" t="s">
        <v>1167</v>
      </c>
      <c r="E1481" s="38">
        <v>44494</v>
      </c>
      <c r="F1481" s="4"/>
      <c r="G1481" s="4" t="s">
        <v>16</v>
      </c>
      <c r="H1481" s="2"/>
      <c r="I1481" s="11" t="s">
        <v>1435</v>
      </c>
      <c r="J1481" s="5" t="s">
        <v>1436</v>
      </c>
      <c r="K1481" s="22">
        <f>YEAR(Tabla1[[#This Row],[Fecha]])</f>
        <v>2021</v>
      </c>
      <c r="L1481" s="22">
        <f>MONTH(Tabla1[[#This Row],[Fecha]])</f>
        <v>10</v>
      </c>
    </row>
    <row r="1482" spans="2:12" hidden="1" x14ac:dyDescent="0.25">
      <c r="B1482" s="5" t="s">
        <v>27</v>
      </c>
      <c r="C1482" s="5" t="s">
        <v>28</v>
      </c>
      <c r="D1482" s="5" t="s">
        <v>131</v>
      </c>
      <c r="E1482" s="38">
        <v>44491</v>
      </c>
      <c r="F1482" s="4"/>
      <c r="G1482" s="4" t="s">
        <v>16</v>
      </c>
      <c r="H1482" s="2"/>
      <c r="I1482" s="11" t="s">
        <v>1294</v>
      </c>
      <c r="J1482" s="5"/>
      <c r="K1482" s="22">
        <f>YEAR(Tabla1[[#This Row],[Fecha]])</f>
        <v>2021</v>
      </c>
      <c r="L1482" s="22">
        <f>MONTH(Tabla1[[#This Row],[Fecha]])</f>
        <v>10</v>
      </c>
    </row>
    <row r="1483" spans="2:12" hidden="1" x14ac:dyDescent="0.25">
      <c r="B1483" s="5" t="s">
        <v>309</v>
      </c>
      <c r="C1483" s="5" t="s">
        <v>321</v>
      </c>
      <c r="D1483" s="5" t="s">
        <v>131</v>
      </c>
      <c r="E1483" s="38">
        <v>44491</v>
      </c>
      <c r="F1483" s="4"/>
      <c r="G1483" s="4" t="s">
        <v>16</v>
      </c>
      <c r="H1483" s="2"/>
      <c r="I1483" s="11" t="s">
        <v>1448</v>
      </c>
      <c r="J1483" s="5"/>
      <c r="K1483" s="22">
        <f>YEAR(Tabla1[[#This Row],[Fecha]])</f>
        <v>2021</v>
      </c>
      <c r="L1483" s="22">
        <f>MONTH(Tabla1[[#This Row],[Fecha]])</f>
        <v>10</v>
      </c>
    </row>
    <row r="1484" spans="2:12" hidden="1" x14ac:dyDescent="0.25">
      <c r="B1484" s="5" t="s">
        <v>309</v>
      </c>
      <c r="C1484" s="5" t="s">
        <v>321</v>
      </c>
      <c r="D1484" s="5" t="s">
        <v>131</v>
      </c>
      <c r="E1484" s="38">
        <v>44490</v>
      </c>
      <c r="F1484" s="4"/>
      <c r="G1484" s="4" t="s">
        <v>16</v>
      </c>
      <c r="H1484" s="2"/>
      <c r="I1484" s="11" t="s">
        <v>1446</v>
      </c>
      <c r="J1484" s="5" t="s">
        <v>1447</v>
      </c>
      <c r="K1484" s="22">
        <f>YEAR(Tabla1[[#This Row],[Fecha]])</f>
        <v>2021</v>
      </c>
      <c r="L1484" s="22">
        <f>MONTH(Tabla1[[#This Row],[Fecha]])</f>
        <v>10</v>
      </c>
    </row>
    <row r="1485" spans="2:12" hidden="1" x14ac:dyDescent="0.25">
      <c r="B1485" s="5" t="s">
        <v>309</v>
      </c>
      <c r="C1485" s="5" t="s">
        <v>318</v>
      </c>
      <c r="D1485" s="5" t="s">
        <v>131</v>
      </c>
      <c r="E1485" s="38">
        <v>44489</v>
      </c>
      <c r="F1485" s="4"/>
      <c r="G1485" s="4" t="s">
        <v>16</v>
      </c>
      <c r="H1485" s="2"/>
      <c r="I1485" s="11" t="s">
        <v>1507</v>
      </c>
      <c r="J1485" s="5"/>
      <c r="K1485" s="22">
        <f>YEAR(Tabla1[[#This Row],[Fecha]])</f>
        <v>2021</v>
      </c>
      <c r="L1485" s="22">
        <f>MONTH(Tabla1[[#This Row],[Fecha]])</f>
        <v>10</v>
      </c>
    </row>
    <row r="1486" spans="2:12" hidden="1" x14ac:dyDescent="0.25">
      <c r="B1486" s="5" t="s">
        <v>27</v>
      </c>
      <c r="C1486" s="5" t="s">
        <v>28</v>
      </c>
      <c r="D1486" s="5" t="s">
        <v>131</v>
      </c>
      <c r="E1486" s="6">
        <v>44488</v>
      </c>
      <c r="F1486" s="4" t="s">
        <v>15</v>
      </c>
      <c r="G1486" s="4" t="s">
        <v>16</v>
      </c>
      <c r="H1486" s="4" t="s">
        <v>74</v>
      </c>
      <c r="I1486" s="11" t="s">
        <v>1293</v>
      </c>
      <c r="J1486" s="5"/>
      <c r="K1486" s="22">
        <f>YEAR(Tabla1[[#This Row],[Fecha]])</f>
        <v>2021</v>
      </c>
      <c r="L1486" s="22">
        <f>MONTH(Tabla1[[#This Row],[Fecha]])</f>
        <v>10</v>
      </c>
    </row>
    <row r="1487" spans="2:12" hidden="1" x14ac:dyDescent="0.25">
      <c r="B1487" s="5" t="s">
        <v>309</v>
      </c>
      <c r="C1487" s="5" t="s">
        <v>318</v>
      </c>
      <c r="D1487" s="5" t="s">
        <v>131</v>
      </c>
      <c r="E1487" s="38">
        <v>44487</v>
      </c>
      <c r="F1487" s="4"/>
      <c r="G1487" s="4" t="s">
        <v>16</v>
      </c>
      <c r="H1487" s="2"/>
      <c r="I1487" s="11" t="s">
        <v>1508</v>
      </c>
      <c r="J1487" s="5"/>
      <c r="K1487" s="22">
        <f>YEAR(Tabla1[[#This Row],[Fecha]])</f>
        <v>2021</v>
      </c>
      <c r="L1487" s="22">
        <f>MONTH(Tabla1[[#This Row],[Fecha]])</f>
        <v>10</v>
      </c>
    </row>
    <row r="1488" spans="2:12" hidden="1" x14ac:dyDescent="0.25">
      <c r="B1488" s="5" t="s">
        <v>309</v>
      </c>
      <c r="C1488" s="5" t="s">
        <v>1014</v>
      </c>
      <c r="D1488" s="5" t="s">
        <v>131</v>
      </c>
      <c r="E1488" s="38">
        <v>44487</v>
      </c>
      <c r="F1488" s="4"/>
      <c r="G1488" s="4" t="s">
        <v>16</v>
      </c>
      <c r="H1488" s="2"/>
      <c r="I1488" s="11" t="s">
        <v>1509</v>
      </c>
      <c r="J1488" s="5"/>
      <c r="K1488" s="22">
        <f>YEAR(Tabla1[[#This Row],[Fecha]])</f>
        <v>2021</v>
      </c>
      <c r="L1488" s="22">
        <f>MONTH(Tabla1[[#This Row],[Fecha]])</f>
        <v>10</v>
      </c>
    </row>
    <row r="1489" spans="2:12" hidden="1" x14ac:dyDescent="0.25">
      <c r="B1489" s="5" t="s">
        <v>309</v>
      </c>
      <c r="C1489" s="5" t="s">
        <v>1014</v>
      </c>
      <c r="D1489" s="5" t="s">
        <v>1167</v>
      </c>
      <c r="E1489" s="38">
        <v>44482</v>
      </c>
      <c r="F1489" s="4"/>
      <c r="G1489" s="4" t="s">
        <v>16</v>
      </c>
      <c r="H1489" s="2"/>
      <c r="I1489" s="11" t="s">
        <v>1503</v>
      </c>
      <c r="J1489" s="5" t="s">
        <v>1504</v>
      </c>
      <c r="K1489" s="22">
        <f>YEAR(Tabla1[[#This Row],[Fecha]])</f>
        <v>2021</v>
      </c>
      <c r="L1489" s="22">
        <f>MONTH(Tabla1[[#This Row],[Fecha]])</f>
        <v>10</v>
      </c>
    </row>
    <row r="1490" spans="2:12" hidden="1" x14ac:dyDescent="0.25">
      <c r="B1490" s="5" t="s">
        <v>309</v>
      </c>
      <c r="C1490" s="5" t="s">
        <v>1014</v>
      </c>
      <c r="D1490" s="5" t="s">
        <v>1167</v>
      </c>
      <c r="E1490" s="38">
        <v>44482</v>
      </c>
      <c r="F1490" s="4"/>
      <c r="G1490" s="4" t="s">
        <v>16</v>
      </c>
      <c r="H1490" s="2"/>
      <c r="I1490" s="11" t="s">
        <v>1505</v>
      </c>
      <c r="J1490" s="5"/>
      <c r="K1490" s="22">
        <f>YEAR(Tabla1[[#This Row],[Fecha]])</f>
        <v>2021</v>
      </c>
      <c r="L1490" s="22">
        <f>MONTH(Tabla1[[#This Row],[Fecha]])</f>
        <v>10</v>
      </c>
    </row>
    <row r="1491" spans="2:12" hidden="1" x14ac:dyDescent="0.25">
      <c r="B1491" s="5" t="s">
        <v>309</v>
      </c>
      <c r="C1491" s="5" t="s">
        <v>321</v>
      </c>
      <c r="D1491" s="5" t="s">
        <v>131</v>
      </c>
      <c r="E1491" s="38">
        <v>44475</v>
      </c>
      <c r="F1491" s="4"/>
      <c r="G1491" s="4" t="s">
        <v>16</v>
      </c>
      <c r="H1491" s="2"/>
      <c r="I1491" s="11" t="s">
        <v>1442</v>
      </c>
      <c r="J1491" s="5" t="s">
        <v>1443</v>
      </c>
      <c r="K1491" s="22">
        <f>YEAR(Tabla1[[#This Row],[Fecha]])</f>
        <v>2021</v>
      </c>
      <c r="L1491" s="22">
        <f>MONTH(Tabla1[[#This Row],[Fecha]])</f>
        <v>10</v>
      </c>
    </row>
    <row r="1492" spans="2:12" hidden="1" x14ac:dyDescent="0.25">
      <c r="B1492" s="5" t="s">
        <v>309</v>
      </c>
      <c r="C1492" s="5" t="s">
        <v>320</v>
      </c>
      <c r="D1492" s="5" t="s">
        <v>131</v>
      </c>
      <c r="E1492" s="38">
        <v>44475</v>
      </c>
      <c r="F1492" s="4"/>
      <c r="G1492" s="4" t="s">
        <v>16</v>
      </c>
      <c r="H1492" s="2"/>
      <c r="I1492" s="11" t="s">
        <v>1444</v>
      </c>
      <c r="J1492" s="5" t="s">
        <v>1445</v>
      </c>
      <c r="K1492" s="22">
        <f>YEAR(Tabla1[[#This Row],[Fecha]])</f>
        <v>2021</v>
      </c>
      <c r="L1492" s="22">
        <f>MONTH(Tabla1[[#This Row],[Fecha]])</f>
        <v>10</v>
      </c>
    </row>
    <row r="1493" spans="2:12" hidden="1" x14ac:dyDescent="0.25">
      <c r="B1493" s="5" t="s">
        <v>309</v>
      </c>
      <c r="C1493" s="5" t="s">
        <v>320</v>
      </c>
      <c r="D1493" s="5" t="s">
        <v>131</v>
      </c>
      <c r="E1493" s="38">
        <v>44474</v>
      </c>
      <c r="F1493" s="4"/>
      <c r="G1493" s="4" t="s">
        <v>16</v>
      </c>
      <c r="H1493" s="2"/>
      <c r="I1493" s="11" t="s">
        <v>1437</v>
      </c>
      <c r="J1493" s="5" t="s">
        <v>1438</v>
      </c>
      <c r="K1493" s="22">
        <f>YEAR(Tabla1[[#This Row],[Fecha]])</f>
        <v>2021</v>
      </c>
      <c r="L1493" s="22">
        <f>MONTH(Tabla1[[#This Row],[Fecha]])</f>
        <v>10</v>
      </c>
    </row>
    <row r="1494" spans="2:12" hidden="1" x14ac:dyDescent="0.25">
      <c r="B1494" s="5" t="s">
        <v>309</v>
      </c>
      <c r="C1494" s="5" t="s">
        <v>320</v>
      </c>
      <c r="D1494" s="5" t="s">
        <v>131</v>
      </c>
      <c r="E1494" s="38">
        <v>44474</v>
      </c>
      <c r="F1494" s="4"/>
      <c r="G1494" s="4" t="s">
        <v>16</v>
      </c>
      <c r="H1494" s="2"/>
      <c r="I1494" s="11" t="s">
        <v>1437</v>
      </c>
      <c r="J1494" s="5" t="s">
        <v>1439</v>
      </c>
      <c r="K1494" s="22">
        <f>YEAR(Tabla1[[#This Row],[Fecha]])</f>
        <v>2021</v>
      </c>
      <c r="L1494" s="22">
        <f>MONTH(Tabla1[[#This Row],[Fecha]])</f>
        <v>10</v>
      </c>
    </row>
    <row r="1495" spans="2:12" hidden="1" x14ac:dyDescent="0.25">
      <c r="B1495" s="5" t="s">
        <v>309</v>
      </c>
      <c r="C1495" s="5" t="s">
        <v>321</v>
      </c>
      <c r="D1495" s="5" t="s">
        <v>131</v>
      </c>
      <c r="E1495" s="38">
        <v>44474</v>
      </c>
      <c r="F1495" s="4"/>
      <c r="G1495" s="4" t="s">
        <v>16</v>
      </c>
      <c r="H1495" s="2"/>
      <c r="I1495" s="11" t="s">
        <v>1440</v>
      </c>
      <c r="J1495" s="5" t="s">
        <v>1441</v>
      </c>
      <c r="K1495" s="22">
        <f>YEAR(Tabla1[[#This Row],[Fecha]])</f>
        <v>2021</v>
      </c>
      <c r="L1495" s="22">
        <f>MONTH(Tabla1[[#This Row],[Fecha]])</f>
        <v>10</v>
      </c>
    </row>
    <row r="1496" spans="2:12" hidden="1" x14ac:dyDescent="0.25">
      <c r="B1496" s="5" t="s">
        <v>27</v>
      </c>
      <c r="C1496" s="5" t="s">
        <v>28</v>
      </c>
      <c r="D1496" s="5" t="s">
        <v>1167</v>
      </c>
      <c r="E1496" s="38">
        <v>44473</v>
      </c>
      <c r="F1496" s="4"/>
      <c r="G1496" s="4" t="s">
        <v>24</v>
      </c>
      <c r="H1496" s="2"/>
      <c r="I1496" s="11" t="s">
        <v>1292</v>
      </c>
      <c r="J1496" s="5"/>
      <c r="K1496" s="22">
        <f>YEAR(Tabla1[[#This Row],[Fecha]])</f>
        <v>2021</v>
      </c>
      <c r="L1496" s="22">
        <f>MONTH(Tabla1[[#This Row],[Fecha]])</f>
        <v>10</v>
      </c>
    </row>
    <row r="1497" spans="2:12" hidden="1" x14ac:dyDescent="0.25">
      <c r="B1497" s="5" t="s">
        <v>27</v>
      </c>
      <c r="C1497" s="5" t="s">
        <v>28</v>
      </c>
      <c r="D1497" s="5" t="s">
        <v>1167</v>
      </c>
      <c r="E1497" s="38">
        <v>44470</v>
      </c>
      <c r="F1497" s="4"/>
      <c r="G1497" s="4" t="s">
        <v>16</v>
      </c>
      <c r="H1497" s="2"/>
      <c r="I1497" s="11" t="s">
        <v>1291</v>
      </c>
      <c r="J1497" s="5"/>
      <c r="K1497" s="22">
        <f>YEAR(Tabla1[[#This Row],[Fecha]])</f>
        <v>2021</v>
      </c>
      <c r="L1497" s="22">
        <f>MONTH(Tabla1[[#This Row],[Fecha]])</f>
        <v>10</v>
      </c>
    </row>
    <row r="1498" spans="2:12" hidden="1" x14ac:dyDescent="0.25">
      <c r="B1498" s="5" t="s">
        <v>309</v>
      </c>
      <c r="C1498" s="5" t="s">
        <v>320</v>
      </c>
      <c r="D1498" s="5" t="s">
        <v>1167</v>
      </c>
      <c r="E1498" s="38">
        <v>44469</v>
      </c>
      <c r="F1498" s="4"/>
      <c r="G1498" s="4" t="s">
        <v>16</v>
      </c>
      <c r="H1498" s="2"/>
      <c r="I1498" s="11" t="s">
        <v>1431</v>
      </c>
      <c r="J1498" s="5" t="s">
        <v>1432</v>
      </c>
      <c r="K1498" s="22">
        <f>YEAR(Tabla1[[#This Row],[Fecha]])</f>
        <v>2021</v>
      </c>
      <c r="L1498" s="22">
        <f>MONTH(Tabla1[[#This Row],[Fecha]])</f>
        <v>9</v>
      </c>
    </row>
    <row r="1499" spans="2:12" hidden="1" x14ac:dyDescent="0.25">
      <c r="B1499" s="5" t="s">
        <v>309</v>
      </c>
      <c r="C1499" s="5" t="s">
        <v>321</v>
      </c>
      <c r="D1499" s="5" t="s">
        <v>1167</v>
      </c>
      <c r="E1499" s="38">
        <v>44469</v>
      </c>
      <c r="F1499" s="4"/>
      <c r="G1499" s="4" t="s">
        <v>16</v>
      </c>
      <c r="H1499" s="2"/>
      <c r="I1499" s="11" t="s">
        <v>1433</v>
      </c>
      <c r="J1499" s="5" t="s">
        <v>1434</v>
      </c>
      <c r="K1499" s="22">
        <f>YEAR(Tabla1[[#This Row],[Fecha]])</f>
        <v>2021</v>
      </c>
      <c r="L1499" s="22">
        <f>MONTH(Tabla1[[#This Row],[Fecha]])</f>
        <v>9</v>
      </c>
    </row>
    <row r="1500" spans="2:12" hidden="1" x14ac:dyDescent="0.25">
      <c r="B1500" s="5" t="s">
        <v>193</v>
      </c>
      <c r="C1500" s="5" t="s">
        <v>253</v>
      </c>
      <c r="D1500" s="5" t="s">
        <v>131</v>
      </c>
      <c r="E1500" s="6">
        <v>44468</v>
      </c>
      <c r="F1500" s="4" t="s">
        <v>91</v>
      </c>
      <c r="G1500" s="4" t="s">
        <v>16</v>
      </c>
      <c r="H1500" s="19" t="s">
        <v>1775</v>
      </c>
      <c r="I1500" s="11" t="s">
        <v>1328</v>
      </c>
      <c r="J1500" s="7"/>
      <c r="K1500" s="15">
        <f>YEAR(Tabla1[[#This Row],[Fecha]])</f>
        <v>2021</v>
      </c>
      <c r="L1500" s="15">
        <f>MONTH(Tabla1[[#This Row],[Fecha]])</f>
        <v>9</v>
      </c>
    </row>
    <row r="1501" spans="2:12" hidden="1" x14ac:dyDescent="0.25">
      <c r="B1501" s="5" t="s">
        <v>309</v>
      </c>
      <c r="C1501" s="5" t="s">
        <v>321</v>
      </c>
      <c r="D1501" s="5" t="s">
        <v>1167</v>
      </c>
      <c r="E1501" s="6">
        <v>44467</v>
      </c>
      <c r="F1501" s="4" t="s">
        <v>91</v>
      </c>
      <c r="G1501" s="4" t="s">
        <v>24</v>
      </c>
      <c r="H1501" s="8" t="s">
        <v>118</v>
      </c>
      <c r="I1501" s="11" t="s">
        <v>1428</v>
      </c>
      <c r="J1501" s="5" t="s">
        <v>1429</v>
      </c>
      <c r="K1501" s="15">
        <f>YEAR(Tabla1[[#This Row],[Fecha]])</f>
        <v>2021</v>
      </c>
      <c r="L1501" s="15">
        <f>MONTH(Tabla1[[#This Row],[Fecha]])</f>
        <v>9</v>
      </c>
    </row>
    <row r="1502" spans="2:12" hidden="1" x14ac:dyDescent="0.25">
      <c r="B1502" s="5" t="s">
        <v>309</v>
      </c>
      <c r="C1502" s="5" t="s">
        <v>320</v>
      </c>
      <c r="D1502" s="5" t="s">
        <v>1167</v>
      </c>
      <c r="E1502" s="6">
        <v>44467</v>
      </c>
      <c r="F1502" s="4" t="s">
        <v>91</v>
      </c>
      <c r="G1502" s="4" t="s">
        <v>24</v>
      </c>
      <c r="H1502" s="8" t="s">
        <v>118</v>
      </c>
      <c r="I1502" s="11" t="s">
        <v>1430</v>
      </c>
      <c r="J1502" s="7"/>
      <c r="K1502" s="15">
        <f>YEAR(Tabla1[[#This Row],[Fecha]])</f>
        <v>2021</v>
      </c>
      <c r="L1502" s="15">
        <f>MONTH(Tabla1[[#This Row],[Fecha]])</f>
        <v>9</v>
      </c>
    </row>
    <row r="1503" spans="2:12" hidden="1" x14ac:dyDescent="0.25">
      <c r="B1503" s="5" t="s">
        <v>309</v>
      </c>
      <c r="C1503" s="5" t="s">
        <v>1014</v>
      </c>
      <c r="D1503" s="5" t="s">
        <v>131</v>
      </c>
      <c r="E1503" s="38">
        <v>44467</v>
      </c>
      <c r="F1503" s="4"/>
      <c r="G1503" s="4" t="s">
        <v>16</v>
      </c>
      <c r="H1503" s="2"/>
      <c r="I1503" s="11" t="s">
        <v>1506</v>
      </c>
      <c r="J1503" s="5"/>
      <c r="K1503" s="22">
        <f>YEAR(Tabla1[[#This Row],[Fecha]])</f>
        <v>2021</v>
      </c>
      <c r="L1503" s="22">
        <f>MONTH(Tabla1[[#This Row],[Fecha]])</f>
        <v>9</v>
      </c>
    </row>
    <row r="1504" spans="2:12" hidden="1" x14ac:dyDescent="0.25">
      <c r="B1504" s="5" t="s">
        <v>309</v>
      </c>
      <c r="C1504" s="5" t="s">
        <v>318</v>
      </c>
      <c r="D1504" s="5" t="s">
        <v>131</v>
      </c>
      <c r="E1504" s="38">
        <v>44467</v>
      </c>
      <c r="F1504" s="4"/>
      <c r="G1504" s="4" t="s">
        <v>16</v>
      </c>
      <c r="H1504" s="2"/>
      <c r="I1504" s="11" t="s">
        <v>1507</v>
      </c>
      <c r="J1504" s="5"/>
      <c r="K1504" s="22">
        <f>YEAR(Tabla1[[#This Row],[Fecha]])</f>
        <v>2021</v>
      </c>
      <c r="L1504" s="22">
        <f>MONTH(Tabla1[[#This Row],[Fecha]])</f>
        <v>9</v>
      </c>
    </row>
    <row r="1505" spans="2:12" hidden="1" x14ac:dyDescent="0.25">
      <c r="B1505" s="5" t="s">
        <v>309</v>
      </c>
      <c r="C1505" s="5" t="s">
        <v>313</v>
      </c>
      <c r="D1505" s="5" t="s">
        <v>131</v>
      </c>
      <c r="E1505" s="13">
        <v>44466</v>
      </c>
      <c r="F1505" s="4" t="s">
        <v>91</v>
      </c>
      <c r="G1505" s="2" t="s">
        <v>16</v>
      </c>
      <c r="H1505" s="2" t="s">
        <v>1775</v>
      </c>
      <c r="I1505" s="2" t="s">
        <v>1599</v>
      </c>
      <c r="J1505" s="7" t="s">
        <v>1600</v>
      </c>
      <c r="K1505" s="15">
        <f>YEAR(Tabla1[[#This Row],[Fecha]])</f>
        <v>2021</v>
      </c>
      <c r="L1505" s="15">
        <f>MONTH(Tabla1[[#This Row],[Fecha]])</f>
        <v>9</v>
      </c>
    </row>
    <row r="1506" spans="2:12" hidden="1" x14ac:dyDescent="0.25">
      <c r="B1506" s="5" t="s">
        <v>309</v>
      </c>
      <c r="C1506" s="5" t="s">
        <v>728</v>
      </c>
      <c r="D1506" s="5" t="s">
        <v>131</v>
      </c>
      <c r="E1506" s="13">
        <v>44459</v>
      </c>
      <c r="F1506" s="4" t="s">
        <v>91</v>
      </c>
      <c r="G1506" s="2" t="s">
        <v>16</v>
      </c>
      <c r="H1506" s="2" t="s">
        <v>1775</v>
      </c>
      <c r="I1506" s="2" t="s">
        <v>1623</v>
      </c>
      <c r="J1506" s="7"/>
      <c r="K1506" s="15">
        <f>YEAR(Tabla1[[#This Row],[Fecha]])</f>
        <v>2021</v>
      </c>
      <c r="L1506" s="15">
        <f>MONTH(Tabla1[[#This Row],[Fecha]])</f>
        <v>9</v>
      </c>
    </row>
    <row r="1507" spans="2:12" hidden="1" x14ac:dyDescent="0.25">
      <c r="B1507" s="5" t="s">
        <v>309</v>
      </c>
      <c r="C1507" s="5" t="s">
        <v>711</v>
      </c>
      <c r="D1507" s="5" t="s">
        <v>131</v>
      </c>
      <c r="E1507" s="13">
        <v>44459</v>
      </c>
      <c r="F1507" s="4" t="s">
        <v>91</v>
      </c>
      <c r="G1507" s="2" t="s">
        <v>16</v>
      </c>
      <c r="H1507" s="2" t="s">
        <v>1775</v>
      </c>
      <c r="I1507" s="2" t="s">
        <v>1624</v>
      </c>
      <c r="J1507" s="7"/>
      <c r="K1507" s="15">
        <f>YEAR(Tabla1[[#This Row],[Fecha]])</f>
        <v>2021</v>
      </c>
      <c r="L1507" s="15">
        <f>MONTH(Tabla1[[#This Row],[Fecha]])</f>
        <v>9</v>
      </c>
    </row>
    <row r="1508" spans="2:12" hidden="1" x14ac:dyDescent="0.25">
      <c r="B1508" s="2" t="s">
        <v>309</v>
      </c>
      <c r="C1508" s="2" t="s">
        <v>310</v>
      </c>
      <c r="D1508" s="2" t="s">
        <v>11</v>
      </c>
      <c r="E1508" s="12">
        <v>44424</v>
      </c>
      <c r="F1508" s="2"/>
      <c r="G1508" s="4" t="s">
        <v>16</v>
      </c>
      <c r="H1508" s="2"/>
      <c r="I1508" s="2" t="s">
        <v>1550</v>
      </c>
      <c r="J1508" s="2" t="s">
        <v>1551</v>
      </c>
      <c r="K1508" s="22">
        <f>YEAR(Tabla1[[#This Row],[Fecha]])</f>
        <v>2021</v>
      </c>
      <c r="L1508" s="22">
        <f>MONTH(Tabla1[[#This Row],[Fecha]])</f>
        <v>8</v>
      </c>
    </row>
    <row r="1509" spans="2:12" hidden="1" x14ac:dyDescent="0.25">
      <c r="B1509" s="5" t="s">
        <v>309</v>
      </c>
      <c r="C1509" s="5" t="s">
        <v>711</v>
      </c>
      <c r="D1509" s="5" t="s">
        <v>131</v>
      </c>
      <c r="E1509" s="38">
        <v>44424</v>
      </c>
      <c r="F1509" s="4"/>
      <c r="G1509" s="4" t="s">
        <v>47</v>
      </c>
      <c r="H1509" s="4"/>
      <c r="I1509" s="5" t="s">
        <v>1625</v>
      </c>
      <c r="J1509" s="5"/>
      <c r="K1509" s="22">
        <f>YEAR(Tabla1[[#This Row],[Fecha]])</f>
        <v>2021</v>
      </c>
      <c r="L1509" s="22">
        <f>MONTH(Tabla1[[#This Row],[Fecha]])</f>
        <v>8</v>
      </c>
    </row>
    <row r="1510" spans="2:12" hidden="1" x14ac:dyDescent="0.25">
      <c r="B1510" s="5" t="s">
        <v>248</v>
      </c>
      <c r="C1510" s="5" t="s">
        <v>249</v>
      </c>
      <c r="D1510" s="5" t="s">
        <v>1167</v>
      </c>
      <c r="E1510" s="38">
        <v>44406</v>
      </c>
      <c r="F1510" s="4"/>
      <c r="G1510" s="4" t="s">
        <v>36</v>
      </c>
      <c r="H1510" s="2"/>
      <c r="I1510" s="11"/>
      <c r="J1510" s="5"/>
      <c r="K1510" s="22">
        <f>YEAR(Tabla1[[#This Row],[Fecha]])</f>
        <v>2021</v>
      </c>
      <c r="L1510" s="22">
        <f>MONTH(Tabla1[[#This Row],[Fecha]])</f>
        <v>7</v>
      </c>
    </row>
    <row r="1511" spans="2:12" hidden="1" x14ac:dyDescent="0.25">
      <c r="B1511" s="5" t="s">
        <v>248</v>
      </c>
      <c r="C1511" s="5" t="s">
        <v>249</v>
      </c>
      <c r="D1511" s="5" t="s">
        <v>131</v>
      </c>
      <c r="E1511" s="38">
        <v>44406</v>
      </c>
      <c r="F1511" s="4"/>
      <c r="G1511" s="4" t="s">
        <v>16</v>
      </c>
      <c r="H1511" s="2"/>
      <c r="I1511" s="11"/>
      <c r="J1511" s="5"/>
      <c r="K1511" s="22">
        <f>YEAR(Tabla1[[#This Row],[Fecha]])</f>
        <v>2021</v>
      </c>
      <c r="L1511" s="22">
        <f>MONTH(Tabla1[[#This Row],[Fecha]])</f>
        <v>7</v>
      </c>
    </row>
    <row r="1512" spans="2:12" hidden="1" x14ac:dyDescent="0.25">
      <c r="B1512" s="5" t="s">
        <v>248</v>
      </c>
      <c r="C1512" s="5" t="s">
        <v>249</v>
      </c>
      <c r="D1512" s="5" t="s">
        <v>131</v>
      </c>
      <c r="E1512" s="38">
        <v>44405</v>
      </c>
      <c r="F1512" s="4"/>
      <c r="G1512" s="4" t="s">
        <v>16</v>
      </c>
      <c r="H1512" s="2"/>
      <c r="I1512" s="11"/>
      <c r="J1512" s="5"/>
      <c r="K1512" s="22">
        <f>YEAR(Tabla1[[#This Row],[Fecha]])</f>
        <v>2021</v>
      </c>
      <c r="L1512" s="22">
        <f>MONTH(Tabla1[[#This Row],[Fecha]])</f>
        <v>7</v>
      </c>
    </row>
    <row r="1513" spans="2:12" hidden="1" x14ac:dyDescent="0.25">
      <c r="B1513" s="2" t="s">
        <v>309</v>
      </c>
      <c r="C1513" s="2" t="s">
        <v>310</v>
      </c>
      <c r="D1513" s="2" t="s">
        <v>11</v>
      </c>
      <c r="E1513" s="12">
        <v>44405</v>
      </c>
      <c r="F1513" s="2"/>
      <c r="G1513" s="4" t="s">
        <v>16</v>
      </c>
      <c r="H1513" s="2"/>
      <c r="I1513" s="2" t="s">
        <v>1552</v>
      </c>
      <c r="J1513" s="2" t="s">
        <v>1553</v>
      </c>
      <c r="K1513" s="22">
        <f>YEAR(Tabla1[[#This Row],[Fecha]])</f>
        <v>2021</v>
      </c>
      <c r="L1513" s="22">
        <f>MONTH(Tabla1[[#This Row],[Fecha]])</f>
        <v>7</v>
      </c>
    </row>
    <row r="1514" spans="2:12" hidden="1" x14ac:dyDescent="0.25">
      <c r="B1514" s="5" t="s">
        <v>248</v>
      </c>
      <c r="C1514" s="5" t="s">
        <v>249</v>
      </c>
      <c r="D1514" s="5" t="s">
        <v>131</v>
      </c>
      <c r="E1514" s="38">
        <v>44397</v>
      </c>
      <c r="F1514" s="4"/>
      <c r="G1514" s="4" t="s">
        <v>16</v>
      </c>
      <c r="H1514" s="2"/>
      <c r="I1514" s="11" t="s">
        <v>1242</v>
      </c>
      <c r="J1514" s="5"/>
      <c r="K1514" s="22">
        <f>YEAR(Tabla1[[#This Row],[Fecha]])</f>
        <v>2021</v>
      </c>
      <c r="L1514" s="22">
        <f>MONTH(Tabla1[[#This Row],[Fecha]])</f>
        <v>7</v>
      </c>
    </row>
    <row r="1515" spans="2:12" hidden="1" x14ac:dyDescent="0.25">
      <c r="B1515" s="5" t="s">
        <v>309</v>
      </c>
      <c r="C1515" s="5" t="s">
        <v>711</v>
      </c>
      <c r="D1515" s="5" t="s">
        <v>131</v>
      </c>
      <c r="E1515" s="38">
        <v>44396</v>
      </c>
      <c r="F1515" s="4"/>
      <c r="G1515" s="4" t="s">
        <v>47</v>
      </c>
      <c r="H1515" s="4"/>
      <c r="I1515" s="5" t="s">
        <v>1626</v>
      </c>
      <c r="J1515" s="5"/>
      <c r="K1515" s="22">
        <f>YEAR(Tabla1[[#This Row],[Fecha]])</f>
        <v>2021</v>
      </c>
      <c r="L1515" s="22">
        <f>MONTH(Tabla1[[#This Row],[Fecha]])</f>
        <v>7</v>
      </c>
    </row>
    <row r="1516" spans="2:12" hidden="1" x14ac:dyDescent="0.25">
      <c r="B1516" s="5" t="s">
        <v>309</v>
      </c>
      <c r="C1516" s="5" t="s">
        <v>728</v>
      </c>
      <c r="D1516" s="5" t="s">
        <v>131</v>
      </c>
      <c r="E1516" s="38">
        <v>44396</v>
      </c>
      <c r="F1516" s="4"/>
      <c r="G1516" s="4" t="s">
        <v>24</v>
      </c>
      <c r="H1516" s="4"/>
      <c r="I1516" s="5" t="s">
        <v>1627</v>
      </c>
      <c r="J1516" s="5"/>
      <c r="K1516" s="22">
        <f>YEAR(Tabla1[[#This Row],[Fecha]])</f>
        <v>2021</v>
      </c>
      <c r="L1516" s="22">
        <f>MONTH(Tabla1[[#This Row],[Fecha]])</f>
        <v>7</v>
      </c>
    </row>
    <row r="1517" spans="2:12" hidden="1" x14ac:dyDescent="0.25">
      <c r="B1517" s="5" t="s">
        <v>248</v>
      </c>
      <c r="C1517" s="5" t="s">
        <v>249</v>
      </c>
      <c r="D1517" s="5" t="s">
        <v>131</v>
      </c>
      <c r="E1517" s="38">
        <v>44376</v>
      </c>
      <c r="F1517" s="4"/>
      <c r="G1517" s="4" t="s">
        <v>24</v>
      </c>
      <c r="H1517" s="2"/>
      <c r="I1517" s="11"/>
      <c r="J1517" s="5"/>
      <c r="K1517" s="22">
        <f>YEAR(Tabla1[[#This Row],[Fecha]])</f>
        <v>2021</v>
      </c>
      <c r="L1517" s="22">
        <f>MONTH(Tabla1[[#This Row],[Fecha]])</f>
        <v>6</v>
      </c>
    </row>
    <row r="1518" spans="2:12" hidden="1" x14ac:dyDescent="0.25">
      <c r="B1518" s="5" t="s">
        <v>27</v>
      </c>
      <c r="C1518" s="5" t="s">
        <v>28</v>
      </c>
      <c r="D1518" s="5" t="s">
        <v>1167</v>
      </c>
      <c r="E1518" s="38">
        <v>44371</v>
      </c>
      <c r="F1518" s="4"/>
      <c r="G1518" s="4" t="s">
        <v>16</v>
      </c>
      <c r="H1518" s="2"/>
      <c r="I1518" s="11" t="s">
        <v>1290</v>
      </c>
      <c r="J1518" s="5"/>
      <c r="K1518" s="22">
        <f>YEAR(Tabla1[[#This Row],[Fecha]])</f>
        <v>2021</v>
      </c>
      <c r="L1518" s="22">
        <f>MONTH(Tabla1[[#This Row],[Fecha]])</f>
        <v>6</v>
      </c>
    </row>
    <row r="1519" spans="2:12" hidden="1" x14ac:dyDescent="0.25">
      <c r="B1519" s="5" t="s">
        <v>27</v>
      </c>
      <c r="C1519" s="5" t="s">
        <v>28</v>
      </c>
      <c r="D1519" s="5" t="s">
        <v>1167</v>
      </c>
      <c r="E1519" s="38">
        <v>44370</v>
      </c>
      <c r="F1519" s="4"/>
      <c r="G1519" s="4" t="s">
        <v>47</v>
      </c>
      <c r="H1519" s="2"/>
      <c r="I1519" s="11" t="s">
        <v>1289</v>
      </c>
      <c r="J1519" s="5"/>
      <c r="K1519" s="22">
        <f>YEAR(Tabla1[[#This Row],[Fecha]])</f>
        <v>2021</v>
      </c>
      <c r="L1519" s="22">
        <f>MONTH(Tabla1[[#This Row],[Fecha]])</f>
        <v>6</v>
      </c>
    </row>
    <row r="1520" spans="2:12" hidden="1" x14ac:dyDescent="0.25">
      <c r="B1520" s="2" t="s">
        <v>309</v>
      </c>
      <c r="C1520" s="2" t="s">
        <v>310</v>
      </c>
      <c r="D1520" s="2" t="s">
        <v>11</v>
      </c>
      <c r="E1520" s="12">
        <v>44364</v>
      </c>
      <c r="F1520" s="2"/>
      <c r="G1520" s="4" t="s">
        <v>16</v>
      </c>
      <c r="H1520" s="2"/>
      <c r="I1520" s="2" t="s">
        <v>1554</v>
      </c>
      <c r="J1520" s="2" t="s">
        <v>1555</v>
      </c>
      <c r="K1520" s="22">
        <f>YEAR(Tabla1[[#This Row],[Fecha]])</f>
        <v>2021</v>
      </c>
      <c r="L1520" s="22">
        <f>MONTH(Tabla1[[#This Row],[Fecha]])</f>
        <v>6</v>
      </c>
    </row>
    <row r="1521" spans="2:12" hidden="1" x14ac:dyDescent="0.25">
      <c r="B1521" s="5" t="s">
        <v>309</v>
      </c>
      <c r="C1521" s="5" t="s">
        <v>320</v>
      </c>
      <c r="D1521" s="5" t="s">
        <v>131</v>
      </c>
      <c r="E1521" s="6">
        <v>44361</v>
      </c>
      <c r="F1521" s="4" t="s">
        <v>91</v>
      </c>
      <c r="G1521" s="2" t="s">
        <v>16</v>
      </c>
      <c r="H1521" s="8" t="s">
        <v>43</v>
      </c>
      <c r="I1521" s="2" t="s">
        <v>1460</v>
      </c>
      <c r="J1521" s="7"/>
      <c r="K1521" s="15">
        <f>YEAR(Tabla1[[#This Row],[Fecha]])</f>
        <v>2021</v>
      </c>
      <c r="L1521" s="15">
        <f>MONTH(Tabla1[[#This Row],[Fecha]])</f>
        <v>6</v>
      </c>
    </row>
    <row r="1522" spans="2:12" hidden="1" x14ac:dyDescent="0.25">
      <c r="B1522" s="2" t="s">
        <v>309</v>
      </c>
      <c r="C1522" s="2" t="s">
        <v>310</v>
      </c>
      <c r="D1522" s="2" t="s">
        <v>11</v>
      </c>
      <c r="E1522" s="12">
        <v>44361</v>
      </c>
      <c r="F1522" s="2"/>
      <c r="G1522" s="4" t="s">
        <v>16</v>
      </c>
      <c r="H1522" s="2"/>
      <c r="I1522" s="2" t="s">
        <v>170</v>
      </c>
      <c r="J1522" s="2" t="s">
        <v>1549</v>
      </c>
      <c r="K1522" s="22">
        <f>YEAR(Tabla1[[#This Row],[Fecha]])</f>
        <v>2021</v>
      </c>
      <c r="L1522" s="22">
        <f>MONTH(Tabla1[[#This Row],[Fecha]])</f>
        <v>6</v>
      </c>
    </row>
    <row r="1523" spans="2:12" hidden="1" x14ac:dyDescent="0.25">
      <c r="B1523" s="5" t="s">
        <v>309</v>
      </c>
      <c r="C1523" s="5" t="s">
        <v>320</v>
      </c>
      <c r="D1523" s="5" t="s">
        <v>131</v>
      </c>
      <c r="E1523" s="38">
        <v>44356</v>
      </c>
      <c r="F1523" s="4"/>
      <c r="G1523" s="4" t="s">
        <v>16</v>
      </c>
      <c r="H1523" s="2"/>
      <c r="I1523" s="11" t="s">
        <v>1459</v>
      </c>
      <c r="J1523" s="5"/>
      <c r="K1523" s="22">
        <f>YEAR(Tabla1[[#This Row],[Fecha]])</f>
        <v>2021</v>
      </c>
      <c r="L1523" s="22">
        <f>MONTH(Tabla1[[#This Row],[Fecha]])</f>
        <v>6</v>
      </c>
    </row>
    <row r="1524" spans="2:12" hidden="1" x14ac:dyDescent="0.25">
      <c r="B1524" s="5" t="s">
        <v>309</v>
      </c>
      <c r="C1524" s="5" t="s">
        <v>711</v>
      </c>
      <c r="D1524" s="5" t="s">
        <v>131</v>
      </c>
      <c r="E1524" s="38">
        <v>44356</v>
      </c>
      <c r="F1524" s="4"/>
      <c r="G1524" s="4" t="s">
        <v>16</v>
      </c>
      <c r="H1524" s="4"/>
      <c r="I1524" s="5" t="s">
        <v>1623</v>
      </c>
      <c r="J1524" s="5"/>
      <c r="K1524" s="22">
        <f>YEAR(Tabla1[[#This Row],[Fecha]])</f>
        <v>2021</v>
      </c>
      <c r="L1524" s="22">
        <f>MONTH(Tabla1[[#This Row],[Fecha]])</f>
        <v>6</v>
      </c>
    </row>
    <row r="1525" spans="2:12" hidden="1" x14ac:dyDescent="0.25">
      <c r="B1525" s="5" t="s">
        <v>193</v>
      </c>
      <c r="C1525" s="5" t="s">
        <v>253</v>
      </c>
      <c r="D1525" s="5" t="s">
        <v>131</v>
      </c>
      <c r="E1525" s="38">
        <v>44355</v>
      </c>
      <c r="F1525" s="4"/>
      <c r="G1525" s="4" t="s">
        <v>16</v>
      </c>
      <c r="H1525" s="2"/>
      <c r="I1525" s="11" t="s">
        <v>1330</v>
      </c>
      <c r="J1525" s="5"/>
      <c r="K1525" s="22">
        <f>YEAR(Tabla1[[#This Row],[Fecha]])</f>
        <v>2021</v>
      </c>
      <c r="L1525" s="22">
        <f>MONTH(Tabla1[[#This Row],[Fecha]])</f>
        <v>6</v>
      </c>
    </row>
    <row r="1526" spans="2:12" hidden="1" x14ac:dyDescent="0.25">
      <c r="B1526" s="5" t="s">
        <v>309</v>
      </c>
      <c r="C1526" s="5" t="s">
        <v>320</v>
      </c>
      <c r="D1526" s="5" t="s">
        <v>131</v>
      </c>
      <c r="E1526" s="38">
        <v>44354</v>
      </c>
      <c r="F1526" s="4"/>
      <c r="G1526" s="4" t="s">
        <v>16</v>
      </c>
      <c r="H1526" s="2"/>
      <c r="I1526" s="11" t="s">
        <v>1456</v>
      </c>
      <c r="J1526" s="5"/>
      <c r="K1526" s="22">
        <f>YEAR(Tabla1[[#This Row],[Fecha]])</f>
        <v>2021</v>
      </c>
      <c r="L1526" s="22">
        <f>MONTH(Tabla1[[#This Row],[Fecha]])</f>
        <v>6</v>
      </c>
    </row>
    <row r="1527" spans="2:12" hidden="1" x14ac:dyDescent="0.25">
      <c r="B1527" s="5" t="s">
        <v>309</v>
      </c>
      <c r="C1527" s="5" t="s">
        <v>321</v>
      </c>
      <c r="D1527" s="5" t="s">
        <v>131</v>
      </c>
      <c r="E1527" s="38">
        <v>44354</v>
      </c>
      <c r="F1527" s="4"/>
      <c r="G1527" s="4" t="s">
        <v>16</v>
      </c>
      <c r="H1527" s="2"/>
      <c r="I1527" s="11" t="s">
        <v>1457</v>
      </c>
      <c r="J1527" s="5"/>
      <c r="K1527" s="22">
        <f>YEAR(Tabla1[[#This Row],[Fecha]])</f>
        <v>2021</v>
      </c>
      <c r="L1527" s="22">
        <f>MONTH(Tabla1[[#This Row],[Fecha]])</f>
        <v>6</v>
      </c>
    </row>
    <row r="1528" spans="2:12" hidden="1" x14ac:dyDescent="0.25">
      <c r="B1528" s="5" t="s">
        <v>193</v>
      </c>
      <c r="C1528" s="5" t="s">
        <v>253</v>
      </c>
      <c r="D1528" s="5" t="s">
        <v>131</v>
      </c>
      <c r="E1528" s="38">
        <v>44351</v>
      </c>
      <c r="F1528" s="4"/>
      <c r="G1528" s="4" t="s">
        <v>16</v>
      </c>
      <c r="H1528" s="2"/>
      <c r="I1528" s="11" t="s">
        <v>1331</v>
      </c>
      <c r="J1528" s="5"/>
      <c r="K1528" s="22">
        <f>YEAR(Tabla1[[#This Row],[Fecha]])</f>
        <v>2021</v>
      </c>
      <c r="L1528" s="22">
        <f>MONTH(Tabla1[[#This Row],[Fecha]])</f>
        <v>6</v>
      </c>
    </row>
    <row r="1529" spans="2:12" hidden="1" x14ac:dyDescent="0.25">
      <c r="B1529" s="5" t="s">
        <v>309</v>
      </c>
      <c r="C1529" s="5" t="s">
        <v>711</v>
      </c>
      <c r="D1529" s="5" t="s">
        <v>1167</v>
      </c>
      <c r="E1529" s="38">
        <v>44351</v>
      </c>
      <c r="F1529" s="4"/>
      <c r="G1529" s="4" t="s">
        <v>16</v>
      </c>
      <c r="H1529" s="4"/>
      <c r="I1529" s="5" t="s">
        <v>1622</v>
      </c>
      <c r="J1529" s="5"/>
      <c r="K1529" s="22">
        <f>YEAR(Tabla1[[#This Row],[Fecha]])</f>
        <v>2021</v>
      </c>
      <c r="L1529" s="22">
        <f>MONTH(Tabla1[[#This Row],[Fecha]])</f>
        <v>6</v>
      </c>
    </row>
    <row r="1530" spans="2:12" hidden="1" x14ac:dyDescent="0.25">
      <c r="B1530" s="5" t="s">
        <v>309</v>
      </c>
      <c r="C1530" s="5" t="s">
        <v>322</v>
      </c>
      <c r="D1530" s="5" t="s">
        <v>131</v>
      </c>
      <c r="E1530" s="38">
        <v>44350</v>
      </c>
      <c r="F1530" s="4"/>
      <c r="G1530" s="4" t="s">
        <v>16</v>
      </c>
      <c r="H1530" s="2"/>
      <c r="I1530" s="11" t="s">
        <v>1458</v>
      </c>
      <c r="J1530" s="5"/>
      <c r="K1530" s="22">
        <f>YEAR(Tabla1[[#This Row],[Fecha]])</f>
        <v>2021</v>
      </c>
      <c r="L1530" s="22">
        <f>MONTH(Tabla1[[#This Row],[Fecha]])</f>
        <v>6</v>
      </c>
    </row>
    <row r="1531" spans="2:12" hidden="1" x14ac:dyDescent="0.25">
      <c r="B1531" s="5" t="s">
        <v>193</v>
      </c>
      <c r="C1531" s="5" t="s">
        <v>752</v>
      </c>
      <c r="D1531" s="5" t="s">
        <v>131</v>
      </c>
      <c r="E1531" s="38">
        <v>44348</v>
      </c>
      <c r="F1531" s="4"/>
      <c r="G1531" s="4" t="s">
        <v>36</v>
      </c>
      <c r="H1531" s="2"/>
      <c r="I1531" s="11" t="s">
        <v>1332</v>
      </c>
      <c r="J1531" s="5"/>
      <c r="K1531" s="22">
        <f>YEAR(Tabla1[[#This Row],[Fecha]])</f>
        <v>2021</v>
      </c>
      <c r="L1531" s="22">
        <f>MONTH(Tabla1[[#This Row],[Fecha]])</f>
        <v>6</v>
      </c>
    </row>
    <row r="1532" spans="2:12" hidden="1" x14ac:dyDescent="0.25">
      <c r="B1532" s="5" t="s">
        <v>193</v>
      </c>
      <c r="C1532" s="5" t="s">
        <v>752</v>
      </c>
      <c r="D1532" s="5" t="s">
        <v>131</v>
      </c>
      <c r="E1532" s="38">
        <v>44348</v>
      </c>
      <c r="F1532" s="4"/>
      <c r="G1532" s="4" t="s">
        <v>16</v>
      </c>
      <c r="H1532" s="2"/>
      <c r="I1532" s="11" t="s">
        <v>1333</v>
      </c>
      <c r="J1532" s="5"/>
      <c r="K1532" s="22">
        <f>YEAR(Tabla1[[#This Row],[Fecha]])</f>
        <v>2021</v>
      </c>
      <c r="L1532" s="22">
        <f>MONTH(Tabla1[[#This Row],[Fecha]])</f>
        <v>6</v>
      </c>
    </row>
    <row r="1533" spans="2:12" hidden="1" x14ac:dyDescent="0.25">
      <c r="B1533" s="5" t="s">
        <v>309</v>
      </c>
      <c r="C1533" s="5" t="s">
        <v>313</v>
      </c>
      <c r="D1533" s="5" t="s">
        <v>131</v>
      </c>
      <c r="E1533" s="38">
        <v>44347</v>
      </c>
      <c r="F1533" s="4"/>
      <c r="G1533" s="4" t="s">
        <v>16</v>
      </c>
      <c r="H1533" s="4"/>
      <c r="I1533" s="5" t="s">
        <v>1598</v>
      </c>
      <c r="J1533" s="5"/>
      <c r="K1533" s="22">
        <f>YEAR(Tabla1[[#This Row],[Fecha]])</f>
        <v>2021</v>
      </c>
      <c r="L1533" s="22">
        <f>MONTH(Tabla1[[#This Row],[Fecha]])</f>
        <v>5</v>
      </c>
    </row>
    <row r="1534" spans="2:12" hidden="1" x14ac:dyDescent="0.25">
      <c r="B1534" s="5" t="s">
        <v>193</v>
      </c>
      <c r="C1534" s="5" t="s">
        <v>253</v>
      </c>
      <c r="D1534" s="5" t="s">
        <v>131</v>
      </c>
      <c r="E1534" s="6">
        <v>44345</v>
      </c>
      <c r="F1534" s="4" t="s">
        <v>91</v>
      </c>
      <c r="G1534" s="4" t="s">
        <v>16</v>
      </c>
      <c r="H1534" s="19" t="s">
        <v>1704</v>
      </c>
      <c r="I1534" s="11" t="s">
        <v>1329</v>
      </c>
      <c r="J1534" s="7"/>
      <c r="K1534" s="15">
        <f>YEAR(Tabla1[[#This Row],[Fecha]])</f>
        <v>2021</v>
      </c>
      <c r="L1534" s="15">
        <f>MONTH(Tabla1[[#This Row],[Fecha]])</f>
        <v>5</v>
      </c>
    </row>
    <row r="1535" spans="2:12" hidden="1" x14ac:dyDescent="0.25">
      <c r="B1535" s="5" t="s">
        <v>309</v>
      </c>
      <c r="C1535" s="5" t="s">
        <v>320</v>
      </c>
      <c r="D1535" s="5" t="s">
        <v>1167</v>
      </c>
      <c r="E1535" s="38">
        <v>44344</v>
      </c>
      <c r="F1535" s="4"/>
      <c r="G1535" s="4" t="s">
        <v>16</v>
      </c>
      <c r="H1535" s="2"/>
      <c r="I1535" s="11" t="s">
        <v>1451</v>
      </c>
      <c r="J1535" s="5"/>
      <c r="K1535" s="22">
        <f>YEAR(Tabla1[[#This Row],[Fecha]])</f>
        <v>2021</v>
      </c>
      <c r="L1535" s="22">
        <f>MONTH(Tabla1[[#This Row],[Fecha]])</f>
        <v>5</v>
      </c>
    </row>
    <row r="1536" spans="2:12" hidden="1" x14ac:dyDescent="0.25">
      <c r="B1536" s="5" t="s">
        <v>309</v>
      </c>
      <c r="C1536" s="5" t="s">
        <v>320</v>
      </c>
      <c r="D1536" s="5" t="s">
        <v>131</v>
      </c>
      <c r="E1536" s="38">
        <v>44343</v>
      </c>
      <c r="F1536" s="4"/>
      <c r="G1536" s="4" t="s">
        <v>16</v>
      </c>
      <c r="H1536" s="2"/>
      <c r="I1536" s="11" t="s">
        <v>1452</v>
      </c>
      <c r="J1536" s="5"/>
      <c r="K1536" s="22">
        <f>YEAR(Tabla1[[#This Row],[Fecha]])</f>
        <v>2021</v>
      </c>
      <c r="L1536" s="22">
        <f>MONTH(Tabla1[[#This Row],[Fecha]])</f>
        <v>5</v>
      </c>
    </row>
    <row r="1537" spans="2:12" hidden="1" x14ac:dyDescent="0.25">
      <c r="B1537" s="5" t="s">
        <v>309</v>
      </c>
      <c r="C1537" s="5" t="s">
        <v>321</v>
      </c>
      <c r="D1537" s="5" t="s">
        <v>131</v>
      </c>
      <c r="E1537" s="6">
        <v>44342</v>
      </c>
      <c r="F1537" s="4" t="s">
        <v>91</v>
      </c>
      <c r="G1537" s="4" t="s">
        <v>303</v>
      </c>
      <c r="H1537" s="4" t="s">
        <v>431</v>
      </c>
      <c r="I1537" s="11" t="s">
        <v>1453</v>
      </c>
      <c r="J1537" s="5"/>
      <c r="K1537" s="22">
        <f>YEAR(Tabla1[[#This Row],[Fecha]])</f>
        <v>2021</v>
      </c>
      <c r="L1537" s="22">
        <f>MONTH(Tabla1[[#This Row],[Fecha]])</f>
        <v>5</v>
      </c>
    </row>
    <row r="1538" spans="2:12" hidden="1" x14ac:dyDescent="0.25">
      <c r="B1538" s="5" t="s">
        <v>309</v>
      </c>
      <c r="C1538" s="5" t="s">
        <v>320</v>
      </c>
      <c r="D1538" s="5" t="s">
        <v>131</v>
      </c>
      <c r="E1538" s="6">
        <v>44342</v>
      </c>
      <c r="F1538" s="4" t="s">
        <v>91</v>
      </c>
      <c r="G1538" s="4" t="s">
        <v>303</v>
      </c>
      <c r="H1538" s="4" t="s">
        <v>431</v>
      </c>
      <c r="I1538" s="11" t="s">
        <v>1454</v>
      </c>
      <c r="J1538" s="5"/>
      <c r="K1538" s="22">
        <f>YEAR(Tabla1[[#This Row],[Fecha]])</f>
        <v>2021</v>
      </c>
      <c r="L1538" s="22">
        <f>MONTH(Tabla1[[#This Row],[Fecha]])</f>
        <v>5</v>
      </c>
    </row>
    <row r="1539" spans="2:12" hidden="1" x14ac:dyDescent="0.25">
      <c r="B1539" s="5" t="s">
        <v>193</v>
      </c>
      <c r="C1539" s="5" t="s">
        <v>194</v>
      </c>
      <c r="D1539" s="5" t="s">
        <v>131</v>
      </c>
      <c r="E1539" s="38">
        <v>44341</v>
      </c>
      <c r="F1539" s="4"/>
      <c r="G1539" s="4" t="s">
        <v>103</v>
      </c>
      <c r="H1539" s="2"/>
      <c r="I1539" s="11" t="s">
        <v>1334</v>
      </c>
      <c r="J1539" s="5"/>
      <c r="K1539" s="22">
        <f>YEAR(Tabla1[[#This Row],[Fecha]])</f>
        <v>2021</v>
      </c>
      <c r="L1539" s="22">
        <f>MONTH(Tabla1[[#This Row],[Fecha]])</f>
        <v>5</v>
      </c>
    </row>
    <row r="1540" spans="2:12" hidden="1" x14ac:dyDescent="0.25">
      <c r="B1540" s="5" t="s">
        <v>193</v>
      </c>
      <c r="C1540" s="5" t="s">
        <v>1325</v>
      </c>
      <c r="D1540" s="5" t="s">
        <v>131</v>
      </c>
      <c r="E1540" s="6">
        <v>44341</v>
      </c>
      <c r="F1540" s="4" t="s">
        <v>15</v>
      </c>
      <c r="G1540" s="2" t="s">
        <v>47</v>
      </c>
      <c r="H1540" s="2" t="s">
        <v>333</v>
      </c>
      <c r="I1540" s="2" t="s">
        <v>1335</v>
      </c>
      <c r="J1540" s="7"/>
      <c r="K1540" s="15">
        <f>YEAR(Tabla1[[#This Row],[Fecha]])</f>
        <v>2021</v>
      </c>
      <c r="L1540" s="15">
        <f>MONTH(Tabla1[[#This Row],[Fecha]])</f>
        <v>5</v>
      </c>
    </row>
    <row r="1541" spans="2:12" hidden="1" x14ac:dyDescent="0.25">
      <c r="B1541" s="5" t="s">
        <v>193</v>
      </c>
      <c r="C1541" s="5" t="s">
        <v>407</v>
      </c>
      <c r="D1541" s="5" t="s">
        <v>131</v>
      </c>
      <c r="E1541" s="6">
        <v>44341</v>
      </c>
      <c r="F1541" s="4" t="s">
        <v>91</v>
      </c>
      <c r="G1541" s="2" t="s">
        <v>303</v>
      </c>
      <c r="H1541" s="2" t="s">
        <v>359</v>
      </c>
      <c r="I1541" s="2" t="s">
        <v>1336</v>
      </c>
      <c r="J1541" s="7"/>
      <c r="K1541" s="15">
        <f>YEAR(Tabla1[[#This Row],[Fecha]])</f>
        <v>2021</v>
      </c>
      <c r="L1541" s="15">
        <f>MONTH(Tabla1[[#This Row],[Fecha]])</f>
        <v>5</v>
      </c>
    </row>
    <row r="1542" spans="2:12" hidden="1" x14ac:dyDescent="0.25">
      <c r="B1542" s="5" t="s">
        <v>309</v>
      </c>
      <c r="C1542" s="5" t="s">
        <v>320</v>
      </c>
      <c r="D1542" s="5" t="s">
        <v>131</v>
      </c>
      <c r="E1542" s="6">
        <v>44340</v>
      </c>
      <c r="F1542" s="4" t="s">
        <v>91</v>
      </c>
      <c r="G1542" s="4" t="s">
        <v>303</v>
      </c>
      <c r="H1542" s="4" t="s">
        <v>431</v>
      </c>
      <c r="I1542" s="11" t="s">
        <v>1454</v>
      </c>
      <c r="J1542" s="5"/>
      <c r="K1542" s="22">
        <f>YEAR(Tabla1[[#This Row],[Fecha]])</f>
        <v>2021</v>
      </c>
      <c r="L1542" s="22">
        <f>MONTH(Tabla1[[#This Row],[Fecha]])</f>
        <v>5</v>
      </c>
    </row>
    <row r="1543" spans="2:12" hidden="1" x14ac:dyDescent="0.25">
      <c r="B1543" s="5" t="s">
        <v>309</v>
      </c>
      <c r="C1543" s="5" t="s">
        <v>321</v>
      </c>
      <c r="D1543" s="5" t="s">
        <v>131</v>
      </c>
      <c r="E1543" s="6">
        <v>44340</v>
      </c>
      <c r="F1543" s="4" t="s">
        <v>91</v>
      </c>
      <c r="G1543" s="4" t="s">
        <v>303</v>
      </c>
      <c r="H1543" s="4" t="s">
        <v>431</v>
      </c>
      <c r="I1543" s="11" t="s">
        <v>1455</v>
      </c>
      <c r="J1543" s="5"/>
      <c r="K1543" s="22">
        <f>YEAR(Tabla1[[#This Row],[Fecha]])</f>
        <v>2021</v>
      </c>
      <c r="L1543" s="22">
        <f>MONTH(Tabla1[[#This Row],[Fecha]])</f>
        <v>5</v>
      </c>
    </row>
    <row r="1544" spans="2:12" hidden="1" x14ac:dyDescent="0.25">
      <c r="B1544" s="5" t="s">
        <v>309</v>
      </c>
      <c r="C1544" s="5" t="s">
        <v>313</v>
      </c>
      <c r="D1544" s="5" t="s">
        <v>1167</v>
      </c>
      <c r="E1544" s="38">
        <v>44340</v>
      </c>
      <c r="F1544" s="4"/>
      <c r="G1544" s="4" t="s">
        <v>16</v>
      </c>
      <c r="H1544" s="4"/>
      <c r="I1544" s="5" t="s">
        <v>1597</v>
      </c>
      <c r="J1544" s="5"/>
      <c r="K1544" s="22">
        <f>YEAR(Tabla1[[#This Row],[Fecha]])</f>
        <v>2021</v>
      </c>
      <c r="L1544" s="22">
        <f>MONTH(Tabla1[[#This Row],[Fecha]])</f>
        <v>5</v>
      </c>
    </row>
    <row r="1545" spans="2:12" hidden="1" x14ac:dyDescent="0.25">
      <c r="B1545" s="5" t="s">
        <v>309</v>
      </c>
      <c r="C1545" s="5" t="s">
        <v>378</v>
      </c>
      <c r="D1545" s="5" t="s">
        <v>131</v>
      </c>
      <c r="E1545" s="6">
        <v>44335</v>
      </c>
      <c r="F1545" s="4" t="s">
        <v>15</v>
      </c>
      <c r="G1545" s="2" t="s">
        <v>47</v>
      </c>
      <c r="H1545" s="2" t="s">
        <v>333</v>
      </c>
      <c r="I1545" s="2" t="s">
        <v>1491</v>
      </c>
      <c r="J1545" s="7"/>
      <c r="K1545" s="15">
        <f>YEAR(Tabla1[[#This Row],[Fecha]])</f>
        <v>2021</v>
      </c>
      <c r="L1545" s="15">
        <f>MONTH(Tabla1[[#This Row],[Fecha]])</f>
        <v>5</v>
      </c>
    </row>
    <row r="1546" spans="2:12" hidden="1" x14ac:dyDescent="0.25">
      <c r="B1546" s="5" t="s">
        <v>309</v>
      </c>
      <c r="C1546" s="5" t="s">
        <v>322</v>
      </c>
      <c r="D1546" s="5" t="s">
        <v>131</v>
      </c>
      <c r="E1546" s="6">
        <v>44334</v>
      </c>
      <c r="F1546" s="4" t="s">
        <v>91</v>
      </c>
      <c r="G1546" s="2" t="s">
        <v>16</v>
      </c>
      <c r="H1546" s="2" t="s">
        <v>1781</v>
      </c>
      <c r="I1546" s="2" t="s">
        <v>1461</v>
      </c>
      <c r="J1546" s="5" t="s">
        <v>1462</v>
      </c>
      <c r="K1546" s="15">
        <f>YEAR(Tabla1[[#This Row],[Fecha]])</f>
        <v>2021</v>
      </c>
      <c r="L1546" s="15">
        <f>MONTH(Tabla1[[#This Row],[Fecha]])</f>
        <v>5</v>
      </c>
    </row>
    <row r="1547" spans="2:12" hidden="1" x14ac:dyDescent="0.25">
      <c r="B1547" s="5" t="s">
        <v>309</v>
      </c>
      <c r="C1547" s="5" t="s">
        <v>313</v>
      </c>
      <c r="D1547" s="5" t="s">
        <v>1167</v>
      </c>
      <c r="E1547" s="38">
        <v>44333</v>
      </c>
      <c r="F1547" s="4"/>
      <c r="G1547" s="4" t="s">
        <v>16</v>
      </c>
      <c r="H1547" s="4"/>
      <c r="I1547" s="5" t="s">
        <v>1596</v>
      </c>
      <c r="J1547" s="5"/>
      <c r="K1547" s="22">
        <f>YEAR(Tabla1[[#This Row],[Fecha]])</f>
        <v>2021</v>
      </c>
      <c r="L1547" s="22">
        <f>MONTH(Tabla1[[#This Row],[Fecha]])</f>
        <v>5</v>
      </c>
    </row>
    <row r="1548" spans="2:12" hidden="1" x14ac:dyDescent="0.25">
      <c r="B1548" s="5" t="s">
        <v>309</v>
      </c>
      <c r="C1548" s="5" t="s">
        <v>321</v>
      </c>
      <c r="D1548" s="5" t="s">
        <v>131</v>
      </c>
      <c r="E1548" s="38">
        <v>44330</v>
      </c>
      <c r="F1548" s="4"/>
      <c r="G1548" s="4" t="s">
        <v>16</v>
      </c>
      <c r="H1548" s="2"/>
      <c r="I1548" s="11" t="s">
        <v>1466</v>
      </c>
      <c r="J1548" s="5"/>
      <c r="K1548" s="22">
        <f>YEAR(Tabla1[[#This Row],[Fecha]])</f>
        <v>2021</v>
      </c>
      <c r="L1548" s="22">
        <f>MONTH(Tabla1[[#This Row],[Fecha]])</f>
        <v>5</v>
      </c>
    </row>
    <row r="1549" spans="2:12" hidden="1" x14ac:dyDescent="0.25">
      <c r="B1549" s="5" t="s">
        <v>841</v>
      </c>
      <c r="C1549" s="5" t="s">
        <v>842</v>
      </c>
      <c r="D1549" s="5" t="s">
        <v>131</v>
      </c>
      <c r="E1549" s="38">
        <v>44329</v>
      </c>
      <c r="F1549" s="4"/>
      <c r="G1549" s="4" t="s">
        <v>16</v>
      </c>
      <c r="H1549" s="2"/>
      <c r="I1549" s="11" t="s">
        <v>1265</v>
      </c>
      <c r="J1549" s="5"/>
      <c r="K1549" s="22">
        <f>YEAR(Tabla1[[#This Row],[Fecha]])</f>
        <v>2021</v>
      </c>
      <c r="L1549" s="22">
        <f>MONTH(Tabla1[[#This Row],[Fecha]])</f>
        <v>5</v>
      </c>
    </row>
    <row r="1550" spans="2:12" hidden="1" x14ac:dyDescent="0.25">
      <c r="B1550" s="5" t="s">
        <v>193</v>
      </c>
      <c r="C1550" s="5" t="s">
        <v>407</v>
      </c>
      <c r="D1550" s="5" t="s">
        <v>131</v>
      </c>
      <c r="E1550" s="6">
        <v>44327</v>
      </c>
      <c r="F1550" s="4" t="s">
        <v>91</v>
      </c>
      <c r="G1550" s="2" t="s">
        <v>36</v>
      </c>
      <c r="H1550" s="2" t="s">
        <v>37</v>
      </c>
      <c r="I1550" s="2" t="s">
        <v>1337</v>
      </c>
      <c r="J1550" s="7"/>
      <c r="K1550" s="15">
        <f>YEAR(Tabla1[[#This Row],[Fecha]])</f>
        <v>2021</v>
      </c>
      <c r="L1550" s="15">
        <f>MONTH(Tabla1[[#This Row],[Fecha]])</f>
        <v>5</v>
      </c>
    </row>
    <row r="1551" spans="2:12" hidden="1" x14ac:dyDescent="0.25">
      <c r="B1551" s="5" t="s">
        <v>193</v>
      </c>
      <c r="C1551" s="5" t="s">
        <v>194</v>
      </c>
      <c r="D1551" s="5" t="s">
        <v>131</v>
      </c>
      <c r="E1551" s="6">
        <v>44327</v>
      </c>
      <c r="F1551" s="4" t="s">
        <v>91</v>
      </c>
      <c r="G1551" s="2" t="s">
        <v>36</v>
      </c>
      <c r="H1551" s="2" t="s">
        <v>37</v>
      </c>
      <c r="I1551" s="2" t="s">
        <v>1338</v>
      </c>
      <c r="J1551" s="7"/>
      <c r="K1551" s="15">
        <f>YEAR(Tabla1[[#This Row],[Fecha]])</f>
        <v>2021</v>
      </c>
      <c r="L1551" s="15">
        <f>MONTH(Tabla1[[#This Row],[Fecha]])</f>
        <v>5</v>
      </c>
    </row>
    <row r="1552" spans="2:12" hidden="1" x14ac:dyDescent="0.25">
      <c r="B1552" s="5" t="s">
        <v>193</v>
      </c>
      <c r="C1552" s="5" t="s">
        <v>407</v>
      </c>
      <c r="D1552" s="5" t="s">
        <v>131</v>
      </c>
      <c r="E1552" s="38">
        <v>44327</v>
      </c>
      <c r="F1552" s="4"/>
      <c r="G1552" s="4" t="s">
        <v>16</v>
      </c>
      <c r="H1552" s="2"/>
      <c r="I1552" s="11" t="s">
        <v>1339</v>
      </c>
      <c r="J1552" s="5"/>
      <c r="K1552" s="22">
        <f>YEAR(Tabla1[[#This Row],[Fecha]])</f>
        <v>2021</v>
      </c>
      <c r="L1552" s="22">
        <f>MONTH(Tabla1[[#This Row],[Fecha]])</f>
        <v>5</v>
      </c>
    </row>
    <row r="1553" spans="2:12" hidden="1" x14ac:dyDescent="0.25">
      <c r="B1553" s="5" t="s">
        <v>309</v>
      </c>
      <c r="C1553" s="5" t="s">
        <v>322</v>
      </c>
      <c r="D1553" s="5" t="s">
        <v>131</v>
      </c>
      <c r="E1553" s="6">
        <v>44327</v>
      </c>
      <c r="F1553" s="4" t="s">
        <v>91</v>
      </c>
      <c r="G1553" s="2" t="s">
        <v>16</v>
      </c>
      <c r="H1553" s="2" t="s">
        <v>34</v>
      </c>
      <c r="I1553" s="2" t="s">
        <v>1463</v>
      </c>
      <c r="J1553" s="5" t="s">
        <v>1464</v>
      </c>
      <c r="K1553" s="15">
        <f>YEAR(Tabla1[[#This Row],[Fecha]])</f>
        <v>2021</v>
      </c>
      <c r="L1553" s="15">
        <f>MONTH(Tabla1[[#This Row],[Fecha]])</f>
        <v>5</v>
      </c>
    </row>
    <row r="1554" spans="2:12" hidden="1" x14ac:dyDescent="0.25">
      <c r="B1554" s="5" t="s">
        <v>309</v>
      </c>
      <c r="C1554" s="5" t="s">
        <v>322</v>
      </c>
      <c r="D1554" s="5" t="s">
        <v>131</v>
      </c>
      <c r="E1554" s="6">
        <v>44321</v>
      </c>
      <c r="F1554" s="4" t="s">
        <v>91</v>
      </c>
      <c r="G1554" s="4" t="s">
        <v>303</v>
      </c>
      <c r="H1554" s="4" t="s">
        <v>431</v>
      </c>
      <c r="I1554" s="11" t="s">
        <v>1465</v>
      </c>
      <c r="J1554" s="5"/>
      <c r="K1554" s="22">
        <f>YEAR(Tabla1[[#This Row],[Fecha]])</f>
        <v>2021</v>
      </c>
      <c r="L1554" s="22">
        <f>MONTH(Tabla1[[#This Row],[Fecha]])</f>
        <v>5</v>
      </c>
    </row>
    <row r="1555" spans="2:12" hidden="1" x14ac:dyDescent="0.25">
      <c r="B1555" s="5" t="s">
        <v>309</v>
      </c>
      <c r="C1555" s="5" t="s">
        <v>711</v>
      </c>
      <c r="D1555" s="5" t="s">
        <v>131</v>
      </c>
      <c r="E1555" s="38">
        <v>44321</v>
      </c>
      <c r="F1555" s="4"/>
      <c r="G1555" s="4" t="s">
        <v>16</v>
      </c>
      <c r="H1555" s="4"/>
      <c r="I1555" s="5" t="s">
        <v>1621</v>
      </c>
      <c r="J1555" s="5"/>
      <c r="K1555" s="22">
        <f>YEAR(Tabla1[[#This Row],[Fecha]])</f>
        <v>2021</v>
      </c>
      <c r="L1555" s="22">
        <f>MONTH(Tabla1[[#This Row],[Fecha]])</f>
        <v>5</v>
      </c>
    </row>
    <row r="1556" spans="2:12" hidden="1" x14ac:dyDescent="0.25">
      <c r="B1556" s="5" t="s">
        <v>193</v>
      </c>
      <c r="C1556" s="5" t="s">
        <v>752</v>
      </c>
      <c r="D1556" s="5" t="s">
        <v>131</v>
      </c>
      <c r="E1556" s="38">
        <v>44306</v>
      </c>
      <c r="F1556" s="4"/>
      <c r="G1556" s="4" t="s">
        <v>16</v>
      </c>
      <c r="H1556" s="2"/>
      <c r="I1556" s="11" t="s">
        <v>1340</v>
      </c>
      <c r="J1556" s="5"/>
      <c r="K1556" s="22">
        <f>YEAR(Tabla1[[#This Row],[Fecha]])</f>
        <v>2021</v>
      </c>
      <c r="L1556" s="22">
        <f>MONTH(Tabla1[[#This Row],[Fecha]])</f>
        <v>4</v>
      </c>
    </row>
    <row r="1557" spans="2:12" hidden="1" x14ac:dyDescent="0.25">
      <c r="B1557" s="5" t="s">
        <v>309</v>
      </c>
      <c r="C1557" s="5" t="s">
        <v>728</v>
      </c>
      <c r="D1557" s="5" t="s">
        <v>131</v>
      </c>
      <c r="E1557" s="38">
        <v>44302</v>
      </c>
      <c r="F1557" s="4"/>
      <c r="G1557" s="4" t="s">
        <v>16</v>
      </c>
      <c r="H1557" s="4"/>
      <c r="I1557" s="5" t="s">
        <v>1619</v>
      </c>
      <c r="J1557" s="5"/>
      <c r="K1557" s="22">
        <f>YEAR(Tabla1[[#This Row],[Fecha]])</f>
        <v>2021</v>
      </c>
      <c r="L1557" s="22">
        <f>MONTH(Tabla1[[#This Row],[Fecha]])</f>
        <v>4</v>
      </c>
    </row>
    <row r="1558" spans="2:12" hidden="1" x14ac:dyDescent="0.25">
      <c r="B1558" s="5" t="s">
        <v>309</v>
      </c>
      <c r="C1558" s="5" t="s">
        <v>711</v>
      </c>
      <c r="D1558" s="5" t="s">
        <v>131</v>
      </c>
      <c r="E1558" s="38">
        <v>44302</v>
      </c>
      <c r="F1558" s="4"/>
      <c r="G1558" s="4" t="s">
        <v>16</v>
      </c>
      <c r="H1558" s="4"/>
      <c r="I1558" s="5" t="s">
        <v>1619</v>
      </c>
      <c r="J1558" s="5"/>
      <c r="K1558" s="22">
        <f>YEAR(Tabla1[[#This Row],[Fecha]])</f>
        <v>2021</v>
      </c>
      <c r="L1558" s="22">
        <f>MONTH(Tabla1[[#This Row],[Fecha]])</f>
        <v>4</v>
      </c>
    </row>
    <row r="1559" spans="2:12" hidden="1" x14ac:dyDescent="0.25">
      <c r="B1559" s="5" t="s">
        <v>248</v>
      </c>
      <c r="C1559" s="5" t="s">
        <v>249</v>
      </c>
      <c r="D1559" s="5" t="s">
        <v>131</v>
      </c>
      <c r="E1559" s="38">
        <v>44299</v>
      </c>
      <c r="F1559" s="4"/>
      <c r="G1559" s="4" t="s">
        <v>16</v>
      </c>
      <c r="H1559" s="2"/>
      <c r="I1559" s="11" t="s">
        <v>1245</v>
      </c>
      <c r="J1559" s="5"/>
      <c r="K1559" s="22">
        <f>YEAR(Tabla1[[#This Row],[Fecha]])</f>
        <v>2021</v>
      </c>
      <c r="L1559" s="22">
        <f>MONTH(Tabla1[[#This Row],[Fecha]])</f>
        <v>4</v>
      </c>
    </row>
    <row r="1560" spans="2:12" hidden="1" x14ac:dyDescent="0.25">
      <c r="B1560" s="5" t="s">
        <v>309</v>
      </c>
      <c r="C1560" s="5" t="s">
        <v>711</v>
      </c>
      <c r="D1560" s="5" t="s">
        <v>131</v>
      </c>
      <c r="E1560" s="38">
        <v>44299</v>
      </c>
      <c r="F1560" s="4"/>
      <c r="G1560" s="4" t="s">
        <v>16</v>
      </c>
      <c r="H1560" s="4"/>
      <c r="I1560" s="5" t="s">
        <v>1620</v>
      </c>
      <c r="J1560" s="5"/>
      <c r="K1560" s="22">
        <f>YEAR(Tabla1[[#This Row],[Fecha]])</f>
        <v>2021</v>
      </c>
      <c r="L1560" s="22">
        <f>MONTH(Tabla1[[#This Row],[Fecha]])</f>
        <v>4</v>
      </c>
    </row>
    <row r="1561" spans="2:12" hidden="1" x14ac:dyDescent="0.25">
      <c r="B1561" s="5" t="s">
        <v>27</v>
      </c>
      <c r="C1561" s="5" t="s">
        <v>28</v>
      </c>
      <c r="D1561" s="5" t="s">
        <v>131</v>
      </c>
      <c r="E1561" s="38">
        <v>44298</v>
      </c>
      <c r="F1561" s="4"/>
      <c r="G1561" s="4" t="s">
        <v>16</v>
      </c>
      <c r="H1561" s="2"/>
      <c r="I1561" s="11" t="s">
        <v>1295</v>
      </c>
      <c r="J1561" s="5"/>
      <c r="K1561" s="22">
        <f>YEAR(Tabla1[[#This Row],[Fecha]])</f>
        <v>2021</v>
      </c>
      <c r="L1561" s="22">
        <f>MONTH(Tabla1[[#This Row],[Fecha]])</f>
        <v>4</v>
      </c>
    </row>
    <row r="1562" spans="2:12" hidden="1" x14ac:dyDescent="0.25">
      <c r="B1562" s="5" t="s">
        <v>309</v>
      </c>
      <c r="C1562" s="5" t="s">
        <v>320</v>
      </c>
      <c r="D1562" s="5" t="s">
        <v>131</v>
      </c>
      <c r="E1562" s="6">
        <v>44295</v>
      </c>
      <c r="F1562" s="4" t="s">
        <v>91</v>
      </c>
      <c r="G1562" s="4" t="s">
        <v>303</v>
      </c>
      <c r="H1562" s="4" t="s">
        <v>434</v>
      </c>
      <c r="I1562" s="11" t="s">
        <v>1467</v>
      </c>
      <c r="J1562" s="5"/>
      <c r="K1562" s="22">
        <f>YEAR(Tabla1[[#This Row],[Fecha]])</f>
        <v>2021</v>
      </c>
      <c r="L1562" s="22">
        <f>MONTH(Tabla1[[#This Row],[Fecha]])</f>
        <v>4</v>
      </c>
    </row>
    <row r="1563" spans="2:12" hidden="1" x14ac:dyDescent="0.25">
      <c r="B1563" s="5" t="s">
        <v>309</v>
      </c>
      <c r="C1563" s="5" t="s">
        <v>320</v>
      </c>
      <c r="D1563" s="5" t="s">
        <v>131</v>
      </c>
      <c r="E1563" s="6">
        <v>44293</v>
      </c>
      <c r="F1563" s="4" t="s">
        <v>91</v>
      </c>
      <c r="G1563" s="4" t="s">
        <v>303</v>
      </c>
      <c r="H1563" s="4" t="s">
        <v>431</v>
      </c>
      <c r="I1563" s="11" t="s">
        <v>1468</v>
      </c>
      <c r="J1563" s="5" t="s">
        <v>1469</v>
      </c>
      <c r="K1563" s="22">
        <f>YEAR(Tabla1[[#This Row],[Fecha]])</f>
        <v>2021</v>
      </c>
      <c r="L1563" s="22">
        <f>MONTH(Tabla1[[#This Row],[Fecha]])</f>
        <v>4</v>
      </c>
    </row>
    <row r="1564" spans="2:12" hidden="1" x14ac:dyDescent="0.25">
      <c r="B1564" s="5" t="s">
        <v>309</v>
      </c>
      <c r="C1564" s="5" t="s">
        <v>320</v>
      </c>
      <c r="D1564" s="5" t="s">
        <v>131</v>
      </c>
      <c r="E1564" s="6">
        <v>44291</v>
      </c>
      <c r="F1564" s="4" t="s">
        <v>91</v>
      </c>
      <c r="G1564" s="31" t="s">
        <v>47</v>
      </c>
      <c r="H1564" s="8" t="s">
        <v>118</v>
      </c>
      <c r="I1564" s="11" t="s">
        <v>1470</v>
      </c>
      <c r="J1564" s="5" t="s">
        <v>1471</v>
      </c>
      <c r="K1564" s="15">
        <f>YEAR(Tabla1[[#This Row],[Fecha]])</f>
        <v>2021</v>
      </c>
      <c r="L1564" s="15">
        <f>MONTH(Tabla1[[#This Row],[Fecha]])</f>
        <v>4</v>
      </c>
    </row>
    <row r="1565" spans="2:12" hidden="1" x14ac:dyDescent="0.25">
      <c r="B1565" s="5" t="s">
        <v>248</v>
      </c>
      <c r="C1565" s="5" t="s">
        <v>249</v>
      </c>
      <c r="D1565" s="5" t="s">
        <v>131</v>
      </c>
      <c r="E1565" s="38">
        <v>44278</v>
      </c>
      <c r="F1565" s="4"/>
      <c r="G1565" s="4" t="s">
        <v>47</v>
      </c>
      <c r="H1565" s="2"/>
      <c r="I1565" s="11" t="s">
        <v>1243</v>
      </c>
      <c r="J1565" s="5" t="s">
        <v>1244</v>
      </c>
      <c r="K1565" s="22">
        <f>YEAR(Tabla1[[#This Row],[Fecha]])</f>
        <v>2021</v>
      </c>
      <c r="L1565" s="22">
        <f>MONTH(Tabla1[[#This Row],[Fecha]])</f>
        <v>3</v>
      </c>
    </row>
    <row r="1566" spans="2:12" hidden="1" x14ac:dyDescent="0.25">
      <c r="B1566" s="5" t="s">
        <v>309</v>
      </c>
      <c r="C1566" s="5" t="s">
        <v>728</v>
      </c>
      <c r="D1566" s="5" t="s">
        <v>1084</v>
      </c>
      <c r="E1566" s="38">
        <v>44278</v>
      </c>
      <c r="F1566" s="4"/>
      <c r="G1566" s="4" t="s">
        <v>47</v>
      </c>
      <c r="H1566" s="4"/>
      <c r="I1566" s="5"/>
      <c r="J1566" s="5"/>
      <c r="K1566" s="22">
        <f>YEAR(Tabla1[[#This Row],[Fecha]])</f>
        <v>2021</v>
      </c>
      <c r="L1566" s="22">
        <f>MONTH(Tabla1[[#This Row],[Fecha]])</f>
        <v>3</v>
      </c>
    </row>
    <row r="1567" spans="2:12" hidden="1" x14ac:dyDescent="0.25">
      <c r="B1567" s="5" t="s">
        <v>32</v>
      </c>
      <c r="C1567" s="5" t="s">
        <v>1011</v>
      </c>
      <c r="D1567" s="5" t="s">
        <v>131</v>
      </c>
      <c r="E1567" s="6">
        <v>44277</v>
      </c>
      <c r="F1567" s="4" t="s">
        <v>91</v>
      </c>
      <c r="G1567" s="2" t="s">
        <v>24</v>
      </c>
      <c r="H1567" s="2" t="s">
        <v>118</v>
      </c>
      <c r="I1567" s="2" t="s">
        <v>1370</v>
      </c>
      <c r="J1567" s="7"/>
      <c r="K1567" s="15">
        <f>YEAR(Tabla1[[#This Row],[Fecha]])</f>
        <v>2021</v>
      </c>
      <c r="L1567" s="15">
        <f>MONTH(Tabla1[[#This Row],[Fecha]])</f>
        <v>3</v>
      </c>
    </row>
    <row r="1568" spans="2:12" ht="45" hidden="1" x14ac:dyDescent="0.25">
      <c r="B1568" s="5" t="s">
        <v>248</v>
      </c>
      <c r="C1568" s="5" t="s">
        <v>249</v>
      </c>
      <c r="D1568" s="5" t="s">
        <v>131</v>
      </c>
      <c r="E1568" s="38">
        <v>44274</v>
      </c>
      <c r="F1568" s="4"/>
      <c r="G1568" s="4" t="s">
        <v>16</v>
      </c>
      <c r="H1568" s="2"/>
      <c r="I1568" s="30" t="s">
        <v>1817</v>
      </c>
      <c r="J1568" s="5"/>
      <c r="K1568" s="22">
        <f>YEAR(Tabla1[[#This Row],[Fecha]])</f>
        <v>2021</v>
      </c>
      <c r="L1568" s="22">
        <f>MONTH(Tabla1[[#This Row],[Fecha]])</f>
        <v>3</v>
      </c>
    </row>
    <row r="1569" spans="2:12" hidden="1" x14ac:dyDescent="0.25">
      <c r="B1569" s="5" t="s">
        <v>32</v>
      </c>
      <c r="C1569" s="5" t="s">
        <v>539</v>
      </c>
      <c r="D1569" s="5" t="s">
        <v>131</v>
      </c>
      <c r="E1569" s="38">
        <v>44274</v>
      </c>
      <c r="F1569" s="4"/>
      <c r="G1569" s="4" t="s">
        <v>103</v>
      </c>
      <c r="H1569" s="2"/>
      <c r="I1569" s="11" t="s">
        <v>1371</v>
      </c>
      <c r="J1569" s="5"/>
      <c r="K1569" s="22">
        <f>YEAR(Tabla1[[#This Row],[Fecha]])</f>
        <v>2021</v>
      </c>
      <c r="L1569" s="22">
        <f>MONTH(Tabla1[[#This Row],[Fecha]])</f>
        <v>3</v>
      </c>
    </row>
    <row r="1570" spans="2:12" hidden="1" x14ac:dyDescent="0.25">
      <c r="B1570" s="5" t="s">
        <v>32</v>
      </c>
      <c r="C1570" s="5" t="s">
        <v>1031</v>
      </c>
      <c r="D1570" s="5" t="s">
        <v>131</v>
      </c>
      <c r="E1570" s="38">
        <v>44274</v>
      </c>
      <c r="F1570" s="4"/>
      <c r="G1570" s="4" t="s">
        <v>103</v>
      </c>
      <c r="H1570" s="2"/>
      <c r="I1570" s="11" t="s">
        <v>1371</v>
      </c>
      <c r="J1570" s="5"/>
      <c r="K1570" s="22">
        <f>YEAR(Tabla1[[#This Row],[Fecha]])</f>
        <v>2021</v>
      </c>
      <c r="L1570" s="22">
        <f>MONTH(Tabla1[[#This Row],[Fecha]])</f>
        <v>3</v>
      </c>
    </row>
    <row r="1571" spans="2:12" hidden="1" x14ac:dyDescent="0.25">
      <c r="B1571" s="5" t="s">
        <v>32</v>
      </c>
      <c r="C1571" s="5" t="s">
        <v>1031</v>
      </c>
      <c r="D1571" s="5" t="s">
        <v>131</v>
      </c>
      <c r="E1571" s="38">
        <v>44274</v>
      </c>
      <c r="F1571" s="4"/>
      <c r="G1571" s="4" t="s">
        <v>103</v>
      </c>
      <c r="H1571" s="2"/>
      <c r="I1571" s="11" t="s">
        <v>1371</v>
      </c>
      <c r="J1571" s="5"/>
      <c r="K1571" s="22">
        <f>YEAR(Tabla1[[#This Row],[Fecha]])</f>
        <v>2021</v>
      </c>
      <c r="L1571" s="22">
        <f>MONTH(Tabla1[[#This Row],[Fecha]])</f>
        <v>3</v>
      </c>
    </row>
    <row r="1572" spans="2:12" hidden="1" x14ac:dyDescent="0.25">
      <c r="B1572" s="5" t="s">
        <v>32</v>
      </c>
      <c r="C1572" s="5" t="s">
        <v>1011</v>
      </c>
      <c r="D1572" s="5" t="s">
        <v>131</v>
      </c>
      <c r="E1572" s="38">
        <v>44274</v>
      </c>
      <c r="F1572" s="4"/>
      <c r="G1572" s="4" t="s">
        <v>103</v>
      </c>
      <c r="H1572" s="2"/>
      <c r="I1572" s="11" t="s">
        <v>1371</v>
      </c>
      <c r="J1572" s="5"/>
      <c r="K1572" s="22">
        <f>YEAR(Tabla1[[#This Row],[Fecha]])</f>
        <v>2021</v>
      </c>
      <c r="L1572" s="22">
        <f>MONTH(Tabla1[[#This Row],[Fecha]])</f>
        <v>3</v>
      </c>
    </row>
    <row r="1573" spans="2:12" hidden="1" x14ac:dyDescent="0.25">
      <c r="B1573" s="5" t="s">
        <v>32</v>
      </c>
      <c r="C1573" s="5" t="s">
        <v>541</v>
      </c>
      <c r="D1573" s="5" t="s">
        <v>131</v>
      </c>
      <c r="E1573" s="38">
        <v>44274</v>
      </c>
      <c r="F1573" s="4"/>
      <c r="G1573" s="4" t="s">
        <v>103</v>
      </c>
      <c r="H1573" s="2"/>
      <c r="I1573" s="11" t="s">
        <v>1371</v>
      </c>
      <c r="J1573" s="5"/>
      <c r="K1573" s="22">
        <f>YEAR(Tabla1[[#This Row],[Fecha]])</f>
        <v>2021</v>
      </c>
      <c r="L1573" s="22">
        <f>MONTH(Tabla1[[#This Row],[Fecha]])</f>
        <v>3</v>
      </c>
    </row>
    <row r="1574" spans="2:12" hidden="1" x14ac:dyDescent="0.25">
      <c r="B1574" s="5" t="s">
        <v>32</v>
      </c>
      <c r="C1574" s="5" t="s">
        <v>1037</v>
      </c>
      <c r="D1574" s="5" t="s">
        <v>131</v>
      </c>
      <c r="E1574" s="38">
        <v>44274</v>
      </c>
      <c r="F1574" s="4"/>
      <c r="G1574" s="4" t="s">
        <v>103</v>
      </c>
      <c r="H1574" s="2"/>
      <c r="I1574" s="11"/>
      <c r="J1574" s="5"/>
      <c r="K1574" s="22">
        <f>YEAR(Tabla1[[#This Row],[Fecha]])</f>
        <v>2021</v>
      </c>
      <c r="L1574" s="22">
        <f>MONTH(Tabla1[[#This Row],[Fecha]])</f>
        <v>3</v>
      </c>
    </row>
    <row r="1575" spans="2:12" hidden="1" x14ac:dyDescent="0.25">
      <c r="B1575" s="5" t="s">
        <v>309</v>
      </c>
      <c r="C1575" s="5" t="s">
        <v>728</v>
      </c>
      <c r="D1575" s="5" t="s">
        <v>131</v>
      </c>
      <c r="E1575" s="38">
        <v>44266</v>
      </c>
      <c r="F1575" s="4"/>
      <c r="G1575" s="4" t="s">
        <v>16</v>
      </c>
      <c r="H1575" s="4"/>
      <c r="I1575" s="5" t="s">
        <v>1613</v>
      </c>
      <c r="J1575" s="5" t="s">
        <v>1614</v>
      </c>
      <c r="K1575" s="22">
        <f>YEAR(Tabla1[[#This Row],[Fecha]])</f>
        <v>2021</v>
      </c>
      <c r="L1575" s="22">
        <f>MONTH(Tabla1[[#This Row],[Fecha]])</f>
        <v>3</v>
      </c>
    </row>
    <row r="1576" spans="2:12" hidden="1" x14ac:dyDescent="0.25">
      <c r="B1576" s="5" t="s">
        <v>309</v>
      </c>
      <c r="C1576" s="5" t="s">
        <v>711</v>
      </c>
      <c r="D1576" s="5" t="s">
        <v>131</v>
      </c>
      <c r="E1576" s="38">
        <v>44266</v>
      </c>
      <c r="F1576" s="4"/>
      <c r="G1576" s="4" t="s">
        <v>16</v>
      </c>
      <c r="H1576" s="4"/>
      <c r="I1576" s="5" t="s">
        <v>1613</v>
      </c>
      <c r="J1576" s="5" t="s">
        <v>1615</v>
      </c>
      <c r="K1576" s="22">
        <f>YEAR(Tabla1[[#This Row],[Fecha]])</f>
        <v>2021</v>
      </c>
      <c r="L1576" s="22">
        <f>MONTH(Tabla1[[#This Row],[Fecha]])</f>
        <v>3</v>
      </c>
    </row>
    <row r="1577" spans="2:12" hidden="1" x14ac:dyDescent="0.25">
      <c r="B1577" s="5" t="s">
        <v>193</v>
      </c>
      <c r="C1577" s="5" t="s">
        <v>197</v>
      </c>
      <c r="D1577" s="5" t="s">
        <v>1084</v>
      </c>
      <c r="E1577" s="38">
        <v>44263</v>
      </c>
      <c r="F1577" s="4"/>
      <c r="G1577" s="4" t="s">
        <v>47</v>
      </c>
      <c r="H1577" s="2"/>
      <c r="I1577" s="11" t="s">
        <v>1341</v>
      </c>
      <c r="J1577" s="5"/>
      <c r="K1577" s="22">
        <f>YEAR(Tabla1[[#This Row],[Fecha]])</f>
        <v>2021</v>
      </c>
      <c r="L1577" s="22">
        <f>MONTH(Tabla1[[#This Row],[Fecha]])</f>
        <v>3</v>
      </c>
    </row>
    <row r="1578" spans="2:12" hidden="1" x14ac:dyDescent="0.25">
      <c r="B1578" s="5" t="s">
        <v>309</v>
      </c>
      <c r="C1578" s="5" t="s">
        <v>313</v>
      </c>
      <c r="D1578" s="5" t="s">
        <v>131</v>
      </c>
      <c r="E1578" s="38">
        <v>44263</v>
      </c>
      <c r="F1578" s="4"/>
      <c r="G1578" s="4" t="s">
        <v>16</v>
      </c>
      <c r="H1578" s="4"/>
      <c r="I1578" s="5" t="s">
        <v>1595</v>
      </c>
      <c r="J1578" s="5"/>
      <c r="K1578" s="22">
        <f>YEAR(Tabla1[[#This Row],[Fecha]])</f>
        <v>2021</v>
      </c>
      <c r="L1578" s="22">
        <f>MONTH(Tabla1[[#This Row],[Fecha]])</f>
        <v>3</v>
      </c>
    </row>
    <row r="1579" spans="2:12" hidden="1" x14ac:dyDescent="0.25">
      <c r="B1579" s="5" t="s">
        <v>193</v>
      </c>
      <c r="C1579" s="5" t="s">
        <v>1325</v>
      </c>
      <c r="D1579" s="5" t="s">
        <v>1084</v>
      </c>
      <c r="E1579" s="6">
        <v>44260</v>
      </c>
      <c r="F1579" s="4" t="s">
        <v>15</v>
      </c>
      <c r="G1579" s="2" t="s">
        <v>36</v>
      </c>
      <c r="H1579" s="2" t="s">
        <v>37</v>
      </c>
      <c r="I1579" s="2" t="s">
        <v>1342</v>
      </c>
      <c r="J1579" s="7"/>
      <c r="K1579" s="15">
        <f>YEAR(Tabla1[[#This Row],[Fecha]])</f>
        <v>2021</v>
      </c>
      <c r="L1579" s="15">
        <f>MONTH(Tabla1[[#This Row],[Fecha]])</f>
        <v>3</v>
      </c>
    </row>
    <row r="1580" spans="2:12" hidden="1" x14ac:dyDescent="0.25">
      <c r="B1580" s="5" t="s">
        <v>309</v>
      </c>
      <c r="C1580" s="5" t="s">
        <v>728</v>
      </c>
      <c r="D1580" s="5" t="s">
        <v>131</v>
      </c>
      <c r="E1580" s="38">
        <v>44260</v>
      </c>
      <c r="F1580" s="4"/>
      <c r="G1580" s="4" t="s">
        <v>47</v>
      </c>
      <c r="H1580" s="4"/>
      <c r="I1580" s="5" t="s">
        <v>1618</v>
      </c>
      <c r="J1580" s="5"/>
      <c r="K1580" s="22">
        <f>YEAR(Tabla1[[#This Row],[Fecha]])</f>
        <v>2021</v>
      </c>
      <c r="L1580" s="22">
        <f>MONTH(Tabla1[[#This Row],[Fecha]])</f>
        <v>3</v>
      </c>
    </row>
    <row r="1581" spans="2:12" hidden="1" x14ac:dyDescent="0.25">
      <c r="B1581" s="5" t="s">
        <v>309</v>
      </c>
      <c r="C1581" s="5" t="s">
        <v>711</v>
      </c>
      <c r="D1581" s="5" t="s">
        <v>131</v>
      </c>
      <c r="E1581" s="38">
        <v>44259</v>
      </c>
      <c r="F1581" s="4"/>
      <c r="G1581" s="4" t="s">
        <v>16</v>
      </c>
      <c r="H1581" s="4"/>
      <c r="I1581" s="5" t="s">
        <v>1613</v>
      </c>
      <c r="J1581" s="5" t="s">
        <v>1616</v>
      </c>
      <c r="K1581" s="22">
        <f>YEAR(Tabla1[[#This Row],[Fecha]])</f>
        <v>2021</v>
      </c>
      <c r="L1581" s="22">
        <f>MONTH(Tabla1[[#This Row],[Fecha]])</f>
        <v>3</v>
      </c>
    </row>
    <row r="1582" spans="2:12" hidden="1" x14ac:dyDescent="0.25">
      <c r="B1582" s="5" t="s">
        <v>309</v>
      </c>
      <c r="C1582" s="5" t="s">
        <v>728</v>
      </c>
      <c r="D1582" s="5" t="s">
        <v>131</v>
      </c>
      <c r="E1582" s="38">
        <v>44259</v>
      </c>
      <c r="F1582" s="4"/>
      <c r="G1582" s="4" t="s">
        <v>16</v>
      </c>
      <c r="H1582" s="4"/>
      <c r="I1582" s="5" t="s">
        <v>1613</v>
      </c>
      <c r="J1582" s="5" t="s">
        <v>1617</v>
      </c>
      <c r="K1582" s="22">
        <f>YEAR(Tabla1[[#This Row],[Fecha]])</f>
        <v>2021</v>
      </c>
      <c r="L1582" s="22">
        <f>MONTH(Tabla1[[#This Row],[Fecha]])</f>
        <v>3</v>
      </c>
    </row>
    <row r="1583" spans="2:12" hidden="1" x14ac:dyDescent="0.25">
      <c r="B1583" s="5" t="s">
        <v>27</v>
      </c>
      <c r="C1583" s="5" t="s">
        <v>28</v>
      </c>
      <c r="D1583" s="5" t="s">
        <v>131</v>
      </c>
      <c r="E1583" s="6">
        <v>44258</v>
      </c>
      <c r="F1583" s="4" t="s">
        <v>91</v>
      </c>
      <c r="G1583" s="4" t="s">
        <v>16</v>
      </c>
      <c r="H1583" s="19" t="s">
        <v>118</v>
      </c>
      <c r="I1583" s="11" t="s">
        <v>1301</v>
      </c>
      <c r="J1583" s="7"/>
      <c r="K1583" s="15">
        <f>YEAR(Tabla1[[#This Row],[Fecha]])</f>
        <v>2021</v>
      </c>
      <c r="L1583" s="15">
        <f>MONTH(Tabla1[[#This Row],[Fecha]])</f>
        <v>3</v>
      </c>
    </row>
    <row r="1584" spans="2:12" hidden="1" x14ac:dyDescent="0.25">
      <c r="B1584" s="5" t="s">
        <v>309</v>
      </c>
      <c r="C1584" s="5" t="s">
        <v>313</v>
      </c>
      <c r="D1584" s="5" t="s">
        <v>1084</v>
      </c>
      <c r="E1584" s="38">
        <v>44257</v>
      </c>
      <c r="F1584" s="4"/>
      <c r="G1584" s="4" t="s">
        <v>16</v>
      </c>
      <c r="H1584" s="4"/>
      <c r="I1584" s="5"/>
      <c r="J1584" s="5"/>
      <c r="K1584" s="22">
        <f>YEAR(Tabla1[[#This Row],[Fecha]])</f>
        <v>2021</v>
      </c>
      <c r="L1584" s="22">
        <f>MONTH(Tabla1[[#This Row],[Fecha]])</f>
        <v>3</v>
      </c>
    </row>
    <row r="1585" spans="2:12" hidden="1" x14ac:dyDescent="0.25">
      <c r="B1585" s="5" t="s">
        <v>32</v>
      </c>
      <c r="C1585" s="5" t="s">
        <v>1037</v>
      </c>
      <c r="D1585" s="5" t="s">
        <v>1084</v>
      </c>
      <c r="E1585" s="38">
        <v>44251</v>
      </c>
      <c r="F1585" s="4"/>
      <c r="G1585" s="4" t="s">
        <v>24</v>
      </c>
      <c r="H1585" s="2"/>
      <c r="I1585" s="11" t="s">
        <v>1373</v>
      </c>
      <c r="J1585" s="5"/>
      <c r="K1585" s="22">
        <f>YEAR(Tabla1[[#This Row],[Fecha]])</f>
        <v>2021</v>
      </c>
      <c r="L1585" s="22">
        <f>MONTH(Tabla1[[#This Row],[Fecha]])</f>
        <v>2</v>
      </c>
    </row>
    <row r="1586" spans="2:12" hidden="1" x14ac:dyDescent="0.25">
      <c r="B1586" s="5" t="s">
        <v>309</v>
      </c>
      <c r="C1586" s="5" t="s">
        <v>320</v>
      </c>
      <c r="D1586" s="5" t="s">
        <v>131</v>
      </c>
      <c r="E1586" s="6">
        <v>44249</v>
      </c>
      <c r="F1586" s="4" t="s">
        <v>91</v>
      </c>
      <c r="G1586" s="2" t="s">
        <v>16</v>
      </c>
      <c r="H1586" s="2" t="s">
        <v>34</v>
      </c>
      <c r="I1586" s="2" t="s">
        <v>1472</v>
      </c>
      <c r="J1586" s="7"/>
      <c r="K1586" s="15">
        <f>YEAR(Tabla1[[#This Row],[Fecha]])</f>
        <v>2021</v>
      </c>
      <c r="L1586" s="15">
        <f>MONTH(Tabla1[[#This Row],[Fecha]])</f>
        <v>2</v>
      </c>
    </row>
    <row r="1587" spans="2:12" hidden="1" x14ac:dyDescent="0.25">
      <c r="B1587" s="5" t="s">
        <v>309</v>
      </c>
      <c r="C1587" s="5" t="s">
        <v>313</v>
      </c>
      <c r="D1587" s="5" t="s">
        <v>1084</v>
      </c>
      <c r="E1587" s="38">
        <v>44249</v>
      </c>
      <c r="F1587" s="4"/>
      <c r="G1587" s="4" t="s">
        <v>16</v>
      </c>
      <c r="H1587" s="4"/>
      <c r="I1587" s="5" t="s">
        <v>1594</v>
      </c>
      <c r="J1587" s="5"/>
      <c r="K1587" s="22">
        <f>YEAR(Tabla1[[#This Row],[Fecha]])</f>
        <v>2021</v>
      </c>
      <c r="L1587" s="22">
        <f>MONTH(Tabla1[[#This Row],[Fecha]])</f>
        <v>2</v>
      </c>
    </row>
    <row r="1588" spans="2:12" hidden="1" x14ac:dyDescent="0.25">
      <c r="B1588" s="5" t="s">
        <v>309</v>
      </c>
      <c r="C1588" s="5" t="s">
        <v>313</v>
      </c>
      <c r="D1588" s="5" t="s">
        <v>1084</v>
      </c>
      <c r="E1588" s="38">
        <v>44246</v>
      </c>
      <c r="F1588" s="4"/>
      <c r="G1588" s="4" t="s">
        <v>16</v>
      </c>
      <c r="H1588" s="4"/>
      <c r="I1588" s="5" t="s">
        <v>1593</v>
      </c>
      <c r="J1588" s="5"/>
      <c r="K1588" s="22">
        <f>YEAR(Tabla1[[#This Row],[Fecha]])</f>
        <v>2021</v>
      </c>
      <c r="L1588" s="22">
        <f>MONTH(Tabla1[[#This Row],[Fecha]])</f>
        <v>2</v>
      </c>
    </row>
    <row r="1589" spans="2:12" hidden="1" x14ac:dyDescent="0.25">
      <c r="B1589" s="5" t="s">
        <v>32</v>
      </c>
      <c r="C1589" s="5" t="s">
        <v>144</v>
      </c>
      <c r="D1589" s="5" t="s">
        <v>1084</v>
      </c>
      <c r="E1589" s="6">
        <v>44245</v>
      </c>
      <c r="F1589" s="4" t="s">
        <v>91</v>
      </c>
      <c r="G1589" s="4" t="s">
        <v>36</v>
      </c>
      <c r="H1589" s="8" t="s">
        <v>118</v>
      </c>
      <c r="I1589" s="11" t="s">
        <v>1368</v>
      </c>
      <c r="J1589" s="7"/>
      <c r="K1589" s="15">
        <f>YEAR(Tabla1[[#This Row],[Fecha]])</f>
        <v>2021</v>
      </c>
      <c r="L1589" s="15">
        <f>MONTH(Tabla1[[#This Row],[Fecha]])</f>
        <v>2</v>
      </c>
    </row>
    <row r="1590" spans="2:12" hidden="1" x14ac:dyDescent="0.25">
      <c r="B1590" s="5" t="s">
        <v>248</v>
      </c>
      <c r="C1590" s="5" t="s">
        <v>698</v>
      </c>
      <c r="D1590" s="5" t="s">
        <v>131</v>
      </c>
      <c r="E1590" s="38">
        <v>44242</v>
      </c>
      <c r="F1590" s="4"/>
      <c r="G1590" s="4" t="s">
        <v>103</v>
      </c>
      <c r="H1590" s="2"/>
      <c r="I1590" s="11" t="s">
        <v>1246</v>
      </c>
      <c r="J1590" s="5"/>
      <c r="K1590" s="22">
        <f>YEAR(Tabla1[[#This Row],[Fecha]])</f>
        <v>2021</v>
      </c>
      <c r="L1590" s="22">
        <f>MONTH(Tabla1[[#This Row],[Fecha]])</f>
        <v>2</v>
      </c>
    </row>
    <row r="1591" spans="2:12" hidden="1" x14ac:dyDescent="0.25">
      <c r="B1591" s="5" t="s">
        <v>248</v>
      </c>
      <c r="C1591" s="5" t="s">
        <v>735</v>
      </c>
      <c r="D1591" s="5" t="s">
        <v>131</v>
      </c>
      <c r="E1591" s="38">
        <v>44242</v>
      </c>
      <c r="F1591" s="4"/>
      <c r="G1591" s="4" t="s">
        <v>103</v>
      </c>
      <c r="H1591" s="2"/>
      <c r="I1591" s="11" t="s">
        <v>1246</v>
      </c>
      <c r="J1591" s="5"/>
      <c r="K1591" s="22">
        <f>YEAR(Tabla1[[#This Row],[Fecha]])</f>
        <v>2021</v>
      </c>
      <c r="L1591" s="22">
        <f>MONTH(Tabla1[[#This Row],[Fecha]])</f>
        <v>2</v>
      </c>
    </row>
    <row r="1592" spans="2:12" hidden="1" x14ac:dyDescent="0.25">
      <c r="B1592" s="5" t="s">
        <v>248</v>
      </c>
      <c r="C1592" s="5" t="s">
        <v>249</v>
      </c>
      <c r="D1592" s="5" t="s">
        <v>131</v>
      </c>
      <c r="E1592" s="38">
        <v>44242</v>
      </c>
      <c r="F1592" s="4"/>
      <c r="G1592" s="4" t="s">
        <v>103</v>
      </c>
      <c r="H1592" s="2"/>
      <c r="I1592" s="11"/>
      <c r="J1592" s="5"/>
      <c r="K1592" s="22">
        <f>YEAR(Tabla1[[#This Row],[Fecha]])</f>
        <v>2021</v>
      </c>
      <c r="L1592" s="22">
        <f>MONTH(Tabla1[[#This Row],[Fecha]])</f>
        <v>2</v>
      </c>
    </row>
    <row r="1593" spans="2:12" hidden="1" x14ac:dyDescent="0.25">
      <c r="B1593" s="5" t="s">
        <v>248</v>
      </c>
      <c r="C1593" s="5" t="s">
        <v>735</v>
      </c>
      <c r="D1593" s="5" t="s">
        <v>131</v>
      </c>
      <c r="E1593" s="6">
        <v>44238</v>
      </c>
      <c r="F1593" s="8" t="s">
        <v>91</v>
      </c>
      <c r="G1593" s="4" t="s">
        <v>16</v>
      </c>
      <c r="H1593" s="19"/>
      <c r="I1593" s="11" t="s">
        <v>1247</v>
      </c>
      <c r="J1593" s="7"/>
      <c r="K1593" s="15">
        <f>YEAR(Tabla1[[#This Row],[Fecha]])</f>
        <v>2021</v>
      </c>
      <c r="L1593" s="15">
        <f>MONTH(Tabla1[[#This Row],[Fecha]])</f>
        <v>2</v>
      </c>
    </row>
    <row r="1594" spans="2:12" hidden="1" x14ac:dyDescent="0.25">
      <c r="B1594" s="5" t="s">
        <v>248</v>
      </c>
      <c r="C1594" s="5" t="s">
        <v>698</v>
      </c>
      <c r="D1594" s="5" t="s">
        <v>131</v>
      </c>
      <c r="E1594" s="6">
        <v>44238</v>
      </c>
      <c r="F1594" s="8" t="s">
        <v>91</v>
      </c>
      <c r="G1594" s="4" t="s">
        <v>16</v>
      </c>
      <c r="H1594" s="19"/>
      <c r="I1594" s="11" t="s">
        <v>1247</v>
      </c>
      <c r="J1594" s="7"/>
      <c r="K1594" s="15">
        <f>YEAR(Tabla1[[#This Row],[Fecha]])</f>
        <v>2021</v>
      </c>
      <c r="L1594" s="15">
        <f>MONTH(Tabla1[[#This Row],[Fecha]])</f>
        <v>2</v>
      </c>
    </row>
    <row r="1595" spans="2:12" hidden="1" x14ac:dyDescent="0.25">
      <c r="B1595" s="5" t="s">
        <v>248</v>
      </c>
      <c r="C1595" s="5" t="s">
        <v>1248</v>
      </c>
      <c r="D1595" s="5" t="s">
        <v>131</v>
      </c>
      <c r="E1595" s="6">
        <v>44238</v>
      </c>
      <c r="F1595" s="8" t="s">
        <v>91</v>
      </c>
      <c r="G1595" s="4" t="s">
        <v>16</v>
      </c>
      <c r="H1595" s="19"/>
      <c r="I1595" s="11" t="s">
        <v>1247</v>
      </c>
      <c r="J1595" s="7"/>
      <c r="K1595" s="15">
        <f>YEAR(Tabla1[[#This Row],[Fecha]])</f>
        <v>2021</v>
      </c>
      <c r="L1595" s="15">
        <f>MONTH(Tabla1[[#This Row],[Fecha]])</f>
        <v>2</v>
      </c>
    </row>
    <row r="1596" spans="2:12" hidden="1" x14ac:dyDescent="0.25">
      <c r="B1596" s="5" t="s">
        <v>248</v>
      </c>
      <c r="C1596" s="5" t="s">
        <v>264</v>
      </c>
      <c r="D1596" s="5" t="s">
        <v>131</v>
      </c>
      <c r="E1596" s="6">
        <v>44238</v>
      </c>
      <c r="F1596" s="8" t="s">
        <v>91</v>
      </c>
      <c r="G1596" s="4" t="s">
        <v>16</v>
      </c>
      <c r="H1596" s="19"/>
      <c r="I1596" s="11" t="s">
        <v>1247</v>
      </c>
      <c r="J1596" s="7"/>
      <c r="K1596" s="15">
        <f>YEAR(Tabla1[[#This Row],[Fecha]])</f>
        <v>2021</v>
      </c>
      <c r="L1596" s="15">
        <f>MONTH(Tabla1[[#This Row],[Fecha]])</f>
        <v>2</v>
      </c>
    </row>
    <row r="1597" spans="2:12" hidden="1" x14ac:dyDescent="0.25">
      <c r="B1597" s="5" t="s">
        <v>248</v>
      </c>
      <c r="C1597" s="5" t="s">
        <v>261</v>
      </c>
      <c r="D1597" s="5" t="s">
        <v>131</v>
      </c>
      <c r="E1597" s="6">
        <v>44238</v>
      </c>
      <c r="F1597" s="4" t="s">
        <v>91</v>
      </c>
      <c r="G1597" s="4" t="s">
        <v>16</v>
      </c>
      <c r="H1597" s="2" t="s">
        <v>118</v>
      </c>
      <c r="I1597" s="11" t="s">
        <v>1247</v>
      </c>
      <c r="J1597" s="5"/>
      <c r="K1597" s="22">
        <f>YEAR(Tabla1[[#This Row],[Fecha]])</f>
        <v>2021</v>
      </c>
      <c r="L1597" s="22">
        <f>MONTH(Tabla1[[#This Row],[Fecha]])</f>
        <v>2</v>
      </c>
    </row>
    <row r="1598" spans="2:12" hidden="1" x14ac:dyDescent="0.25">
      <c r="B1598" s="5" t="s">
        <v>248</v>
      </c>
      <c r="C1598" s="5" t="s">
        <v>276</v>
      </c>
      <c r="D1598" s="5" t="s">
        <v>131</v>
      </c>
      <c r="E1598" s="6">
        <v>44238</v>
      </c>
      <c r="F1598" s="4" t="s">
        <v>91</v>
      </c>
      <c r="G1598" s="4" t="s">
        <v>16</v>
      </c>
      <c r="H1598" s="2" t="s">
        <v>118</v>
      </c>
      <c r="I1598" s="11" t="s">
        <v>1247</v>
      </c>
      <c r="J1598" s="5"/>
      <c r="K1598" s="22">
        <f>YEAR(Tabla1[[#This Row],[Fecha]])</f>
        <v>2021</v>
      </c>
      <c r="L1598" s="22">
        <f>MONTH(Tabla1[[#This Row],[Fecha]])</f>
        <v>2</v>
      </c>
    </row>
    <row r="1599" spans="2:12" hidden="1" x14ac:dyDescent="0.25">
      <c r="B1599" s="5" t="s">
        <v>248</v>
      </c>
      <c r="C1599" s="5" t="s">
        <v>266</v>
      </c>
      <c r="D1599" s="5" t="s">
        <v>131</v>
      </c>
      <c r="E1599" s="6">
        <v>44238</v>
      </c>
      <c r="F1599" s="4" t="s">
        <v>91</v>
      </c>
      <c r="G1599" s="4" t="s">
        <v>16</v>
      </c>
      <c r="H1599" s="2" t="s">
        <v>118</v>
      </c>
      <c r="I1599" s="11" t="s">
        <v>1247</v>
      </c>
      <c r="J1599" s="5"/>
      <c r="K1599" s="22">
        <f>YEAR(Tabla1[[#This Row],[Fecha]])</f>
        <v>2021</v>
      </c>
      <c r="L1599" s="22">
        <f>MONTH(Tabla1[[#This Row],[Fecha]])</f>
        <v>2</v>
      </c>
    </row>
    <row r="1600" spans="2:12" hidden="1" x14ac:dyDescent="0.25">
      <c r="B1600" s="5" t="s">
        <v>248</v>
      </c>
      <c r="C1600" s="5" t="s">
        <v>961</v>
      </c>
      <c r="D1600" s="5" t="s">
        <v>131</v>
      </c>
      <c r="E1600" s="6">
        <v>44238</v>
      </c>
      <c r="F1600" s="4" t="s">
        <v>91</v>
      </c>
      <c r="G1600" s="4" t="s">
        <v>16</v>
      </c>
      <c r="H1600" s="2" t="s">
        <v>118</v>
      </c>
      <c r="I1600" s="11" t="s">
        <v>1247</v>
      </c>
      <c r="J1600" s="5"/>
      <c r="K1600" s="22">
        <f>YEAR(Tabla1[[#This Row],[Fecha]])</f>
        <v>2021</v>
      </c>
      <c r="L1600" s="22">
        <f>MONTH(Tabla1[[#This Row],[Fecha]])</f>
        <v>2</v>
      </c>
    </row>
    <row r="1601" spans="2:12" hidden="1" x14ac:dyDescent="0.25">
      <c r="B1601" s="5" t="s">
        <v>248</v>
      </c>
      <c r="C1601" s="5" t="s">
        <v>499</v>
      </c>
      <c r="D1601" s="5" t="s">
        <v>131</v>
      </c>
      <c r="E1601" s="6">
        <v>44238</v>
      </c>
      <c r="F1601" s="4" t="s">
        <v>91</v>
      </c>
      <c r="G1601" s="4" t="s">
        <v>16</v>
      </c>
      <c r="H1601" s="2" t="s">
        <v>118</v>
      </c>
      <c r="I1601" s="11" t="s">
        <v>1247</v>
      </c>
      <c r="J1601" s="5"/>
      <c r="K1601" s="22">
        <f>YEAR(Tabla1[[#This Row],[Fecha]])</f>
        <v>2021</v>
      </c>
      <c r="L1601" s="22">
        <f>MONTH(Tabla1[[#This Row],[Fecha]])</f>
        <v>2</v>
      </c>
    </row>
    <row r="1602" spans="2:12" hidden="1" x14ac:dyDescent="0.25">
      <c r="B1602" s="5" t="s">
        <v>248</v>
      </c>
      <c r="C1602" s="5" t="s">
        <v>249</v>
      </c>
      <c r="D1602" s="5" t="s">
        <v>131</v>
      </c>
      <c r="E1602" s="38">
        <v>44238</v>
      </c>
      <c r="F1602" s="4"/>
      <c r="G1602" s="4" t="s">
        <v>16</v>
      </c>
      <c r="H1602" s="2"/>
      <c r="I1602" s="11" t="s">
        <v>1816</v>
      </c>
      <c r="J1602" s="5"/>
      <c r="K1602" s="22">
        <f>YEAR(Tabla1[[#This Row],[Fecha]])</f>
        <v>2021</v>
      </c>
      <c r="L1602" s="22">
        <f>MONTH(Tabla1[[#This Row],[Fecha]])</f>
        <v>2</v>
      </c>
    </row>
    <row r="1603" spans="2:12" hidden="1" x14ac:dyDescent="0.25">
      <c r="B1603" s="5" t="s">
        <v>32</v>
      </c>
      <c r="C1603" s="5" t="s">
        <v>1037</v>
      </c>
      <c r="D1603" s="5" t="s">
        <v>1084</v>
      </c>
      <c r="E1603" s="38">
        <v>44238</v>
      </c>
      <c r="F1603" s="4"/>
      <c r="G1603" s="4" t="s">
        <v>47</v>
      </c>
      <c r="H1603" s="2"/>
      <c r="I1603" s="11"/>
      <c r="J1603" s="5"/>
      <c r="K1603" s="22">
        <f>YEAR(Tabla1[[#This Row],[Fecha]])</f>
        <v>2021</v>
      </c>
      <c r="L1603" s="22">
        <f>MONTH(Tabla1[[#This Row],[Fecha]])</f>
        <v>2</v>
      </c>
    </row>
    <row r="1604" spans="2:12" hidden="1" x14ac:dyDescent="0.25">
      <c r="B1604" s="5" t="s">
        <v>32</v>
      </c>
      <c r="C1604" s="5" t="s">
        <v>1037</v>
      </c>
      <c r="D1604" s="5" t="s">
        <v>1084</v>
      </c>
      <c r="E1604" s="38">
        <v>44237</v>
      </c>
      <c r="F1604" s="4"/>
      <c r="G1604" s="4" t="s">
        <v>36</v>
      </c>
      <c r="H1604" s="2"/>
      <c r="I1604" s="11" t="s">
        <v>1374</v>
      </c>
      <c r="J1604" s="5"/>
      <c r="K1604" s="22">
        <f>YEAR(Tabla1[[#This Row],[Fecha]])</f>
        <v>2021</v>
      </c>
      <c r="L1604" s="22">
        <f>MONTH(Tabla1[[#This Row],[Fecha]])</f>
        <v>2</v>
      </c>
    </row>
    <row r="1605" spans="2:12" hidden="1" x14ac:dyDescent="0.25">
      <c r="B1605" s="5" t="s">
        <v>32</v>
      </c>
      <c r="C1605" s="5" t="s">
        <v>1037</v>
      </c>
      <c r="D1605" s="5" t="s">
        <v>1084</v>
      </c>
      <c r="E1605" s="38">
        <v>44236</v>
      </c>
      <c r="F1605" s="4"/>
      <c r="G1605" s="4" t="s">
        <v>36</v>
      </c>
      <c r="H1605" s="2"/>
      <c r="I1605" s="11" t="s">
        <v>1375</v>
      </c>
      <c r="J1605" s="5"/>
      <c r="K1605" s="22">
        <f>YEAR(Tabla1[[#This Row],[Fecha]])</f>
        <v>2021</v>
      </c>
      <c r="L1605" s="22">
        <f>MONTH(Tabla1[[#This Row],[Fecha]])</f>
        <v>2</v>
      </c>
    </row>
    <row r="1606" spans="2:12" hidden="1" x14ac:dyDescent="0.25">
      <c r="B1606" s="5" t="s">
        <v>193</v>
      </c>
      <c r="C1606" s="5" t="s">
        <v>253</v>
      </c>
      <c r="D1606" s="5" t="s">
        <v>131</v>
      </c>
      <c r="E1606" s="6">
        <v>44235</v>
      </c>
      <c r="F1606" s="4" t="s">
        <v>91</v>
      </c>
      <c r="G1606" s="2" t="s">
        <v>24</v>
      </c>
      <c r="H1606" s="2" t="s">
        <v>118</v>
      </c>
      <c r="I1606" s="2" t="s">
        <v>1343</v>
      </c>
      <c r="J1606" s="7"/>
      <c r="K1606" s="15">
        <f>YEAR(Tabla1[[#This Row],[Fecha]])</f>
        <v>2021</v>
      </c>
      <c r="L1606" s="15">
        <f>MONTH(Tabla1[[#This Row],[Fecha]])</f>
        <v>2</v>
      </c>
    </row>
    <row r="1607" spans="2:12" hidden="1" x14ac:dyDescent="0.25">
      <c r="B1607" s="5" t="s">
        <v>309</v>
      </c>
      <c r="C1607" s="5" t="s">
        <v>320</v>
      </c>
      <c r="D1607" s="5" t="s">
        <v>1084</v>
      </c>
      <c r="E1607" s="6">
        <v>44223</v>
      </c>
      <c r="F1607" s="4" t="s">
        <v>91</v>
      </c>
      <c r="G1607" s="2" t="s">
        <v>24</v>
      </c>
      <c r="H1607" s="2" t="s">
        <v>118</v>
      </c>
      <c r="I1607" s="2" t="s">
        <v>1473</v>
      </c>
      <c r="J1607" s="7"/>
      <c r="K1607" s="15">
        <f>YEAR(Tabla1[[#This Row],[Fecha]])</f>
        <v>2021</v>
      </c>
      <c r="L1607" s="15">
        <f>MONTH(Tabla1[[#This Row],[Fecha]])</f>
        <v>1</v>
      </c>
    </row>
    <row r="1608" spans="2:12" hidden="1" x14ac:dyDescent="0.25">
      <c r="B1608" s="5" t="s">
        <v>309</v>
      </c>
      <c r="C1608" s="5" t="s">
        <v>378</v>
      </c>
      <c r="D1608" s="5" t="s">
        <v>1084</v>
      </c>
      <c r="E1608" s="6">
        <v>44222</v>
      </c>
      <c r="F1608" s="4" t="s">
        <v>91</v>
      </c>
      <c r="G1608" s="4" t="s">
        <v>24</v>
      </c>
      <c r="H1608" s="8" t="s">
        <v>118</v>
      </c>
      <c r="I1608" s="11" t="s">
        <v>1492</v>
      </c>
      <c r="J1608" s="7"/>
      <c r="K1608" s="15">
        <f>YEAR(Tabla1[[#This Row],[Fecha]])</f>
        <v>2021</v>
      </c>
      <c r="L1608" s="15">
        <f>MONTH(Tabla1[[#This Row],[Fecha]])</f>
        <v>1</v>
      </c>
    </row>
    <row r="1609" spans="2:12" hidden="1" x14ac:dyDescent="0.25">
      <c r="B1609" s="5" t="s">
        <v>309</v>
      </c>
      <c r="C1609" s="5" t="s">
        <v>322</v>
      </c>
      <c r="D1609" s="5" t="s">
        <v>1084</v>
      </c>
      <c r="E1609" s="6">
        <v>44222</v>
      </c>
      <c r="F1609" s="4" t="s">
        <v>91</v>
      </c>
      <c r="G1609" s="4" t="s">
        <v>24</v>
      </c>
      <c r="H1609" s="8" t="s">
        <v>118</v>
      </c>
      <c r="I1609" s="5" t="s">
        <v>1493</v>
      </c>
      <c r="J1609" s="7"/>
      <c r="K1609" s="15">
        <f>YEAR(Tabla1[[#This Row],[Fecha]])</f>
        <v>2021</v>
      </c>
      <c r="L1609" s="15">
        <f>MONTH(Tabla1[[#This Row],[Fecha]])</f>
        <v>1</v>
      </c>
    </row>
    <row r="1610" spans="2:12" hidden="1" x14ac:dyDescent="0.25">
      <c r="B1610" s="5" t="s">
        <v>309</v>
      </c>
      <c r="C1610" s="5" t="s">
        <v>313</v>
      </c>
      <c r="D1610" s="5" t="s">
        <v>1084</v>
      </c>
      <c r="E1610" s="38">
        <v>44222</v>
      </c>
      <c r="F1610" s="4"/>
      <c r="G1610" s="4" t="s">
        <v>16</v>
      </c>
      <c r="H1610" s="4"/>
      <c r="I1610" s="5" t="s">
        <v>1592</v>
      </c>
      <c r="J1610" s="5"/>
      <c r="K1610" s="22">
        <f>YEAR(Tabla1[[#This Row],[Fecha]])</f>
        <v>2021</v>
      </c>
      <c r="L1610" s="22">
        <f>MONTH(Tabla1[[#This Row],[Fecha]])</f>
        <v>1</v>
      </c>
    </row>
    <row r="1611" spans="2:12" hidden="1" x14ac:dyDescent="0.25">
      <c r="B1611" s="5" t="s">
        <v>309</v>
      </c>
      <c r="C1611" s="5" t="s">
        <v>313</v>
      </c>
      <c r="D1611" s="5" t="s">
        <v>1084</v>
      </c>
      <c r="E1611" s="38">
        <v>44221</v>
      </c>
      <c r="F1611" s="4"/>
      <c r="G1611" s="4" t="s">
        <v>16</v>
      </c>
      <c r="H1611" s="4"/>
      <c r="I1611" s="5" t="s">
        <v>1591</v>
      </c>
      <c r="J1611" s="5"/>
      <c r="K1611" s="22">
        <f>YEAR(Tabla1[[#This Row],[Fecha]])</f>
        <v>2021</v>
      </c>
      <c r="L1611" s="22">
        <f>MONTH(Tabla1[[#This Row],[Fecha]])</f>
        <v>1</v>
      </c>
    </row>
    <row r="1612" spans="2:12" hidden="1" x14ac:dyDescent="0.25">
      <c r="B1612" s="5" t="s">
        <v>32</v>
      </c>
      <c r="C1612" s="5" t="s">
        <v>1037</v>
      </c>
      <c r="D1612" s="5" t="s">
        <v>131</v>
      </c>
      <c r="E1612" s="38">
        <v>44219</v>
      </c>
      <c r="F1612" s="4"/>
      <c r="G1612" s="4" t="s">
        <v>24</v>
      </c>
      <c r="H1612" s="2"/>
      <c r="I1612" s="11" t="s">
        <v>1372</v>
      </c>
      <c r="J1612" s="5"/>
      <c r="K1612" s="22">
        <f>YEAR(Tabla1[[#This Row],[Fecha]])</f>
        <v>2021</v>
      </c>
      <c r="L1612" s="22">
        <f>MONTH(Tabla1[[#This Row],[Fecha]])</f>
        <v>1</v>
      </c>
    </row>
    <row r="1613" spans="2:12" hidden="1" x14ac:dyDescent="0.25">
      <c r="B1613" s="5" t="s">
        <v>309</v>
      </c>
      <c r="C1613" s="5" t="s">
        <v>320</v>
      </c>
      <c r="D1613" s="5" t="s">
        <v>131</v>
      </c>
      <c r="E1613" s="6">
        <v>44217</v>
      </c>
      <c r="F1613" s="4" t="s">
        <v>91</v>
      </c>
      <c r="G1613" s="4" t="s">
        <v>16</v>
      </c>
      <c r="H1613" s="8" t="s">
        <v>34</v>
      </c>
      <c r="I1613" s="11" t="s">
        <v>1474</v>
      </c>
      <c r="J1613" s="7"/>
      <c r="K1613" s="15">
        <f>YEAR(Tabla1[[#This Row],[Fecha]])</f>
        <v>2021</v>
      </c>
      <c r="L1613" s="15">
        <f>MONTH(Tabla1[[#This Row],[Fecha]])</f>
        <v>1</v>
      </c>
    </row>
    <row r="1614" spans="2:12" hidden="1" x14ac:dyDescent="0.25">
      <c r="B1614" s="5" t="s">
        <v>32</v>
      </c>
      <c r="C1614" s="5" t="s">
        <v>147</v>
      </c>
      <c r="D1614" s="5" t="s">
        <v>1084</v>
      </c>
      <c r="E1614" s="6">
        <v>44214</v>
      </c>
      <c r="F1614" s="4" t="s">
        <v>91</v>
      </c>
      <c r="G1614" s="2" t="s">
        <v>24</v>
      </c>
      <c r="H1614" s="2" t="s">
        <v>1780</v>
      </c>
      <c r="I1614" s="2" t="s">
        <v>1369</v>
      </c>
      <c r="J1614" s="7"/>
      <c r="K1614" s="15">
        <f>YEAR(Tabla1[[#This Row],[Fecha]])</f>
        <v>2021</v>
      </c>
      <c r="L1614" s="15">
        <f>MONTH(Tabla1[[#This Row],[Fecha]])</f>
        <v>1</v>
      </c>
    </row>
    <row r="1615" spans="2:12" hidden="1" x14ac:dyDescent="0.25">
      <c r="B1615" s="5" t="s">
        <v>32</v>
      </c>
      <c r="C1615" s="5" t="s">
        <v>33</v>
      </c>
      <c r="D1615" s="5" t="s">
        <v>1084</v>
      </c>
      <c r="E1615" s="6">
        <v>44214</v>
      </c>
      <c r="F1615" s="4" t="s">
        <v>91</v>
      </c>
      <c r="G1615" s="4" t="s">
        <v>24</v>
      </c>
      <c r="H1615" s="29" t="s">
        <v>118</v>
      </c>
      <c r="I1615" s="11" t="s">
        <v>1771</v>
      </c>
      <c r="J1615" s="7"/>
      <c r="K1615" s="15">
        <f>YEAR(Tabla1[[#This Row],[Fecha]])</f>
        <v>2021</v>
      </c>
      <c r="L1615" s="15">
        <f>MONTH(Tabla1[[#This Row],[Fecha]])</f>
        <v>1</v>
      </c>
    </row>
    <row r="1616" spans="2:12" hidden="1" x14ac:dyDescent="0.25">
      <c r="B1616" s="5" t="s">
        <v>193</v>
      </c>
      <c r="C1616" s="5" t="s">
        <v>253</v>
      </c>
      <c r="D1616" s="5" t="s">
        <v>131</v>
      </c>
      <c r="E1616" s="38">
        <v>44210</v>
      </c>
      <c r="F1616" s="4"/>
      <c r="G1616" s="4" t="s">
        <v>16</v>
      </c>
      <c r="H1616" s="2"/>
      <c r="I1616" s="11"/>
      <c r="J1616" s="5"/>
      <c r="K1616" s="22">
        <f>YEAR(Tabla1[[#This Row],[Fecha]])</f>
        <v>2021</v>
      </c>
      <c r="L1616" s="22">
        <f>MONTH(Tabla1[[#This Row],[Fecha]])</f>
        <v>1</v>
      </c>
    </row>
    <row r="1617" spans="2:12" hidden="1" x14ac:dyDescent="0.25">
      <c r="B1617" s="5" t="s">
        <v>248</v>
      </c>
      <c r="C1617" s="5" t="s">
        <v>1248</v>
      </c>
      <c r="D1617" s="5" t="s">
        <v>131</v>
      </c>
      <c r="E1617" s="6">
        <v>44195</v>
      </c>
      <c r="F1617" s="20" t="s">
        <v>1689</v>
      </c>
      <c r="G1617" s="4"/>
      <c r="H1617" s="2"/>
      <c r="I1617" s="11" t="s">
        <v>1249</v>
      </c>
      <c r="J1617" s="5"/>
      <c r="K1617" s="22">
        <f>YEAR(Tabla1[[#This Row],[Fecha]])</f>
        <v>2020</v>
      </c>
      <c r="L1617" s="22">
        <f>MONTH(Tabla1[[#This Row],[Fecha]])</f>
        <v>12</v>
      </c>
    </row>
    <row r="1618" spans="2:12" hidden="1" x14ac:dyDescent="0.25">
      <c r="B1618" s="5" t="s">
        <v>248</v>
      </c>
      <c r="C1618" s="5" t="s">
        <v>264</v>
      </c>
      <c r="D1618" s="5" t="s">
        <v>131</v>
      </c>
      <c r="E1618" s="6">
        <v>44195</v>
      </c>
      <c r="F1618" s="20" t="s">
        <v>1689</v>
      </c>
      <c r="G1618" s="4"/>
      <c r="H1618" s="2"/>
      <c r="I1618" s="11" t="s">
        <v>1249</v>
      </c>
      <c r="J1618" s="5"/>
      <c r="K1618" s="22">
        <f>YEAR(Tabla1[[#This Row],[Fecha]])</f>
        <v>2020</v>
      </c>
      <c r="L1618" s="22">
        <f>MONTH(Tabla1[[#This Row],[Fecha]])</f>
        <v>12</v>
      </c>
    </row>
    <row r="1619" spans="2:12" hidden="1" x14ac:dyDescent="0.25">
      <c r="B1619" s="2" t="s">
        <v>309</v>
      </c>
      <c r="C1619" s="2" t="s">
        <v>310</v>
      </c>
      <c r="D1619" s="2" t="s">
        <v>11</v>
      </c>
      <c r="E1619" s="12">
        <v>44193</v>
      </c>
      <c r="F1619" s="2"/>
      <c r="G1619" s="4" t="s">
        <v>103</v>
      </c>
      <c r="H1619" s="2"/>
      <c r="I1619" s="2" t="s">
        <v>1544</v>
      </c>
      <c r="J1619" s="11"/>
      <c r="K1619" s="22">
        <f>YEAR(Tabla1[[#This Row],[Fecha]])</f>
        <v>2020</v>
      </c>
      <c r="L1619" s="22">
        <f>MONTH(Tabla1[[#This Row],[Fecha]])</f>
        <v>12</v>
      </c>
    </row>
    <row r="1620" spans="2:12" hidden="1" x14ac:dyDescent="0.25">
      <c r="B1620" s="5" t="s">
        <v>27</v>
      </c>
      <c r="C1620" s="5" t="s">
        <v>28</v>
      </c>
      <c r="D1620" s="5" t="s">
        <v>131</v>
      </c>
      <c r="E1620" s="38">
        <v>44159</v>
      </c>
      <c r="F1620" s="4"/>
      <c r="G1620" s="4" t="s">
        <v>16</v>
      </c>
      <c r="H1620" s="2"/>
      <c r="I1620" s="11" t="s">
        <v>1296</v>
      </c>
      <c r="J1620" s="5"/>
      <c r="K1620" s="22">
        <f>YEAR(Tabla1[[#This Row],[Fecha]])</f>
        <v>2020</v>
      </c>
      <c r="L1620" s="22">
        <f>MONTH(Tabla1[[#This Row],[Fecha]])</f>
        <v>11</v>
      </c>
    </row>
    <row r="1621" spans="2:12" hidden="1" x14ac:dyDescent="0.25">
      <c r="B1621" s="5" t="s">
        <v>193</v>
      </c>
      <c r="C1621" s="5" t="s">
        <v>253</v>
      </c>
      <c r="D1621" s="5" t="s">
        <v>131</v>
      </c>
      <c r="E1621" s="38">
        <v>44133</v>
      </c>
      <c r="F1621" s="4"/>
      <c r="G1621" s="4" t="s">
        <v>36</v>
      </c>
      <c r="H1621" s="2"/>
      <c r="I1621" s="11"/>
      <c r="J1621" s="5"/>
      <c r="K1621" s="22">
        <f>YEAR(Tabla1[[#This Row],[Fecha]])</f>
        <v>2020</v>
      </c>
      <c r="L1621" s="22">
        <f>MONTH(Tabla1[[#This Row],[Fecha]])</f>
        <v>10</v>
      </c>
    </row>
    <row r="1622" spans="2:12" hidden="1" x14ac:dyDescent="0.25">
      <c r="B1622" s="2" t="s">
        <v>309</v>
      </c>
      <c r="C1622" s="2" t="s">
        <v>310</v>
      </c>
      <c r="D1622" s="2" t="s">
        <v>11</v>
      </c>
      <c r="E1622" s="12">
        <v>44125</v>
      </c>
      <c r="F1622" s="2"/>
      <c r="G1622" s="4" t="s">
        <v>103</v>
      </c>
      <c r="H1622" s="2"/>
      <c r="I1622" s="2" t="s">
        <v>1546</v>
      </c>
      <c r="J1622" s="11"/>
      <c r="K1622" s="22">
        <f>YEAR(Tabla1[[#This Row],[Fecha]])</f>
        <v>2020</v>
      </c>
      <c r="L1622" s="22">
        <f>MONTH(Tabla1[[#This Row],[Fecha]])</f>
        <v>10</v>
      </c>
    </row>
    <row r="1623" spans="2:12" hidden="1" x14ac:dyDescent="0.25">
      <c r="B1623" s="5" t="s">
        <v>27</v>
      </c>
      <c r="C1623" s="5" t="s">
        <v>28</v>
      </c>
      <c r="D1623" s="5" t="s">
        <v>131</v>
      </c>
      <c r="E1623" s="38">
        <v>44105</v>
      </c>
      <c r="F1623" s="4"/>
      <c r="G1623" s="4" t="s">
        <v>16</v>
      </c>
      <c r="H1623" s="2"/>
      <c r="I1623" s="11" t="s">
        <v>1296</v>
      </c>
      <c r="J1623" s="5"/>
      <c r="K1623" s="22">
        <f>YEAR(Tabla1[[#This Row],[Fecha]])</f>
        <v>2020</v>
      </c>
      <c r="L1623" s="22">
        <f>MONTH(Tabla1[[#This Row],[Fecha]])</f>
        <v>10</v>
      </c>
    </row>
    <row r="1624" spans="2:12" hidden="1" x14ac:dyDescent="0.25">
      <c r="B1624" s="5" t="s">
        <v>27</v>
      </c>
      <c r="C1624" s="5" t="s">
        <v>28</v>
      </c>
      <c r="D1624" s="5" t="s">
        <v>131</v>
      </c>
      <c r="E1624" s="6">
        <v>44102</v>
      </c>
      <c r="F1624" s="4" t="s">
        <v>91</v>
      </c>
      <c r="G1624" s="4" t="s">
        <v>303</v>
      </c>
      <c r="H1624" s="4" t="s">
        <v>434</v>
      </c>
      <c r="I1624" s="11" t="s">
        <v>1297</v>
      </c>
      <c r="J1624" s="5"/>
      <c r="K1624" s="22">
        <f>YEAR(Tabla1[[#This Row],[Fecha]])</f>
        <v>2020</v>
      </c>
      <c r="L1624" s="22">
        <f>MONTH(Tabla1[[#This Row],[Fecha]])</f>
        <v>9</v>
      </c>
    </row>
    <row r="1625" spans="2:12" hidden="1" x14ac:dyDescent="0.25">
      <c r="B1625" s="5" t="s">
        <v>27</v>
      </c>
      <c r="C1625" s="5" t="s">
        <v>28</v>
      </c>
      <c r="D1625" s="5" t="s">
        <v>131</v>
      </c>
      <c r="E1625" s="6">
        <v>44095</v>
      </c>
      <c r="F1625" s="4" t="s">
        <v>91</v>
      </c>
      <c r="G1625" s="4" t="s">
        <v>303</v>
      </c>
      <c r="H1625" s="4" t="s">
        <v>434</v>
      </c>
      <c r="I1625" s="11" t="s">
        <v>1298</v>
      </c>
      <c r="J1625" s="5"/>
      <c r="K1625" s="22">
        <f>YEAR(Tabla1[[#This Row],[Fecha]])</f>
        <v>2020</v>
      </c>
      <c r="L1625" s="22">
        <f>MONTH(Tabla1[[#This Row],[Fecha]])</f>
        <v>9</v>
      </c>
    </row>
    <row r="1626" spans="2:12" hidden="1" x14ac:dyDescent="0.25">
      <c r="B1626" s="2" t="s">
        <v>309</v>
      </c>
      <c r="C1626" s="2" t="s">
        <v>310</v>
      </c>
      <c r="D1626" s="2" t="s">
        <v>11</v>
      </c>
      <c r="E1626" s="12">
        <v>44084</v>
      </c>
      <c r="F1626" s="2"/>
      <c r="G1626" s="4" t="s">
        <v>16</v>
      </c>
      <c r="H1626" s="2"/>
      <c r="I1626" s="2" t="s">
        <v>1547</v>
      </c>
      <c r="J1626" s="2" t="s">
        <v>1548</v>
      </c>
      <c r="K1626" s="22">
        <f>YEAR(Tabla1[[#This Row],[Fecha]])</f>
        <v>2020</v>
      </c>
      <c r="L1626" s="22">
        <f>MONTH(Tabla1[[#This Row],[Fecha]])</f>
        <v>9</v>
      </c>
    </row>
    <row r="1627" spans="2:12" hidden="1" x14ac:dyDescent="0.25">
      <c r="B1627" s="5" t="s">
        <v>27</v>
      </c>
      <c r="C1627" s="5" t="s">
        <v>28</v>
      </c>
      <c r="D1627" s="5" t="s">
        <v>131</v>
      </c>
      <c r="E1627" s="6">
        <v>44081</v>
      </c>
      <c r="F1627" s="4" t="s">
        <v>91</v>
      </c>
      <c r="G1627" s="4" t="s">
        <v>303</v>
      </c>
      <c r="H1627" s="4" t="s">
        <v>434</v>
      </c>
      <c r="I1627" s="11" t="s">
        <v>1299</v>
      </c>
      <c r="J1627" s="5"/>
      <c r="K1627" s="22">
        <f>YEAR(Tabla1[[#This Row],[Fecha]])</f>
        <v>2020</v>
      </c>
      <c r="L1627" s="22">
        <f>MONTH(Tabla1[[#This Row],[Fecha]])</f>
        <v>9</v>
      </c>
    </row>
    <row r="1628" spans="2:12" hidden="1" x14ac:dyDescent="0.25">
      <c r="B1628" s="5" t="s">
        <v>27</v>
      </c>
      <c r="C1628" s="5" t="s">
        <v>28</v>
      </c>
      <c r="D1628" s="5" t="s">
        <v>131</v>
      </c>
      <c r="E1628" s="6">
        <v>44074</v>
      </c>
      <c r="F1628" s="4" t="s">
        <v>91</v>
      </c>
      <c r="G1628" s="4" t="s">
        <v>303</v>
      </c>
      <c r="H1628" s="4" t="s">
        <v>431</v>
      </c>
      <c r="I1628" s="11" t="s">
        <v>1300</v>
      </c>
      <c r="J1628" s="5"/>
      <c r="K1628" s="22">
        <f>YEAR(Tabla1[[#This Row],[Fecha]])</f>
        <v>2020</v>
      </c>
      <c r="L1628" s="22">
        <f>MONTH(Tabla1[[#This Row],[Fecha]])</f>
        <v>8</v>
      </c>
    </row>
    <row r="1629" spans="2:12" hidden="1" x14ac:dyDescent="0.25">
      <c r="B1629" s="5" t="s">
        <v>309</v>
      </c>
      <c r="C1629" s="5" t="s">
        <v>322</v>
      </c>
      <c r="D1629" s="5" t="s">
        <v>131</v>
      </c>
      <c r="E1629" s="6">
        <v>44018</v>
      </c>
      <c r="F1629" s="4" t="s">
        <v>91</v>
      </c>
      <c r="G1629" s="2" t="s">
        <v>16</v>
      </c>
      <c r="H1629" s="8" t="s">
        <v>43</v>
      </c>
      <c r="I1629" s="2" t="s">
        <v>1496</v>
      </c>
      <c r="J1629" s="5" t="s">
        <v>1497</v>
      </c>
      <c r="K1629" s="15">
        <f>YEAR(Tabla1[[#This Row],[Fecha]])</f>
        <v>2020</v>
      </c>
      <c r="L1629" s="15">
        <f>MONTH(Tabla1[[#This Row],[Fecha]])</f>
        <v>7</v>
      </c>
    </row>
    <row r="1630" spans="2:12" hidden="1" x14ac:dyDescent="0.25">
      <c r="B1630" s="2" t="s">
        <v>309</v>
      </c>
      <c r="C1630" s="2" t="s">
        <v>310</v>
      </c>
      <c r="D1630" s="2" t="s">
        <v>11</v>
      </c>
      <c r="E1630" s="12">
        <v>44016</v>
      </c>
      <c r="F1630" s="2"/>
      <c r="G1630" s="4" t="s">
        <v>16</v>
      </c>
      <c r="H1630" s="2"/>
      <c r="I1630" s="2" t="s">
        <v>1545</v>
      </c>
      <c r="J1630" s="11"/>
      <c r="K1630" s="22">
        <f>YEAR(Tabla1[[#This Row],[Fecha]])</f>
        <v>2020</v>
      </c>
      <c r="L1630" s="22">
        <f>MONTH(Tabla1[[#This Row],[Fecha]])</f>
        <v>7</v>
      </c>
    </row>
    <row r="1631" spans="2:12" hidden="1" x14ac:dyDescent="0.25">
      <c r="B1631" s="5" t="s">
        <v>309</v>
      </c>
      <c r="C1631" s="5" t="s">
        <v>322</v>
      </c>
      <c r="D1631" s="5" t="s">
        <v>131</v>
      </c>
      <c r="E1631" s="38">
        <v>44014</v>
      </c>
      <c r="F1631" s="4"/>
      <c r="G1631" s="4" t="s">
        <v>16</v>
      </c>
      <c r="H1631" s="2"/>
      <c r="I1631" s="11" t="s">
        <v>1494</v>
      </c>
      <c r="J1631" s="5" t="s">
        <v>1495</v>
      </c>
      <c r="K1631" s="22">
        <f>YEAR(Tabla1[[#This Row],[Fecha]])</f>
        <v>2020</v>
      </c>
      <c r="L1631" s="22">
        <f>MONTH(Tabla1[[#This Row],[Fecha]])</f>
        <v>7</v>
      </c>
    </row>
    <row r="1632" spans="2:12" hidden="1" x14ac:dyDescent="0.25">
      <c r="B1632" s="5" t="s">
        <v>309</v>
      </c>
      <c r="C1632" s="5" t="s">
        <v>310</v>
      </c>
      <c r="D1632" s="5" t="s">
        <v>131</v>
      </c>
      <c r="E1632" s="38">
        <v>43908</v>
      </c>
      <c r="F1632" s="4"/>
      <c r="G1632" s="4" t="s">
        <v>16</v>
      </c>
      <c r="H1632" s="2"/>
      <c r="I1632" s="11" t="s">
        <v>1183</v>
      </c>
      <c r="J1632" s="5"/>
      <c r="K1632" s="22">
        <f>YEAR(Tabla1[[#This Row],[Fecha]])</f>
        <v>2020</v>
      </c>
      <c r="L1632" s="22">
        <f>MONTH(Tabla1[[#This Row],[Fecha]])</f>
        <v>3</v>
      </c>
    </row>
    <row r="1633" spans="2:12" hidden="1" x14ac:dyDescent="0.25">
      <c r="B1633" s="5" t="s">
        <v>49</v>
      </c>
      <c r="C1633" s="5" t="s">
        <v>115</v>
      </c>
      <c r="D1633" s="5" t="s">
        <v>131</v>
      </c>
      <c r="E1633" s="6">
        <v>43908</v>
      </c>
      <c r="F1633" s="4" t="s">
        <v>91</v>
      </c>
      <c r="G1633" s="4" t="s">
        <v>303</v>
      </c>
      <c r="H1633" s="4" t="s">
        <v>434</v>
      </c>
      <c r="I1633" s="11" t="s">
        <v>1184</v>
      </c>
      <c r="J1633" s="5"/>
      <c r="K1633" s="22">
        <f>YEAR(Tabla1[[#This Row],[Fecha]])</f>
        <v>2020</v>
      </c>
      <c r="L1633" s="22">
        <f>MONTH(Tabla1[[#This Row],[Fecha]])</f>
        <v>3</v>
      </c>
    </row>
    <row r="1634" spans="2:12" hidden="1" x14ac:dyDescent="0.25">
      <c r="B1634" s="5" t="s">
        <v>49</v>
      </c>
      <c r="C1634" s="5" t="s">
        <v>176</v>
      </c>
      <c r="D1634" s="5" t="s">
        <v>131</v>
      </c>
      <c r="E1634" s="6">
        <v>43908</v>
      </c>
      <c r="F1634" s="4" t="s">
        <v>91</v>
      </c>
      <c r="G1634" s="4" t="s">
        <v>303</v>
      </c>
      <c r="H1634" s="4" t="s">
        <v>434</v>
      </c>
      <c r="I1634" s="11" t="s">
        <v>1185</v>
      </c>
      <c r="J1634" s="5"/>
      <c r="K1634" s="22">
        <f>YEAR(Tabla1[[#This Row],[Fecha]])</f>
        <v>2020</v>
      </c>
      <c r="L1634" s="22">
        <f>MONTH(Tabla1[[#This Row],[Fecha]])</f>
        <v>3</v>
      </c>
    </row>
    <row r="1635" spans="2:12" hidden="1" x14ac:dyDescent="0.25">
      <c r="B1635" s="5" t="s">
        <v>49</v>
      </c>
      <c r="C1635" s="5" t="s">
        <v>60</v>
      </c>
      <c r="D1635" s="5" t="s">
        <v>131</v>
      </c>
      <c r="E1635" s="6">
        <v>43908</v>
      </c>
      <c r="F1635" s="4" t="s">
        <v>91</v>
      </c>
      <c r="G1635" s="4" t="s">
        <v>303</v>
      </c>
      <c r="H1635" s="4" t="s">
        <v>434</v>
      </c>
      <c r="I1635" s="11" t="s">
        <v>1186</v>
      </c>
      <c r="J1635" s="5"/>
      <c r="K1635" s="22">
        <f>YEAR(Tabla1[[#This Row],[Fecha]])</f>
        <v>2020</v>
      </c>
      <c r="L1635" s="22">
        <f>MONTH(Tabla1[[#This Row],[Fecha]])</f>
        <v>3</v>
      </c>
    </row>
    <row r="1636" spans="2:12" hidden="1" x14ac:dyDescent="0.25">
      <c r="B1636" s="5" t="s">
        <v>49</v>
      </c>
      <c r="C1636" s="5" t="s">
        <v>56</v>
      </c>
      <c r="D1636" s="5" t="s">
        <v>131</v>
      </c>
      <c r="E1636" s="6">
        <v>43901</v>
      </c>
      <c r="F1636" s="4" t="s">
        <v>91</v>
      </c>
      <c r="G1636" s="4" t="s">
        <v>303</v>
      </c>
      <c r="H1636" s="2" t="s">
        <v>431</v>
      </c>
      <c r="I1636" s="11" t="s">
        <v>1192</v>
      </c>
      <c r="J1636" s="5"/>
      <c r="K1636" s="22">
        <f>YEAR(Tabla1[[#This Row],[Fecha]])</f>
        <v>2020</v>
      </c>
      <c r="L1636" s="22">
        <f>MONTH(Tabla1[[#This Row],[Fecha]])</f>
        <v>3</v>
      </c>
    </row>
    <row r="1637" spans="2:12" hidden="1" x14ac:dyDescent="0.25">
      <c r="B1637" s="5" t="s">
        <v>49</v>
      </c>
      <c r="C1637" s="5" t="s">
        <v>115</v>
      </c>
      <c r="D1637" s="5" t="s">
        <v>131</v>
      </c>
      <c r="E1637" s="6">
        <v>43901</v>
      </c>
      <c r="F1637" s="4" t="s">
        <v>91</v>
      </c>
      <c r="G1637" s="4" t="s">
        <v>303</v>
      </c>
      <c r="H1637" s="2" t="s">
        <v>431</v>
      </c>
      <c r="I1637" s="11" t="s">
        <v>1193</v>
      </c>
      <c r="J1637" s="5"/>
      <c r="K1637" s="22">
        <f>YEAR(Tabla1[[#This Row],[Fecha]])</f>
        <v>2020</v>
      </c>
      <c r="L1637" s="22">
        <f>MONTH(Tabla1[[#This Row],[Fecha]])</f>
        <v>3</v>
      </c>
    </row>
    <row r="1638" spans="2:12" hidden="1" x14ac:dyDescent="0.25">
      <c r="B1638" s="5" t="s">
        <v>49</v>
      </c>
      <c r="C1638" s="5" t="s">
        <v>176</v>
      </c>
      <c r="D1638" s="5" t="s">
        <v>131</v>
      </c>
      <c r="E1638" s="6">
        <v>43901</v>
      </c>
      <c r="F1638" s="4" t="s">
        <v>91</v>
      </c>
      <c r="G1638" s="4" t="s">
        <v>303</v>
      </c>
      <c r="H1638" s="2" t="s">
        <v>431</v>
      </c>
      <c r="I1638" s="11" t="s">
        <v>1194</v>
      </c>
      <c r="J1638" s="5"/>
      <c r="K1638" s="22">
        <f>YEAR(Tabla1[[#This Row],[Fecha]])</f>
        <v>2020</v>
      </c>
      <c r="L1638" s="22">
        <f>MONTH(Tabla1[[#This Row],[Fecha]])</f>
        <v>3</v>
      </c>
    </row>
    <row r="1639" spans="2:12" hidden="1" x14ac:dyDescent="0.25">
      <c r="B1639" s="5" t="s">
        <v>49</v>
      </c>
      <c r="C1639" s="5" t="s">
        <v>111</v>
      </c>
      <c r="D1639" s="5" t="s">
        <v>131</v>
      </c>
      <c r="E1639" s="6">
        <v>43901</v>
      </c>
      <c r="F1639" s="4" t="s">
        <v>91</v>
      </c>
      <c r="G1639" s="4" t="s">
        <v>303</v>
      </c>
      <c r="H1639" s="2" t="s">
        <v>431</v>
      </c>
      <c r="I1639" s="11" t="s">
        <v>1195</v>
      </c>
      <c r="J1639" s="5"/>
      <c r="K1639" s="22">
        <f>YEAR(Tabla1[[#This Row],[Fecha]])</f>
        <v>2020</v>
      </c>
      <c r="L1639" s="22">
        <f>MONTH(Tabla1[[#This Row],[Fecha]])</f>
        <v>3</v>
      </c>
    </row>
    <row r="1640" spans="2:12" hidden="1" x14ac:dyDescent="0.25">
      <c r="B1640" s="5" t="s">
        <v>49</v>
      </c>
      <c r="C1640" s="5" t="s">
        <v>66</v>
      </c>
      <c r="D1640" s="5" t="s">
        <v>131</v>
      </c>
      <c r="E1640" s="6">
        <v>43901</v>
      </c>
      <c r="F1640" s="4" t="s">
        <v>91</v>
      </c>
      <c r="G1640" s="4" t="s">
        <v>303</v>
      </c>
      <c r="H1640" s="2" t="s">
        <v>431</v>
      </c>
      <c r="I1640" s="11" t="s">
        <v>1196</v>
      </c>
      <c r="J1640" s="5"/>
      <c r="K1640" s="22">
        <f>YEAR(Tabla1[[#This Row],[Fecha]])</f>
        <v>2020</v>
      </c>
      <c r="L1640" s="22">
        <f>MONTH(Tabla1[[#This Row],[Fecha]])</f>
        <v>3</v>
      </c>
    </row>
    <row r="1641" spans="2:12" hidden="1" x14ac:dyDescent="0.25">
      <c r="B1641" s="5" t="s">
        <v>49</v>
      </c>
      <c r="C1641" s="5" t="s">
        <v>60</v>
      </c>
      <c r="D1641" s="5" t="s">
        <v>131</v>
      </c>
      <c r="E1641" s="6">
        <v>43901</v>
      </c>
      <c r="F1641" s="4" t="s">
        <v>91</v>
      </c>
      <c r="G1641" s="4" t="s">
        <v>303</v>
      </c>
      <c r="H1641" s="2" t="s">
        <v>431</v>
      </c>
      <c r="I1641" s="11" t="s">
        <v>1197</v>
      </c>
      <c r="J1641" s="5"/>
      <c r="K1641" s="22">
        <f>YEAR(Tabla1[[#This Row],[Fecha]])</f>
        <v>2020</v>
      </c>
      <c r="L1641" s="22">
        <f>MONTH(Tabla1[[#This Row],[Fecha]])</f>
        <v>3</v>
      </c>
    </row>
    <row r="1642" spans="2:12" hidden="1" x14ac:dyDescent="0.25">
      <c r="B1642" s="5" t="s">
        <v>49</v>
      </c>
      <c r="C1642" s="5" t="s">
        <v>50</v>
      </c>
      <c r="D1642" s="5" t="s">
        <v>131</v>
      </c>
      <c r="E1642" s="6">
        <v>43899</v>
      </c>
      <c r="F1642" s="4" t="s">
        <v>91</v>
      </c>
      <c r="G1642" s="4" t="s">
        <v>303</v>
      </c>
      <c r="H1642" s="4" t="s">
        <v>431</v>
      </c>
      <c r="I1642" s="11" t="s">
        <v>1187</v>
      </c>
      <c r="J1642" s="5"/>
      <c r="K1642" s="22">
        <f>YEAR(Tabla1[[#This Row],[Fecha]])</f>
        <v>2020</v>
      </c>
      <c r="L1642" s="22">
        <f>MONTH(Tabla1[[#This Row],[Fecha]])</f>
        <v>3</v>
      </c>
    </row>
    <row r="1643" spans="2:12" hidden="1" x14ac:dyDescent="0.25">
      <c r="B1643" s="5" t="s">
        <v>49</v>
      </c>
      <c r="C1643" s="5" t="s">
        <v>115</v>
      </c>
      <c r="D1643" s="5" t="s">
        <v>131</v>
      </c>
      <c r="E1643" s="6">
        <v>43899</v>
      </c>
      <c r="F1643" s="4" t="s">
        <v>91</v>
      </c>
      <c r="G1643" s="4" t="s">
        <v>16</v>
      </c>
      <c r="H1643" s="2" t="s">
        <v>41</v>
      </c>
      <c r="I1643" s="11" t="s">
        <v>1188</v>
      </c>
      <c r="J1643" s="5"/>
      <c r="K1643" s="22">
        <f>YEAR(Tabla1[[#This Row],[Fecha]])</f>
        <v>2020</v>
      </c>
      <c r="L1643" s="22">
        <f>MONTH(Tabla1[[#This Row],[Fecha]])</f>
        <v>3</v>
      </c>
    </row>
    <row r="1644" spans="2:12" hidden="1" x14ac:dyDescent="0.25">
      <c r="B1644" s="5" t="s">
        <v>49</v>
      </c>
      <c r="C1644" s="5" t="s">
        <v>117</v>
      </c>
      <c r="D1644" s="5" t="s">
        <v>131</v>
      </c>
      <c r="E1644" s="6">
        <v>43899</v>
      </c>
      <c r="F1644" s="4" t="s">
        <v>91</v>
      </c>
      <c r="G1644" s="4" t="s">
        <v>303</v>
      </c>
      <c r="H1644" s="2" t="s">
        <v>431</v>
      </c>
      <c r="I1644" s="11" t="s">
        <v>1189</v>
      </c>
      <c r="J1644" s="5"/>
      <c r="K1644" s="22">
        <f>YEAR(Tabla1[[#This Row],[Fecha]])</f>
        <v>2020</v>
      </c>
      <c r="L1644" s="22">
        <f>MONTH(Tabla1[[#This Row],[Fecha]])</f>
        <v>3</v>
      </c>
    </row>
    <row r="1645" spans="2:12" hidden="1" x14ac:dyDescent="0.25">
      <c r="B1645" s="5" t="s">
        <v>49</v>
      </c>
      <c r="C1645" s="5" t="s">
        <v>57</v>
      </c>
      <c r="D1645" s="5" t="s">
        <v>131</v>
      </c>
      <c r="E1645" s="6">
        <v>43899</v>
      </c>
      <c r="F1645" s="4" t="s">
        <v>91</v>
      </c>
      <c r="G1645" s="4" t="s">
        <v>303</v>
      </c>
      <c r="H1645" s="2" t="s">
        <v>431</v>
      </c>
      <c r="I1645" s="11" t="s">
        <v>1190</v>
      </c>
      <c r="J1645" s="5"/>
      <c r="K1645" s="22">
        <f>YEAR(Tabla1[[#This Row],[Fecha]])</f>
        <v>2020</v>
      </c>
      <c r="L1645" s="22">
        <f>MONTH(Tabla1[[#This Row],[Fecha]])</f>
        <v>3</v>
      </c>
    </row>
    <row r="1646" spans="2:12" hidden="1" x14ac:dyDescent="0.25">
      <c r="B1646" s="5" t="s">
        <v>49</v>
      </c>
      <c r="C1646" s="5" t="s">
        <v>123</v>
      </c>
      <c r="D1646" s="5" t="s">
        <v>131</v>
      </c>
      <c r="E1646" s="6">
        <v>43899</v>
      </c>
      <c r="F1646" s="4" t="s">
        <v>91</v>
      </c>
      <c r="G1646" s="4" t="s">
        <v>303</v>
      </c>
      <c r="H1646" s="2" t="s">
        <v>431</v>
      </c>
      <c r="I1646" s="11" t="s">
        <v>1191</v>
      </c>
      <c r="J1646" s="5"/>
      <c r="K1646" s="22">
        <f>YEAR(Tabla1[[#This Row],[Fecha]])</f>
        <v>2020</v>
      </c>
      <c r="L1646" s="22">
        <f>MONTH(Tabla1[[#This Row],[Fecha]])</f>
        <v>3</v>
      </c>
    </row>
    <row r="1647" spans="2:12" hidden="1" x14ac:dyDescent="0.25">
      <c r="B1647" s="5" t="s">
        <v>190</v>
      </c>
      <c r="C1647" s="5" t="s">
        <v>287</v>
      </c>
      <c r="D1647" s="5" t="s">
        <v>131</v>
      </c>
      <c r="E1647" s="6">
        <v>43888</v>
      </c>
      <c r="F1647" s="4" t="s">
        <v>91</v>
      </c>
      <c r="G1647" s="4" t="s">
        <v>303</v>
      </c>
      <c r="H1647" s="4" t="s">
        <v>434</v>
      </c>
      <c r="I1647" s="11" t="s">
        <v>1172</v>
      </c>
      <c r="J1647" s="5"/>
      <c r="K1647" s="22">
        <f>YEAR(Tabla1[[#This Row],[Fecha]])</f>
        <v>2020</v>
      </c>
      <c r="L1647" s="22">
        <f>MONTH(Tabla1[[#This Row],[Fecha]])</f>
        <v>2</v>
      </c>
    </row>
    <row r="1648" spans="2:12" hidden="1" x14ac:dyDescent="0.25">
      <c r="B1648" s="5" t="s">
        <v>190</v>
      </c>
      <c r="C1648" s="5" t="s">
        <v>287</v>
      </c>
      <c r="D1648" s="5" t="s">
        <v>131</v>
      </c>
      <c r="E1648" s="6">
        <v>43881</v>
      </c>
      <c r="F1648" s="4" t="s">
        <v>15</v>
      </c>
      <c r="G1648" s="4" t="s">
        <v>16</v>
      </c>
      <c r="H1648" s="2" t="s">
        <v>1704</v>
      </c>
      <c r="I1648" s="11" t="s">
        <v>1173</v>
      </c>
      <c r="J1648" s="5"/>
      <c r="K1648" s="22">
        <f>YEAR(Tabla1[[#This Row],[Fecha]])</f>
        <v>2020</v>
      </c>
      <c r="L1648" s="22">
        <f>MONTH(Tabla1[[#This Row],[Fecha]])</f>
        <v>2</v>
      </c>
    </row>
    <row r="1649" spans="2:12" hidden="1" x14ac:dyDescent="0.25">
      <c r="B1649" s="5" t="s">
        <v>190</v>
      </c>
      <c r="C1649" s="5" t="s">
        <v>287</v>
      </c>
      <c r="D1649" s="5" t="s">
        <v>131</v>
      </c>
      <c r="E1649" s="6">
        <v>43858</v>
      </c>
      <c r="F1649" s="4" t="s">
        <v>15</v>
      </c>
      <c r="G1649" s="4" t="s">
        <v>16</v>
      </c>
      <c r="H1649" s="2" t="s">
        <v>1704</v>
      </c>
      <c r="I1649" s="11" t="s">
        <v>1174</v>
      </c>
      <c r="J1649" s="5"/>
      <c r="K1649" s="22">
        <f>YEAR(Tabla1[[#This Row],[Fecha]])</f>
        <v>2020</v>
      </c>
      <c r="L1649" s="22">
        <f>MONTH(Tabla1[[#This Row],[Fecha]])</f>
        <v>1</v>
      </c>
    </row>
    <row r="1650" spans="2:12" hidden="1" x14ac:dyDescent="0.25">
      <c r="B1650" s="5" t="s">
        <v>309</v>
      </c>
      <c r="C1650" s="5" t="s">
        <v>320</v>
      </c>
      <c r="D1650" s="5" t="s">
        <v>11</v>
      </c>
      <c r="E1650" s="6">
        <v>43845</v>
      </c>
      <c r="F1650" s="4" t="s">
        <v>91</v>
      </c>
      <c r="G1650" s="2" t="s">
        <v>16</v>
      </c>
      <c r="H1650" s="2" t="s">
        <v>34</v>
      </c>
      <c r="I1650" s="2" t="s">
        <v>1475</v>
      </c>
      <c r="J1650" s="5" t="s">
        <v>1476</v>
      </c>
      <c r="K1650" s="15">
        <f>YEAR(Tabla1[[#This Row],[Fecha]])</f>
        <v>2020</v>
      </c>
      <c r="L1650" s="15">
        <f>MONTH(Tabla1[[#This Row],[Fecha]])</f>
        <v>1</v>
      </c>
    </row>
    <row r="1651" spans="2:12" hidden="1" x14ac:dyDescent="0.25">
      <c r="B1651" s="2" t="s">
        <v>309</v>
      </c>
      <c r="C1651" s="2" t="s">
        <v>310</v>
      </c>
      <c r="D1651" s="2" t="s">
        <v>11</v>
      </c>
      <c r="E1651" s="12">
        <v>43826</v>
      </c>
      <c r="F1651" s="2"/>
      <c r="G1651" s="4" t="s">
        <v>16</v>
      </c>
      <c r="H1651" s="2"/>
      <c r="I1651" s="2" t="s">
        <v>1541</v>
      </c>
      <c r="J1651" s="11"/>
      <c r="K1651" s="22">
        <f>YEAR(Tabla1[[#This Row],[Fecha]])</f>
        <v>2019</v>
      </c>
      <c r="L1651" s="22">
        <f>MONTH(Tabla1[[#This Row],[Fecha]])</f>
        <v>12</v>
      </c>
    </row>
    <row r="1652" spans="2:12" hidden="1" x14ac:dyDescent="0.25">
      <c r="B1652" s="5" t="s">
        <v>27</v>
      </c>
      <c r="C1652" s="5" t="s">
        <v>28</v>
      </c>
      <c r="D1652" s="5" t="s">
        <v>131</v>
      </c>
      <c r="E1652" s="38">
        <v>43822</v>
      </c>
      <c r="F1652" s="4"/>
      <c r="G1652" s="4" t="s">
        <v>16</v>
      </c>
      <c r="H1652" s="2"/>
      <c r="I1652" s="11" t="s">
        <v>1303</v>
      </c>
      <c r="J1652" s="5" t="s">
        <v>1304</v>
      </c>
      <c r="K1652" s="22">
        <f>YEAR(Tabla1[[#This Row],[Fecha]])</f>
        <v>2019</v>
      </c>
      <c r="L1652" s="22">
        <f>MONTH(Tabla1[[#This Row],[Fecha]])</f>
        <v>12</v>
      </c>
    </row>
    <row r="1653" spans="2:12" hidden="1" x14ac:dyDescent="0.25">
      <c r="B1653" s="5" t="s">
        <v>49</v>
      </c>
      <c r="C1653" s="5" t="s">
        <v>176</v>
      </c>
      <c r="D1653" s="5" t="s">
        <v>131</v>
      </c>
      <c r="E1653" s="38">
        <v>43812</v>
      </c>
      <c r="F1653" s="4"/>
      <c r="G1653" s="4" t="s">
        <v>16</v>
      </c>
      <c r="H1653" s="2"/>
      <c r="I1653" s="11" t="s">
        <v>1205</v>
      </c>
      <c r="J1653" s="5"/>
      <c r="K1653" s="22">
        <f>YEAR(Tabla1[[#This Row],[Fecha]])</f>
        <v>2019</v>
      </c>
      <c r="L1653" s="22">
        <f>MONTH(Tabla1[[#This Row],[Fecha]])</f>
        <v>12</v>
      </c>
    </row>
    <row r="1654" spans="2:12" hidden="1" x14ac:dyDescent="0.25">
      <c r="B1654" s="5" t="s">
        <v>49</v>
      </c>
      <c r="C1654" s="5" t="s">
        <v>66</v>
      </c>
      <c r="D1654" s="5" t="s">
        <v>131</v>
      </c>
      <c r="E1654" s="38">
        <v>43812</v>
      </c>
      <c r="F1654" s="4"/>
      <c r="G1654" s="4" t="s">
        <v>16</v>
      </c>
      <c r="H1654" s="2"/>
      <c r="I1654" s="11" t="s">
        <v>1206</v>
      </c>
      <c r="J1654" s="5"/>
      <c r="K1654" s="22">
        <f>YEAR(Tabla1[[#This Row],[Fecha]])</f>
        <v>2019</v>
      </c>
      <c r="L1654" s="22">
        <f>MONTH(Tabla1[[#This Row],[Fecha]])</f>
        <v>12</v>
      </c>
    </row>
    <row r="1655" spans="2:12" hidden="1" x14ac:dyDescent="0.25">
      <c r="B1655" s="5" t="s">
        <v>49</v>
      </c>
      <c r="C1655" s="5" t="s">
        <v>60</v>
      </c>
      <c r="D1655" s="5" t="s">
        <v>131</v>
      </c>
      <c r="E1655" s="38">
        <v>43812</v>
      </c>
      <c r="F1655" s="4"/>
      <c r="G1655" s="4" t="s">
        <v>16</v>
      </c>
      <c r="H1655" s="2"/>
      <c r="I1655" s="11" t="s">
        <v>1207</v>
      </c>
      <c r="J1655" s="5"/>
      <c r="K1655" s="22">
        <f>YEAR(Tabla1[[#This Row],[Fecha]])</f>
        <v>2019</v>
      </c>
      <c r="L1655" s="22">
        <f>MONTH(Tabla1[[#This Row],[Fecha]])</f>
        <v>12</v>
      </c>
    </row>
    <row r="1656" spans="2:12" hidden="1" x14ac:dyDescent="0.25">
      <c r="B1656" s="5" t="s">
        <v>49</v>
      </c>
      <c r="C1656" s="5" t="s">
        <v>53</v>
      </c>
      <c r="D1656" s="5" t="s">
        <v>131</v>
      </c>
      <c r="E1656" s="38">
        <v>43811</v>
      </c>
      <c r="F1656" s="4"/>
      <c r="G1656" s="4" t="s">
        <v>16</v>
      </c>
      <c r="H1656" s="2"/>
      <c r="I1656" s="11" t="s">
        <v>1198</v>
      </c>
      <c r="J1656" s="5"/>
      <c r="K1656" s="22">
        <f>YEAR(Tabla1[[#This Row],[Fecha]])</f>
        <v>2019</v>
      </c>
      <c r="L1656" s="22">
        <f>MONTH(Tabla1[[#This Row],[Fecha]])</f>
        <v>12</v>
      </c>
    </row>
    <row r="1657" spans="2:12" hidden="1" x14ac:dyDescent="0.25">
      <c r="B1657" s="5" t="s">
        <v>49</v>
      </c>
      <c r="C1657" s="5" t="s">
        <v>50</v>
      </c>
      <c r="D1657" s="5" t="s">
        <v>131</v>
      </c>
      <c r="E1657" s="38">
        <v>43811</v>
      </c>
      <c r="F1657" s="4"/>
      <c r="G1657" s="4" t="s">
        <v>16</v>
      </c>
      <c r="H1657" s="2"/>
      <c r="I1657" s="11" t="s">
        <v>1199</v>
      </c>
      <c r="J1657" s="5"/>
      <c r="K1657" s="22">
        <f>YEAR(Tabla1[[#This Row],[Fecha]])</f>
        <v>2019</v>
      </c>
      <c r="L1657" s="22">
        <f>MONTH(Tabla1[[#This Row],[Fecha]])</f>
        <v>12</v>
      </c>
    </row>
    <row r="1658" spans="2:12" hidden="1" x14ac:dyDescent="0.25">
      <c r="B1658" s="5" t="s">
        <v>49</v>
      </c>
      <c r="C1658" s="5" t="s">
        <v>115</v>
      </c>
      <c r="D1658" s="5" t="s">
        <v>131</v>
      </c>
      <c r="E1658" s="38">
        <v>43811</v>
      </c>
      <c r="F1658" s="4"/>
      <c r="G1658" s="4" t="s">
        <v>16</v>
      </c>
      <c r="H1658" s="2"/>
      <c r="I1658" s="11" t="s">
        <v>1200</v>
      </c>
      <c r="J1658" s="5"/>
      <c r="K1658" s="22">
        <f>YEAR(Tabla1[[#This Row],[Fecha]])</f>
        <v>2019</v>
      </c>
      <c r="L1658" s="22">
        <f>MONTH(Tabla1[[#This Row],[Fecha]])</f>
        <v>12</v>
      </c>
    </row>
    <row r="1659" spans="2:12" hidden="1" x14ac:dyDescent="0.25">
      <c r="B1659" s="5" t="s">
        <v>49</v>
      </c>
      <c r="C1659" s="5" t="s">
        <v>117</v>
      </c>
      <c r="D1659" s="5" t="s">
        <v>131</v>
      </c>
      <c r="E1659" s="38">
        <v>43811</v>
      </c>
      <c r="F1659" s="4"/>
      <c r="G1659" s="4" t="s">
        <v>16</v>
      </c>
      <c r="H1659" s="2"/>
      <c r="I1659" s="11" t="s">
        <v>1201</v>
      </c>
      <c r="J1659" s="5"/>
      <c r="K1659" s="22">
        <f>YEAR(Tabla1[[#This Row],[Fecha]])</f>
        <v>2019</v>
      </c>
      <c r="L1659" s="22">
        <f>MONTH(Tabla1[[#This Row],[Fecha]])</f>
        <v>12</v>
      </c>
    </row>
    <row r="1660" spans="2:12" hidden="1" x14ac:dyDescent="0.25">
      <c r="B1660" s="5" t="s">
        <v>49</v>
      </c>
      <c r="C1660" s="5" t="s">
        <v>57</v>
      </c>
      <c r="D1660" s="5" t="s">
        <v>131</v>
      </c>
      <c r="E1660" s="38">
        <v>43811</v>
      </c>
      <c r="F1660" s="4"/>
      <c r="G1660" s="4" t="s">
        <v>16</v>
      </c>
      <c r="H1660" s="2"/>
      <c r="I1660" s="11" t="s">
        <v>1202</v>
      </c>
      <c r="J1660" s="5"/>
      <c r="K1660" s="22">
        <f>YEAR(Tabla1[[#This Row],[Fecha]])</f>
        <v>2019</v>
      </c>
      <c r="L1660" s="22">
        <f>MONTH(Tabla1[[#This Row],[Fecha]])</f>
        <v>12</v>
      </c>
    </row>
    <row r="1661" spans="2:12" hidden="1" x14ac:dyDescent="0.25">
      <c r="B1661" s="5" t="s">
        <v>49</v>
      </c>
      <c r="C1661" s="5" t="s">
        <v>123</v>
      </c>
      <c r="D1661" s="5" t="s">
        <v>131</v>
      </c>
      <c r="E1661" s="38">
        <v>43811</v>
      </c>
      <c r="F1661" s="4"/>
      <c r="G1661" s="4" t="s">
        <v>16</v>
      </c>
      <c r="H1661" s="2"/>
      <c r="I1661" s="11" t="s">
        <v>1203</v>
      </c>
      <c r="J1661" s="5"/>
      <c r="K1661" s="22">
        <f>YEAR(Tabla1[[#This Row],[Fecha]])</f>
        <v>2019</v>
      </c>
      <c r="L1661" s="22">
        <f>MONTH(Tabla1[[#This Row],[Fecha]])</f>
        <v>12</v>
      </c>
    </row>
    <row r="1662" spans="2:12" hidden="1" x14ac:dyDescent="0.25">
      <c r="B1662" s="5" t="s">
        <v>49</v>
      </c>
      <c r="C1662" s="5" t="s">
        <v>56</v>
      </c>
      <c r="D1662" s="5" t="s">
        <v>131</v>
      </c>
      <c r="E1662" s="38">
        <v>43811</v>
      </c>
      <c r="F1662" s="4"/>
      <c r="G1662" s="4" t="s">
        <v>16</v>
      </c>
      <c r="H1662" s="2"/>
      <c r="I1662" s="11" t="s">
        <v>1204</v>
      </c>
      <c r="J1662" s="5"/>
      <c r="K1662" s="22">
        <f>YEAR(Tabla1[[#This Row],[Fecha]])</f>
        <v>2019</v>
      </c>
      <c r="L1662" s="22">
        <f>MONTH(Tabla1[[#This Row],[Fecha]])</f>
        <v>12</v>
      </c>
    </row>
    <row r="1663" spans="2:12" hidden="1" x14ac:dyDescent="0.25">
      <c r="B1663" s="5" t="s">
        <v>309</v>
      </c>
      <c r="C1663" s="5" t="s">
        <v>378</v>
      </c>
      <c r="D1663" s="5" t="s">
        <v>131</v>
      </c>
      <c r="E1663" s="6">
        <v>43804</v>
      </c>
      <c r="F1663" s="4" t="s">
        <v>91</v>
      </c>
      <c r="G1663" s="4" t="s">
        <v>303</v>
      </c>
      <c r="H1663" s="4" t="s">
        <v>431</v>
      </c>
      <c r="I1663" s="11" t="s">
        <v>1498</v>
      </c>
      <c r="J1663" s="5"/>
      <c r="K1663" s="22">
        <f>YEAR(Tabla1[[#This Row],[Fecha]])</f>
        <v>2019</v>
      </c>
      <c r="L1663" s="22">
        <f>MONTH(Tabla1[[#This Row],[Fecha]])</f>
        <v>12</v>
      </c>
    </row>
    <row r="1664" spans="2:12" hidden="1" x14ac:dyDescent="0.25">
      <c r="B1664" s="5" t="s">
        <v>309</v>
      </c>
      <c r="C1664" s="5" t="s">
        <v>322</v>
      </c>
      <c r="D1664" s="5" t="s">
        <v>131</v>
      </c>
      <c r="E1664" s="38">
        <v>43798</v>
      </c>
      <c r="F1664" s="4"/>
      <c r="G1664" s="4" t="s">
        <v>16</v>
      </c>
      <c r="H1664" s="2"/>
      <c r="I1664" s="11" t="s">
        <v>1501</v>
      </c>
      <c r="J1664" s="5"/>
      <c r="K1664" s="22">
        <f>YEAR(Tabla1[[#This Row],[Fecha]])</f>
        <v>2019</v>
      </c>
      <c r="L1664" s="22">
        <f>MONTH(Tabla1[[#This Row],[Fecha]])</f>
        <v>11</v>
      </c>
    </row>
    <row r="1665" spans="2:12" hidden="1" x14ac:dyDescent="0.25">
      <c r="B1665" s="5" t="s">
        <v>49</v>
      </c>
      <c r="C1665" s="5" t="s">
        <v>115</v>
      </c>
      <c r="D1665" s="5" t="s">
        <v>131</v>
      </c>
      <c r="E1665" s="38">
        <v>43794</v>
      </c>
      <c r="F1665" s="4"/>
      <c r="G1665" s="4" t="s">
        <v>16</v>
      </c>
      <c r="H1665" s="2"/>
      <c r="I1665" s="11" t="s">
        <v>1208</v>
      </c>
      <c r="J1665" s="5"/>
      <c r="K1665" s="22">
        <f>YEAR(Tabla1[[#This Row],[Fecha]])</f>
        <v>2019</v>
      </c>
      <c r="L1665" s="22">
        <f>MONTH(Tabla1[[#This Row],[Fecha]])</f>
        <v>11</v>
      </c>
    </row>
    <row r="1666" spans="2:12" hidden="1" x14ac:dyDescent="0.25">
      <c r="B1666" s="5" t="s">
        <v>309</v>
      </c>
      <c r="C1666" s="5" t="s">
        <v>378</v>
      </c>
      <c r="D1666" s="5" t="s">
        <v>131</v>
      </c>
      <c r="E1666" s="6">
        <v>43789</v>
      </c>
      <c r="F1666" s="4" t="s">
        <v>91</v>
      </c>
      <c r="G1666" s="4" t="s">
        <v>303</v>
      </c>
      <c r="H1666" s="4" t="s">
        <v>431</v>
      </c>
      <c r="I1666" s="11" t="s">
        <v>1499</v>
      </c>
      <c r="J1666" s="5"/>
      <c r="K1666" s="22">
        <f>YEAR(Tabla1[[#This Row],[Fecha]])</f>
        <v>2019</v>
      </c>
      <c r="L1666" s="22">
        <f>MONTH(Tabla1[[#This Row],[Fecha]])</f>
        <v>11</v>
      </c>
    </row>
    <row r="1667" spans="2:12" hidden="1" x14ac:dyDescent="0.25">
      <c r="B1667" s="5" t="s">
        <v>309</v>
      </c>
      <c r="C1667" s="5" t="s">
        <v>322</v>
      </c>
      <c r="D1667" s="5" t="s">
        <v>131</v>
      </c>
      <c r="E1667" s="6">
        <v>43789</v>
      </c>
      <c r="F1667" s="4" t="s">
        <v>91</v>
      </c>
      <c r="G1667" s="4" t="s">
        <v>303</v>
      </c>
      <c r="H1667" s="4" t="s">
        <v>431</v>
      </c>
      <c r="I1667" s="11" t="s">
        <v>1500</v>
      </c>
      <c r="J1667" s="5"/>
      <c r="K1667" s="22">
        <f>YEAR(Tabla1[[#This Row],[Fecha]])</f>
        <v>2019</v>
      </c>
      <c r="L1667" s="22">
        <f>MONTH(Tabla1[[#This Row],[Fecha]])</f>
        <v>11</v>
      </c>
    </row>
    <row r="1668" spans="2:12" hidden="1" x14ac:dyDescent="0.25">
      <c r="B1668" s="2" t="s">
        <v>309</v>
      </c>
      <c r="C1668" s="2" t="s">
        <v>310</v>
      </c>
      <c r="D1668" s="2" t="s">
        <v>11</v>
      </c>
      <c r="E1668" s="12">
        <v>43777</v>
      </c>
      <c r="F1668" s="4" t="s">
        <v>91</v>
      </c>
      <c r="G1668" s="2" t="s">
        <v>303</v>
      </c>
      <c r="H1668" s="4" t="s">
        <v>431</v>
      </c>
      <c r="I1668" s="2" t="s">
        <v>1539</v>
      </c>
      <c r="J1668" s="2" t="s">
        <v>1540</v>
      </c>
      <c r="K1668" s="22">
        <f>YEAR(Tabla1[[#This Row],[Fecha]])</f>
        <v>2019</v>
      </c>
      <c r="L1668" s="22">
        <f>MONTH(Tabla1[[#This Row],[Fecha]])</f>
        <v>11</v>
      </c>
    </row>
    <row r="1669" spans="2:12" hidden="1" x14ac:dyDescent="0.25">
      <c r="B1669" s="5" t="s">
        <v>27</v>
      </c>
      <c r="C1669" s="5" t="s">
        <v>28</v>
      </c>
      <c r="D1669" s="5" t="s">
        <v>131</v>
      </c>
      <c r="E1669" s="38">
        <v>43772</v>
      </c>
      <c r="F1669" s="4"/>
      <c r="G1669" s="4" t="s">
        <v>16</v>
      </c>
      <c r="H1669" s="2"/>
      <c r="I1669" s="11" t="s">
        <v>1302</v>
      </c>
      <c r="J1669" s="5"/>
      <c r="K1669" s="22">
        <f>YEAR(Tabla1[[#This Row],[Fecha]])</f>
        <v>2019</v>
      </c>
      <c r="L1669" s="22">
        <f>MONTH(Tabla1[[#This Row],[Fecha]])</f>
        <v>11</v>
      </c>
    </row>
    <row r="1670" spans="2:12" hidden="1" x14ac:dyDescent="0.25">
      <c r="B1670" s="5" t="s">
        <v>309</v>
      </c>
      <c r="C1670" s="5" t="s">
        <v>322</v>
      </c>
      <c r="D1670" s="5" t="s">
        <v>131</v>
      </c>
      <c r="E1670" s="38">
        <v>43767</v>
      </c>
      <c r="F1670" s="4"/>
      <c r="G1670" s="4" t="s">
        <v>24</v>
      </c>
      <c r="H1670" s="2"/>
      <c r="I1670" s="11" t="s">
        <v>1502</v>
      </c>
      <c r="J1670" s="5"/>
      <c r="K1670" s="22">
        <f>YEAR(Tabla1[[#This Row],[Fecha]])</f>
        <v>2019</v>
      </c>
      <c r="L1670" s="22">
        <f>MONTH(Tabla1[[#This Row],[Fecha]])</f>
        <v>10</v>
      </c>
    </row>
    <row r="1671" spans="2:12" hidden="1" x14ac:dyDescent="0.25">
      <c r="B1671" s="5" t="s">
        <v>309</v>
      </c>
      <c r="C1671" s="5" t="s">
        <v>310</v>
      </c>
      <c r="D1671" s="5" t="s">
        <v>131</v>
      </c>
      <c r="E1671" s="6">
        <v>43766</v>
      </c>
      <c r="F1671" s="4" t="s">
        <v>91</v>
      </c>
      <c r="G1671" s="4" t="s">
        <v>303</v>
      </c>
      <c r="H1671" s="4" t="s">
        <v>431</v>
      </c>
      <c r="I1671" s="11" t="s">
        <v>1209</v>
      </c>
      <c r="J1671" s="5"/>
      <c r="K1671" s="22">
        <f>YEAR(Tabla1[[#This Row],[Fecha]])</f>
        <v>2019</v>
      </c>
      <c r="L1671" s="22">
        <f>MONTH(Tabla1[[#This Row],[Fecha]])</f>
        <v>10</v>
      </c>
    </row>
    <row r="1672" spans="2:12" hidden="1" x14ac:dyDescent="0.25">
      <c r="B1672" s="5" t="s">
        <v>27</v>
      </c>
      <c r="C1672" s="5" t="s">
        <v>28</v>
      </c>
      <c r="D1672" s="5" t="s">
        <v>131</v>
      </c>
      <c r="E1672" s="38">
        <v>43748</v>
      </c>
      <c r="F1672" s="4"/>
      <c r="G1672" s="4" t="s">
        <v>16</v>
      </c>
      <c r="H1672" s="2"/>
      <c r="I1672" s="11" t="s">
        <v>1305</v>
      </c>
      <c r="J1672" s="5"/>
      <c r="K1672" s="22">
        <f>YEAR(Tabla1[[#This Row],[Fecha]])</f>
        <v>2019</v>
      </c>
      <c r="L1672" s="22">
        <f>MONTH(Tabla1[[#This Row],[Fecha]])</f>
        <v>10</v>
      </c>
    </row>
    <row r="1673" spans="2:12" hidden="1" x14ac:dyDescent="0.25">
      <c r="B1673" s="5" t="s">
        <v>27</v>
      </c>
      <c r="C1673" s="5" t="s">
        <v>28</v>
      </c>
      <c r="D1673" s="5" t="s">
        <v>131</v>
      </c>
      <c r="E1673" s="6">
        <v>43616</v>
      </c>
      <c r="F1673" s="4" t="s">
        <v>91</v>
      </c>
      <c r="G1673" s="4" t="s">
        <v>303</v>
      </c>
      <c r="H1673" s="4" t="s">
        <v>431</v>
      </c>
      <c r="I1673" s="11" t="s">
        <v>1310</v>
      </c>
      <c r="J1673" s="5"/>
      <c r="K1673" s="22">
        <f>YEAR(Tabla1[[#This Row],[Fecha]])</f>
        <v>2019</v>
      </c>
      <c r="L1673" s="22">
        <f>MONTH(Tabla1[[#This Row],[Fecha]])</f>
        <v>5</v>
      </c>
    </row>
    <row r="1674" spans="2:12" hidden="1" x14ac:dyDescent="0.25">
      <c r="B1674" s="5" t="s">
        <v>27</v>
      </c>
      <c r="C1674" s="5" t="s">
        <v>28</v>
      </c>
      <c r="D1674" s="5" t="s">
        <v>131</v>
      </c>
      <c r="E1674" s="6">
        <v>43614</v>
      </c>
      <c r="F1674" s="4" t="s">
        <v>91</v>
      </c>
      <c r="G1674" s="4" t="s">
        <v>303</v>
      </c>
      <c r="H1674" s="2" t="s">
        <v>431</v>
      </c>
      <c r="I1674" s="11" t="s">
        <v>1311</v>
      </c>
      <c r="J1674" s="5"/>
      <c r="K1674" s="22">
        <f>YEAR(Tabla1[[#This Row],[Fecha]])</f>
        <v>2019</v>
      </c>
      <c r="L1674" s="22">
        <f>MONTH(Tabla1[[#This Row],[Fecha]])</f>
        <v>5</v>
      </c>
    </row>
    <row r="1675" spans="2:12" hidden="1" x14ac:dyDescent="0.25">
      <c r="B1675" s="5" t="s">
        <v>27</v>
      </c>
      <c r="C1675" s="5" t="s">
        <v>28</v>
      </c>
      <c r="D1675" s="5" t="s">
        <v>131</v>
      </c>
      <c r="E1675" s="6">
        <v>43612</v>
      </c>
      <c r="F1675" s="4" t="s">
        <v>91</v>
      </c>
      <c r="G1675" s="4" t="s">
        <v>303</v>
      </c>
      <c r="H1675" s="2" t="s">
        <v>431</v>
      </c>
      <c r="I1675" s="11" t="s">
        <v>1312</v>
      </c>
      <c r="J1675" s="5"/>
      <c r="K1675" s="22">
        <f>YEAR(Tabla1[[#This Row],[Fecha]])</f>
        <v>2019</v>
      </c>
      <c r="L1675" s="22">
        <f>MONTH(Tabla1[[#This Row],[Fecha]])</f>
        <v>5</v>
      </c>
    </row>
    <row r="1676" spans="2:12" hidden="1" x14ac:dyDescent="0.25">
      <c r="B1676" s="5" t="s">
        <v>27</v>
      </c>
      <c r="C1676" s="5" t="s">
        <v>28</v>
      </c>
      <c r="D1676" s="5" t="s">
        <v>131</v>
      </c>
      <c r="E1676" s="6">
        <v>43580</v>
      </c>
      <c r="F1676" s="4" t="s">
        <v>91</v>
      </c>
      <c r="G1676" s="4" t="s">
        <v>303</v>
      </c>
      <c r="H1676" s="4" t="s">
        <v>431</v>
      </c>
      <c r="I1676" s="11" t="s">
        <v>1313</v>
      </c>
      <c r="J1676" s="5" t="s">
        <v>1314</v>
      </c>
      <c r="K1676" s="22">
        <f>YEAR(Tabla1[[#This Row],[Fecha]])</f>
        <v>2019</v>
      </c>
      <c r="L1676" s="22">
        <f>MONTH(Tabla1[[#This Row],[Fecha]])</f>
        <v>4</v>
      </c>
    </row>
    <row r="1677" spans="2:12" hidden="1" x14ac:dyDescent="0.25">
      <c r="B1677" s="5" t="s">
        <v>27</v>
      </c>
      <c r="C1677" s="5" t="s">
        <v>28</v>
      </c>
      <c r="D1677" s="5" t="s">
        <v>131</v>
      </c>
      <c r="E1677" s="6">
        <v>43579</v>
      </c>
      <c r="F1677" s="4" t="s">
        <v>91</v>
      </c>
      <c r="G1677" s="4" t="s">
        <v>303</v>
      </c>
      <c r="H1677" s="4" t="s">
        <v>431</v>
      </c>
      <c r="I1677" s="11" t="s">
        <v>1315</v>
      </c>
      <c r="J1677" s="5"/>
      <c r="K1677" s="22">
        <f>YEAR(Tabla1[[#This Row],[Fecha]])</f>
        <v>2019</v>
      </c>
      <c r="L1677" s="22">
        <f>MONTH(Tabla1[[#This Row],[Fecha]])</f>
        <v>4</v>
      </c>
    </row>
    <row r="1678" spans="2:12" hidden="1" x14ac:dyDescent="0.25">
      <c r="B1678" s="5" t="s">
        <v>27</v>
      </c>
      <c r="C1678" s="5" t="s">
        <v>28</v>
      </c>
      <c r="D1678" s="5" t="s">
        <v>131</v>
      </c>
      <c r="E1678" s="6">
        <v>43578</v>
      </c>
      <c r="F1678" s="4" t="s">
        <v>91</v>
      </c>
      <c r="G1678" s="4" t="s">
        <v>303</v>
      </c>
      <c r="H1678" s="4" t="s">
        <v>431</v>
      </c>
      <c r="I1678" s="11" t="s">
        <v>1316</v>
      </c>
      <c r="J1678" s="5"/>
      <c r="K1678" s="22">
        <f>YEAR(Tabla1[[#This Row],[Fecha]])</f>
        <v>2019</v>
      </c>
      <c r="L1678" s="22">
        <f>MONTH(Tabla1[[#This Row],[Fecha]])</f>
        <v>4</v>
      </c>
    </row>
    <row r="1679" spans="2:12" hidden="1" x14ac:dyDescent="0.25">
      <c r="B1679" s="5" t="s">
        <v>27</v>
      </c>
      <c r="C1679" s="5" t="s">
        <v>28</v>
      </c>
      <c r="D1679" s="5" t="s">
        <v>131</v>
      </c>
      <c r="E1679" s="6">
        <v>43577</v>
      </c>
      <c r="F1679" s="4" t="s">
        <v>91</v>
      </c>
      <c r="G1679" s="4" t="s">
        <v>303</v>
      </c>
      <c r="H1679" s="4" t="s">
        <v>431</v>
      </c>
      <c r="I1679" s="11" t="s">
        <v>1317</v>
      </c>
      <c r="J1679" s="5"/>
      <c r="K1679" s="22">
        <f>YEAR(Tabla1[[#This Row],[Fecha]])</f>
        <v>2019</v>
      </c>
      <c r="L1679" s="22">
        <f>MONTH(Tabla1[[#This Row],[Fecha]])</f>
        <v>4</v>
      </c>
    </row>
    <row r="1680" spans="2:12" hidden="1" x14ac:dyDescent="0.25">
      <c r="B1680" s="5" t="s">
        <v>49</v>
      </c>
      <c r="C1680" s="5" t="s">
        <v>123</v>
      </c>
      <c r="D1680" s="5" t="s">
        <v>131</v>
      </c>
      <c r="E1680" s="6">
        <v>43550</v>
      </c>
      <c r="F1680" s="4" t="s">
        <v>91</v>
      </c>
      <c r="G1680" s="4" t="s">
        <v>303</v>
      </c>
      <c r="H1680" s="4" t="s">
        <v>434</v>
      </c>
      <c r="I1680" s="11" t="s">
        <v>1210</v>
      </c>
      <c r="J1680" s="5"/>
      <c r="K1680" s="22">
        <f>YEAR(Tabla1[[#This Row],[Fecha]])</f>
        <v>2019</v>
      </c>
      <c r="L1680" s="22">
        <f>MONTH(Tabla1[[#This Row],[Fecha]])</f>
        <v>3</v>
      </c>
    </row>
    <row r="1681" spans="2:12" hidden="1" x14ac:dyDescent="0.25">
      <c r="B1681" s="5" t="s">
        <v>49</v>
      </c>
      <c r="C1681" s="5" t="s">
        <v>50</v>
      </c>
      <c r="D1681" s="5" t="s">
        <v>131</v>
      </c>
      <c r="E1681" s="6">
        <v>43550</v>
      </c>
      <c r="F1681" s="4" t="s">
        <v>91</v>
      </c>
      <c r="G1681" s="4" t="s">
        <v>303</v>
      </c>
      <c r="H1681" s="4" t="s">
        <v>434</v>
      </c>
      <c r="I1681" s="11" t="s">
        <v>1211</v>
      </c>
      <c r="J1681" s="5"/>
      <c r="K1681" s="22">
        <f>YEAR(Tabla1[[#This Row],[Fecha]])</f>
        <v>2019</v>
      </c>
      <c r="L1681" s="22">
        <f>MONTH(Tabla1[[#This Row],[Fecha]])</f>
        <v>3</v>
      </c>
    </row>
    <row r="1682" spans="2:12" hidden="1" x14ac:dyDescent="0.25">
      <c r="B1682" s="5" t="s">
        <v>49</v>
      </c>
      <c r="C1682" s="5" t="s">
        <v>123</v>
      </c>
      <c r="D1682" s="5" t="s">
        <v>131</v>
      </c>
      <c r="E1682" s="6">
        <v>43549</v>
      </c>
      <c r="F1682" s="4" t="s">
        <v>91</v>
      </c>
      <c r="G1682" s="4" t="s">
        <v>303</v>
      </c>
      <c r="H1682" s="4" t="s">
        <v>431</v>
      </c>
      <c r="I1682" s="11" t="s">
        <v>1212</v>
      </c>
      <c r="J1682" s="5"/>
      <c r="K1682" s="22">
        <f>YEAR(Tabla1[[#This Row],[Fecha]])</f>
        <v>2019</v>
      </c>
      <c r="L1682" s="22">
        <f>MONTH(Tabla1[[#This Row],[Fecha]])</f>
        <v>3</v>
      </c>
    </row>
    <row r="1683" spans="2:12" hidden="1" x14ac:dyDescent="0.25">
      <c r="B1683" s="5" t="s">
        <v>49</v>
      </c>
      <c r="C1683" s="5" t="s">
        <v>50</v>
      </c>
      <c r="D1683" s="5" t="s">
        <v>131</v>
      </c>
      <c r="E1683" s="6">
        <v>43549</v>
      </c>
      <c r="F1683" s="4" t="s">
        <v>91</v>
      </c>
      <c r="G1683" s="4" t="s">
        <v>303</v>
      </c>
      <c r="H1683" s="4" t="s">
        <v>431</v>
      </c>
      <c r="I1683" s="11" t="s">
        <v>1213</v>
      </c>
      <c r="J1683" s="5"/>
      <c r="K1683" s="22">
        <f>YEAR(Tabla1[[#This Row],[Fecha]])</f>
        <v>2019</v>
      </c>
      <c r="L1683" s="22">
        <f>MONTH(Tabla1[[#This Row],[Fecha]])</f>
        <v>3</v>
      </c>
    </row>
    <row r="1684" spans="2:12" hidden="1" x14ac:dyDescent="0.25">
      <c r="B1684" s="5" t="s">
        <v>49</v>
      </c>
      <c r="C1684" s="5" t="s">
        <v>53</v>
      </c>
      <c r="D1684" s="5" t="s">
        <v>131</v>
      </c>
      <c r="E1684" s="6">
        <v>43546</v>
      </c>
      <c r="F1684" s="4" t="s">
        <v>91</v>
      </c>
      <c r="G1684" s="4" t="s">
        <v>303</v>
      </c>
      <c r="H1684" s="4" t="s">
        <v>434</v>
      </c>
      <c r="I1684" s="11" t="s">
        <v>1214</v>
      </c>
      <c r="J1684" s="5"/>
      <c r="K1684" s="22">
        <f>YEAR(Tabla1[[#This Row],[Fecha]])</f>
        <v>2019</v>
      </c>
      <c r="L1684" s="22">
        <f>MONTH(Tabla1[[#This Row],[Fecha]])</f>
        <v>3</v>
      </c>
    </row>
    <row r="1685" spans="2:12" hidden="1" x14ac:dyDescent="0.25">
      <c r="B1685" s="5" t="s">
        <v>49</v>
      </c>
      <c r="C1685" s="5" t="s">
        <v>66</v>
      </c>
      <c r="D1685" s="5" t="s">
        <v>131</v>
      </c>
      <c r="E1685" s="6">
        <v>43546</v>
      </c>
      <c r="F1685" s="4" t="s">
        <v>91</v>
      </c>
      <c r="G1685" s="4" t="s">
        <v>303</v>
      </c>
      <c r="H1685" s="4" t="s">
        <v>434</v>
      </c>
      <c r="I1685" s="11" t="s">
        <v>1215</v>
      </c>
      <c r="J1685" s="5"/>
      <c r="K1685" s="22">
        <f>YEAR(Tabla1[[#This Row],[Fecha]])</f>
        <v>2019</v>
      </c>
      <c r="L1685" s="22">
        <f>MONTH(Tabla1[[#This Row],[Fecha]])</f>
        <v>3</v>
      </c>
    </row>
    <row r="1686" spans="2:12" hidden="1" x14ac:dyDescent="0.25">
      <c r="B1686" s="5" t="s">
        <v>49</v>
      </c>
      <c r="C1686" s="5" t="s">
        <v>56</v>
      </c>
      <c r="D1686" s="5" t="s">
        <v>131</v>
      </c>
      <c r="E1686" s="6">
        <v>43546</v>
      </c>
      <c r="F1686" s="4" t="s">
        <v>91</v>
      </c>
      <c r="G1686" s="4" t="s">
        <v>303</v>
      </c>
      <c r="H1686" s="4" t="s">
        <v>434</v>
      </c>
      <c r="I1686" s="11" t="s">
        <v>1216</v>
      </c>
      <c r="J1686" s="5"/>
      <c r="K1686" s="22">
        <f>YEAR(Tabla1[[#This Row],[Fecha]])</f>
        <v>2019</v>
      </c>
      <c r="L1686" s="22">
        <f>MONTH(Tabla1[[#This Row],[Fecha]])</f>
        <v>3</v>
      </c>
    </row>
    <row r="1687" spans="2:12" hidden="1" x14ac:dyDescent="0.25">
      <c r="B1687" s="5" t="s">
        <v>49</v>
      </c>
      <c r="C1687" s="5" t="s">
        <v>123</v>
      </c>
      <c r="D1687" s="5" t="s">
        <v>131</v>
      </c>
      <c r="E1687" s="6">
        <v>43546</v>
      </c>
      <c r="F1687" s="4" t="s">
        <v>91</v>
      </c>
      <c r="G1687" s="4" t="s">
        <v>303</v>
      </c>
      <c r="H1687" s="4" t="s">
        <v>434</v>
      </c>
      <c r="I1687" s="11" t="s">
        <v>1217</v>
      </c>
      <c r="J1687" s="5"/>
      <c r="K1687" s="22">
        <f>YEAR(Tabla1[[#This Row],[Fecha]])</f>
        <v>2019</v>
      </c>
      <c r="L1687" s="22">
        <f>MONTH(Tabla1[[#This Row],[Fecha]])</f>
        <v>3</v>
      </c>
    </row>
    <row r="1688" spans="2:12" hidden="1" x14ac:dyDescent="0.25">
      <c r="B1688" s="5" t="s">
        <v>49</v>
      </c>
      <c r="C1688" s="5" t="s">
        <v>53</v>
      </c>
      <c r="D1688" s="5" t="s">
        <v>131</v>
      </c>
      <c r="E1688" s="6">
        <v>43545</v>
      </c>
      <c r="F1688" s="4" t="s">
        <v>91</v>
      </c>
      <c r="G1688" s="4" t="s">
        <v>303</v>
      </c>
      <c r="H1688" s="4" t="s">
        <v>434</v>
      </c>
      <c r="I1688" s="11" t="s">
        <v>1218</v>
      </c>
      <c r="J1688" s="5"/>
      <c r="K1688" s="22">
        <f>YEAR(Tabla1[[#This Row],[Fecha]])</f>
        <v>2019</v>
      </c>
      <c r="L1688" s="22">
        <f>MONTH(Tabla1[[#This Row],[Fecha]])</f>
        <v>3</v>
      </c>
    </row>
    <row r="1689" spans="2:12" hidden="1" x14ac:dyDescent="0.25">
      <c r="B1689" s="5" t="s">
        <v>49</v>
      </c>
      <c r="C1689" s="5" t="s">
        <v>66</v>
      </c>
      <c r="D1689" s="5" t="s">
        <v>131</v>
      </c>
      <c r="E1689" s="6">
        <v>43545</v>
      </c>
      <c r="F1689" s="4" t="s">
        <v>91</v>
      </c>
      <c r="G1689" s="4" t="s">
        <v>303</v>
      </c>
      <c r="H1689" s="4" t="s">
        <v>434</v>
      </c>
      <c r="I1689" s="11" t="s">
        <v>1219</v>
      </c>
      <c r="J1689" s="5"/>
      <c r="K1689" s="22">
        <f>YEAR(Tabla1[[#This Row],[Fecha]])</f>
        <v>2019</v>
      </c>
      <c r="L1689" s="22">
        <f>MONTH(Tabla1[[#This Row],[Fecha]])</f>
        <v>3</v>
      </c>
    </row>
    <row r="1690" spans="2:12" hidden="1" x14ac:dyDescent="0.25">
      <c r="B1690" s="5" t="s">
        <v>49</v>
      </c>
      <c r="C1690" s="5" t="s">
        <v>56</v>
      </c>
      <c r="D1690" s="5" t="s">
        <v>131</v>
      </c>
      <c r="E1690" s="6">
        <v>43545</v>
      </c>
      <c r="F1690" s="4" t="s">
        <v>91</v>
      </c>
      <c r="G1690" s="4" t="s">
        <v>303</v>
      </c>
      <c r="H1690" s="4" t="s">
        <v>434</v>
      </c>
      <c r="I1690" s="11" t="s">
        <v>1219</v>
      </c>
      <c r="J1690" s="5"/>
      <c r="K1690" s="22">
        <f>YEAR(Tabla1[[#This Row],[Fecha]])</f>
        <v>2019</v>
      </c>
      <c r="L1690" s="22">
        <f>MONTH(Tabla1[[#This Row],[Fecha]])</f>
        <v>3</v>
      </c>
    </row>
    <row r="1691" spans="2:12" hidden="1" x14ac:dyDescent="0.25">
      <c r="B1691" s="5" t="s">
        <v>49</v>
      </c>
      <c r="C1691" s="5" t="s">
        <v>60</v>
      </c>
      <c r="D1691" s="5" t="s">
        <v>131</v>
      </c>
      <c r="E1691" s="6">
        <v>43544</v>
      </c>
      <c r="F1691" s="4" t="s">
        <v>91</v>
      </c>
      <c r="G1691" s="4" t="s">
        <v>303</v>
      </c>
      <c r="H1691" s="4" t="s">
        <v>431</v>
      </c>
      <c r="I1691" s="11" t="s">
        <v>1220</v>
      </c>
      <c r="J1691" s="5"/>
      <c r="K1691" s="22">
        <f>YEAR(Tabla1[[#This Row],[Fecha]])</f>
        <v>2019</v>
      </c>
      <c r="L1691" s="22">
        <f>MONTH(Tabla1[[#This Row],[Fecha]])</f>
        <v>3</v>
      </c>
    </row>
    <row r="1692" spans="2:12" hidden="1" x14ac:dyDescent="0.25">
      <c r="B1692" s="5" t="s">
        <v>49</v>
      </c>
      <c r="C1692" s="5" t="s">
        <v>60</v>
      </c>
      <c r="D1692" s="5" t="s">
        <v>131</v>
      </c>
      <c r="E1692" s="38">
        <v>43544</v>
      </c>
      <c r="F1692" s="4"/>
      <c r="G1692" s="4" t="s">
        <v>16</v>
      </c>
      <c r="H1692" s="2"/>
      <c r="I1692" s="11" t="s">
        <v>1221</v>
      </c>
      <c r="J1692" s="5"/>
      <c r="K1692" s="22">
        <f>YEAR(Tabla1[[#This Row],[Fecha]])</f>
        <v>2019</v>
      </c>
      <c r="L1692" s="22">
        <f>MONTH(Tabla1[[#This Row],[Fecha]])</f>
        <v>3</v>
      </c>
    </row>
    <row r="1693" spans="2:12" hidden="1" x14ac:dyDescent="0.25">
      <c r="B1693" s="5" t="s">
        <v>49</v>
      </c>
      <c r="C1693" s="5" t="s">
        <v>66</v>
      </c>
      <c r="D1693" s="5" t="s">
        <v>131</v>
      </c>
      <c r="E1693" s="6">
        <v>43544</v>
      </c>
      <c r="F1693" s="4" t="s">
        <v>91</v>
      </c>
      <c r="G1693" s="4" t="s">
        <v>303</v>
      </c>
      <c r="H1693" s="4" t="s">
        <v>431</v>
      </c>
      <c r="I1693" s="11" t="s">
        <v>1222</v>
      </c>
      <c r="J1693" s="5"/>
      <c r="K1693" s="22">
        <f>YEAR(Tabla1[[#This Row],[Fecha]])</f>
        <v>2019</v>
      </c>
      <c r="L1693" s="22">
        <f>MONTH(Tabla1[[#This Row],[Fecha]])</f>
        <v>3</v>
      </c>
    </row>
    <row r="1694" spans="2:12" hidden="1" x14ac:dyDescent="0.25">
      <c r="B1694" s="5" t="s">
        <v>49</v>
      </c>
      <c r="C1694" s="5" t="s">
        <v>56</v>
      </c>
      <c r="D1694" s="5" t="s">
        <v>131</v>
      </c>
      <c r="E1694" s="6">
        <v>43544</v>
      </c>
      <c r="F1694" s="4" t="s">
        <v>91</v>
      </c>
      <c r="G1694" s="4" t="s">
        <v>303</v>
      </c>
      <c r="H1694" s="4" t="s">
        <v>431</v>
      </c>
      <c r="I1694" s="11" t="s">
        <v>1222</v>
      </c>
      <c r="J1694" s="5"/>
      <c r="K1694" s="22">
        <f>YEAR(Tabla1[[#This Row],[Fecha]])</f>
        <v>2019</v>
      </c>
      <c r="L1694" s="22">
        <f>MONTH(Tabla1[[#This Row],[Fecha]])</f>
        <v>3</v>
      </c>
    </row>
    <row r="1695" spans="2:12" hidden="1" x14ac:dyDescent="0.25">
      <c r="B1695" s="5" t="s">
        <v>49</v>
      </c>
      <c r="C1695" s="5" t="s">
        <v>123</v>
      </c>
      <c r="D1695" s="5" t="s">
        <v>131</v>
      </c>
      <c r="E1695" s="6">
        <v>43544</v>
      </c>
      <c r="F1695" s="4" t="s">
        <v>91</v>
      </c>
      <c r="G1695" s="4" t="s">
        <v>303</v>
      </c>
      <c r="H1695" s="4" t="s">
        <v>431</v>
      </c>
      <c r="I1695" s="11" t="s">
        <v>1223</v>
      </c>
      <c r="J1695" s="5"/>
      <c r="K1695" s="22">
        <f>YEAR(Tabla1[[#This Row],[Fecha]])</f>
        <v>2019</v>
      </c>
      <c r="L1695" s="22">
        <f>MONTH(Tabla1[[#This Row],[Fecha]])</f>
        <v>3</v>
      </c>
    </row>
    <row r="1696" spans="2:12" hidden="1" x14ac:dyDescent="0.25">
      <c r="B1696" s="5" t="s">
        <v>49</v>
      </c>
      <c r="C1696" s="5" t="s">
        <v>57</v>
      </c>
      <c r="D1696" s="5" t="s">
        <v>131</v>
      </c>
      <c r="E1696" s="6">
        <v>43542</v>
      </c>
      <c r="F1696" s="4" t="s">
        <v>91</v>
      </c>
      <c r="G1696" s="4" t="s">
        <v>303</v>
      </c>
      <c r="H1696" s="4" t="s">
        <v>434</v>
      </c>
      <c r="I1696" s="11" t="s">
        <v>1227</v>
      </c>
      <c r="J1696" s="5"/>
      <c r="K1696" s="22">
        <f>YEAR(Tabla1[[#This Row],[Fecha]])</f>
        <v>2019</v>
      </c>
      <c r="L1696" s="22">
        <f>MONTH(Tabla1[[#This Row],[Fecha]])</f>
        <v>3</v>
      </c>
    </row>
    <row r="1697" spans="2:12" hidden="1" x14ac:dyDescent="0.25">
      <c r="B1697" s="5" t="s">
        <v>49</v>
      </c>
      <c r="C1697" s="5" t="s">
        <v>57</v>
      </c>
      <c r="D1697" s="5" t="s">
        <v>131</v>
      </c>
      <c r="E1697" s="6">
        <v>43538</v>
      </c>
      <c r="F1697" s="4" t="s">
        <v>91</v>
      </c>
      <c r="G1697" s="4" t="s">
        <v>303</v>
      </c>
      <c r="H1697" s="4" t="s">
        <v>431</v>
      </c>
      <c r="I1697" s="11" t="s">
        <v>1224</v>
      </c>
      <c r="J1697" s="5"/>
      <c r="K1697" s="22">
        <f>YEAR(Tabla1[[#This Row],[Fecha]])</f>
        <v>2019</v>
      </c>
      <c r="L1697" s="22">
        <f>MONTH(Tabla1[[#This Row],[Fecha]])</f>
        <v>3</v>
      </c>
    </row>
    <row r="1698" spans="2:12" hidden="1" x14ac:dyDescent="0.25">
      <c r="B1698" s="5" t="s">
        <v>49</v>
      </c>
      <c r="C1698" s="5" t="s">
        <v>117</v>
      </c>
      <c r="D1698" s="5" t="s">
        <v>131</v>
      </c>
      <c r="E1698" s="6">
        <v>43538</v>
      </c>
      <c r="F1698" s="4" t="s">
        <v>91</v>
      </c>
      <c r="G1698" s="4" t="s">
        <v>303</v>
      </c>
      <c r="H1698" s="4" t="s">
        <v>434</v>
      </c>
      <c r="I1698" s="11" t="s">
        <v>1225</v>
      </c>
      <c r="J1698" s="5"/>
      <c r="K1698" s="22">
        <f>YEAR(Tabla1[[#This Row],[Fecha]])</f>
        <v>2019</v>
      </c>
      <c r="L1698" s="22">
        <f>MONTH(Tabla1[[#This Row],[Fecha]])</f>
        <v>3</v>
      </c>
    </row>
    <row r="1699" spans="2:12" hidden="1" x14ac:dyDescent="0.25">
      <c r="B1699" s="5" t="s">
        <v>49</v>
      </c>
      <c r="C1699" s="5" t="s">
        <v>115</v>
      </c>
      <c r="D1699" s="5" t="s">
        <v>131</v>
      </c>
      <c r="E1699" s="6">
        <v>43538</v>
      </c>
      <c r="F1699" s="4" t="s">
        <v>91</v>
      </c>
      <c r="G1699" s="4" t="s">
        <v>303</v>
      </c>
      <c r="H1699" s="4" t="s">
        <v>434</v>
      </c>
      <c r="I1699" s="11" t="s">
        <v>1226</v>
      </c>
      <c r="J1699" s="5"/>
      <c r="K1699" s="22">
        <f>YEAR(Tabla1[[#This Row],[Fecha]])</f>
        <v>2019</v>
      </c>
      <c r="L1699" s="22">
        <f>MONTH(Tabla1[[#This Row],[Fecha]])</f>
        <v>3</v>
      </c>
    </row>
    <row r="1700" spans="2:12" hidden="1" x14ac:dyDescent="0.25">
      <c r="B1700" s="5" t="s">
        <v>49</v>
      </c>
      <c r="C1700" s="5" t="s">
        <v>117</v>
      </c>
      <c r="D1700" s="5" t="s">
        <v>131</v>
      </c>
      <c r="E1700" s="6">
        <v>43537</v>
      </c>
      <c r="F1700" s="4" t="s">
        <v>91</v>
      </c>
      <c r="G1700" s="4" t="s">
        <v>303</v>
      </c>
      <c r="H1700" s="4" t="s">
        <v>434</v>
      </c>
      <c r="I1700" s="11" t="s">
        <v>1228</v>
      </c>
      <c r="J1700" s="5"/>
      <c r="K1700" s="22">
        <f>YEAR(Tabla1[[#This Row],[Fecha]])</f>
        <v>2019</v>
      </c>
      <c r="L1700" s="22">
        <f>MONTH(Tabla1[[#This Row],[Fecha]])</f>
        <v>3</v>
      </c>
    </row>
    <row r="1701" spans="2:12" hidden="1" x14ac:dyDescent="0.25">
      <c r="B1701" s="5" t="s">
        <v>49</v>
      </c>
      <c r="C1701" s="5" t="s">
        <v>115</v>
      </c>
      <c r="D1701" s="5" t="s">
        <v>131</v>
      </c>
      <c r="E1701" s="6">
        <v>43537</v>
      </c>
      <c r="F1701" s="4" t="s">
        <v>91</v>
      </c>
      <c r="G1701" s="4" t="s">
        <v>303</v>
      </c>
      <c r="H1701" s="4" t="s">
        <v>434</v>
      </c>
      <c r="I1701" s="11" t="s">
        <v>1229</v>
      </c>
      <c r="J1701" s="5"/>
      <c r="K1701" s="22">
        <f>YEAR(Tabla1[[#This Row],[Fecha]])</f>
        <v>2019</v>
      </c>
      <c r="L1701" s="22">
        <f>MONTH(Tabla1[[#This Row],[Fecha]])</f>
        <v>3</v>
      </c>
    </row>
    <row r="1702" spans="2:12" hidden="1" x14ac:dyDescent="0.25">
      <c r="B1702" s="5" t="s">
        <v>49</v>
      </c>
      <c r="C1702" s="5" t="s">
        <v>50</v>
      </c>
      <c r="D1702" s="5" t="s">
        <v>131</v>
      </c>
      <c r="E1702" s="6">
        <v>43537</v>
      </c>
      <c r="F1702" s="4" t="s">
        <v>91</v>
      </c>
      <c r="G1702" s="4" t="s">
        <v>303</v>
      </c>
      <c r="H1702" s="4" t="s">
        <v>434</v>
      </c>
      <c r="I1702" s="11" t="s">
        <v>1229</v>
      </c>
      <c r="J1702" s="5"/>
      <c r="K1702" s="22">
        <f>YEAR(Tabla1[[#This Row],[Fecha]])</f>
        <v>2019</v>
      </c>
      <c r="L1702" s="22">
        <f>MONTH(Tabla1[[#This Row],[Fecha]])</f>
        <v>3</v>
      </c>
    </row>
    <row r="1703" spans="2:12" hidden="1" x14ac:dyDescent="0.25">
      <c r="B1703" s="5" t="s">
        <v>49</v>
      </c>
      <c r="C1703" s="5" t="s">
        <v>57</v>
      </c>
      <c r="D1703" s="5" t="s">
        <v>131</v>
      </c>
      <c r="E1703" s="6">
        <v>43536</v>
      </c>
      <c r="F1703" s="4" t="s">
        <v>91</v>
      </c>
      <c r="G1703" s="4" t="s">
        <v>16</v>
      </c>
      <c r="H1703" s="4" t="s">
        <v>34</v>
      </c>
      <c r="I1703" s="11" t="s">
        <v>1230</v>
      </c>
      <c r="J1703" s="5"/>
      <c r="K1703" s="22">
        <f>YEAR(Tabla1[[#This Row],[Fecha]])</f>
        <v>2019</v>
      </c>
      <c r="L1703" s="22">
        <f>MONTH(Tabla1[[#This Row],[Fecha]])</f>
        <v>3</v>
      </c>
    </row>
    <row r="1704" spans="2:12" hidden="1" x14ac:dyDescent="0.25">
      <c r="B1704" s="5" t="s">
        <v>49</v>
      </c>
      <c r="C1704" s="5" t="s">
        <v>117</v>
      </c>
      <c r="D1704" s="5" t="s">
        <v>131</v>
      </c>
      <c r="E1704" s="6">
        <v>43536</v>
      </c>
      <c r="F1704" s="4" t="s">
        <v>91</v>
      </c>
      <c r="G1704" s="4" t="s">
        <v>16</v>
      </c>
      <c r="H1704" s="4" t="s">
        <v>34</v>
      </c>
      <c r="I1704" s="11" t="s">
        <v>1231</v>
      </c>
      <c r="J1704" s="5"/>
      <c r="K1704" s="22">
        <f>YEAR(Tabla1[[#This Row],[Fecha]])</f>
        <v>2019</v>
      </c>
      <c r="L1704" s="22">
        <f>MONTH(Tabla1[[#This Row],[Fecha]])</f>
        <v>3</v>
      </c>
    </row>
    <row r="1705" spans="2:12" hidden="1" x14ac:dyDescent="0.25">
      <c r="B1705" s="5" t="s">
        <v>49</v>
      </c>
      <c r="C1705" s="5" t="s">
        <v>115</v>
      </c>
      <c r="D1705" s="5" t="s">
        <v>131</v>
      </c>
      <c r="E1705" s="6">
        <v>43536</v>
      </c>
      <c r="F1705" s="4" t="s">
        <v>91</v>
      </c>
      <c r="G1705" s="4" t="s">
        <v>303</v>
      </c>
      <c r="H1705" s="2" t="s">
        <v>431</v>
      </c>
      <c r="I1705" s="11" t="s">
        <v>1232</v>
      </c>
      <c r="J1705" s="5"/>
      <c r="K1705" s="22">
        <f>YEAR(Tabla1[[#This Row],[Fecha]])</f>
        <v>2019</v>
      </c>
      <c r="L1705" s="22">
        <f>MONTH(Tabla1[[#This Row],[Fecha]])</f>
        <v>3</v>
      </c>
    </row>
    <row r="1706" spans="2:12" hidden="1" x14ac:dyDescent="0.25">
      <c r="B1706" s="5" t="s">
        <v>49</v>
      </c>
      <c r="C1706" s="5" t="s">
        <v>50</v>
      </c>
      <c r="D1706" s="5" t="s">
        <v>131</v>
      </c>
      <c r="E1706" s="6">
        <v>43536</v>
      </c>
      <c r="F1706" s="4" t="s">
        <v>91</v>
      </c>
      <c r="G1706" s="4" t="s">
        <v>303</v>
      </c>
      <c r="H1706" s="4" t="s">
        <v>431</v>
      </c>
      <c r="I1706" s="11" t="s">
        <v>1233</v>
      </c>
      <c r="J1706" s="5"/>
      <c r="K1706" s="22">
        <f>YEAR(Tabla1[[#This Row],[Fecha]])</f>
        <v>2019</v>
      </c>
      <c r="L1706" s="22">
        <f>MONTH(Tabla1[[#This Row],[Fecha]])</f>
        <v>3</v>
      </c>
    </row>
    <row r="1707" spans="2:12" hidden="1" x14ac:dyDescent="0.25">
      <c r="B1707" s="5" t="s">
        <v>190</v>
      </c>
      <c r="C1707" s="5" t="s">
        <v>287</v>
      </c>
      <c r="D1707" s="5" t="s">
        <v>131</v>
      </c>
      <c r="E1707" s="6">
        <v>43532</v>
      </c>
      <c r="F1707" s="4" t="s">
        <v>91</v>
      </c>
      <c r="G1707" s="4" t="s">
        <v>303</v>
      </c>
      <c r="H1707" s="4" t="s">
        <v>434</v>
      </c>
      <c r="I1707" s="11" t="s">
        <v>1175</v>
      </c>
      <c r="J1707" s="5"/>
      <c r="K1707" s="22">
        <f>YEAR(Tabla1[[#This Row],[Fecha]])</f>
        <v>2019</v>
      </c>
      <c r="L1707" s="22">
        <f>MONTH(Tabla1[[#This Row],[Fecha]])</f>
        <v>3</v>
      </c>
    </row>
    <row r="1708" spans="2:12" hidden="1" x14ac:dyDescent="0.25">
      <c r="B1708" s="5" t="s">
        <v>190</v>
      </c>
      <c r="C1708" s="5" t="s">
        <v>287</v>
      </c>
      <c r="D1708" s="5" t="s">
        <v>131</v>
      </c>
      <c r="E1708" s="6">
        <v>43531</v>
      </c>
      <c r="F1708" s="4" t="s">
        <v>91</v>
      </c>
      <c r="G1708" s="4" t="s">
        <v>303</v>
      </c>
      <c r="H1708" s="4" t="s">
        <v>431</v>
      </c>
      <c r="I1708" s="11" t="s">
        <v>1176</v>
      </c>
      <c r="J1708" s="5"/>
      <c r="K1708" s="22">
        <f>YEAR(Tabla1[[#This Row],[Fecha]])</f>
        <v>2019</v>
      </c>
      <c r="L1708" s="22">
        <f>MONTH(Tabla1[[#This Row],[Fecha]])</f>
        <v>3</v>
      </c>
    </row>
    <row r="1709" spans="2:12" hidden="1" x14ac:dyDescent="0.25">
      <c r="B1709" s="5" t="s">
        <v>27</v>
      </c>
      <c r="C1709" s="5" t="s">
        <v>28</v>
      </c>
      <c r="D1709" s="5" t="s">
        <v>131</v>
      </c>
      <c r="E1709" s="38">
        <v>43530</v>
      </c>
      <c r="F1709" s="4"/>
      <c r="G1709" s="4" t="s">
        <v>16</v>
      </c>
      <c r="H1709" s="2"/>
      <c r="I1709" s="11"/>
      <c r="J1709" s="5"/>
      <c r="K1709" s="22">
        <f>YEAR(Tabla1[[#This Row],[Fecha]])</f>
        <v>2019</v>
      </c>
      <c r="L1709" s="22">
        <f>MONTH(Tabla1[[#This Row],[Fecha]])</f>
        <v>3</v>
      </c>
    </row>
    <row r="1710" spans="2:12" hidden="1" x14ac:dyDescent="0.25">
      <c r="B1710" s="2" t="s">
        <v>309</v>
      </c>
      <c r="C1710" s="2" t="s">
        <v>310</v>
      </c>
      <c r="D1710" s="2" t="s">
        <v>11</v>
      </c>
      <c r="E1710" s="12">
        <v>43494</v>
      </c>
      <c r="F1710" s="2"/>
      <c r="G1710" s="4" t="s">
        <v>16</v>
      </c>
      <c r="H1710" s="2"/>
      <c r="I1710" s="2" t="s">
        <v>1542</v>
      </c>
      <c r="J1710" s="2" t="s">
        <v>1543</v>
      </c>
      <c r="K1710" s="22">
        <f>YEAR(Tabla1[[#This Row],[Fecha]])</f>
        <v>2019</v>
      </c>
      <c r="L1710" s="22">
        <f>MONTH(Tabla1[[#This Row],[Fecha]])</f>
        <v>1</v>
      </c>
    </row>
    <row r="1711" spans="2:12" hidden="1" x14ac:dyDescent="0.25">
      <c r="B1711" s="2" t="s">
        <v>309</v>
      </c>
      <c r="C1711" s="2" t="s">
        <v>310</v>
      </c>
      <c r="D1711" s="2" t="s">
        <v>11</v>
      </c>
      <c r="E1711" s="12">
        <v>43477</v>
      </c>
      <c r="F1711" s="4" t="s">
        <v>91</v>
      </c>
      <c r="G1711" s="4" t="s">
        <v>303</v>
      </c>
      <c r="H1711" s="4" t="s">
        <v>431</v>
      </c>
      <c r="I1711" s="26" t="s">
        <v>1537</v>
      </c>
      <c r="J1711" s="2" t="s">
        <v>1538</v>
      </c>
      <c r="K1711" s="22">
        <f>YEAR(Tabla1[[#This Row],[Fecha]])</f>
        <v>2019</v>
      </c>
      <c r="L1711" s="22">
        <f>MONTH(Tabla1[[#This Row],[Fecha]])</f>
        <v>1</v>
      </c>
    </row>
    <row r="1712" spans="2:12" hidden="1" x14ac:dyDescent="0.25">
      <c r="B1712" s="2" t="s">
        <v>309</v>
      </c>
      <c r="C1712" s="2" t="s">
        <v>310</v>
      </c>
      <c r="D1712" s="2" t="s">
        <v>11</v>
      </c>
      <c r="E1712" s="12">
        <v>43477</v>
      </c>
      <c r="F1712" s="4" t="s">
        <v>91</v>
      </c>
      <c r="G1712" s="4" t="s">
        <v>303</v>
      </c>
      <c r="H1712" s="4" t="s">
        <v>431</v>
      </c>
      <c r="I1712" s="26" t="s">
        <v>1537</v>
      </c>
      <c r="J1712" s="2" t="s">
        <v>1538</v>
      </c>
      <c r="K1712" s="22">
        <f>YEAR(Tabla1[[#This Row],[Fecha]])</f>
        <v>2019</v>
      </c>
      <c r="L1712" s="22">
        <f>MONTH(Tabla1[[#This Row],[Fecha]])</f>
        <v>1</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4CF1ED-4EFF-4CD3-88BC-DBC1FA06E5F6}">
  <dimension ref="B1:C20"/>
  <sheetViews>
    <sheetView zoomScale="76" zoomScaleNormal="80" workbookViewId="0">
      <selection activeCell="C8" sqref="C8"/>
    </sheetView>
  </sheetViews>
  <sheetFormatPr baseColWidth="10" defaultRowHeight="15" x14ac:dyDescent="0.25"/>
  <cols>
    <col min="2" max="2" width="21.42578125" bestFit="1" customWidth="1"/>
    <col min="3" max="3" width="22.140625" bestFit="1" customWidth="1"/>
    <col min="4" max="4" width="5.5703125" bestFit="1" customWidth="1"/>
    <col min="5" max="6" width="12.5703125" bestFit="1" customWidth="1"/>
    <col min="7" max="7" width="9.140625" bestFit="1" customWidth="1"/>
    <col min="8" max="8" width="7.7109375" bestFit="1" customWidth="1"/>
    <col min="9" max="9" width="18.42578125" bestFit="1" customWidth="1"/>
    <col min="10" max="10" width="17" bestFit="1" customWidth="1"/>
    <col min="11" max="11" width="8.42578125" bestFit="1" customWidth="1"/>
    <col min="12" max="12" width="6.42578125" bestFit="1" customWidth="1"/>
    <col min="13" max="13" width="11.42578125" bestFit="1" customWidth="1"/>
    <col min="14" max="14" width="9.140625" bestFit="1" customWidth="1"/>
    <col min="15" max="15" width="12.7109375" bestFit="1" customWidth="1"/>
    <col min="16" max="16" width="13.42578125" bestFit="1" customWidth="1"/>
    <col min="17" max="17" width="10.5703125" bestFit="1" customWidth="1"/>
    <col min="18" max="18" width="9.85546875" bestFit="1" customWidth="1"/>
    <col min="19" max="19" width="5.85546875" bestFit="1" customWidth="1"/>
    <col min="20" max="20" width="4.42578125" bestFit="1" customWidth="1"/>
    <col min="21" max="21" width="13.7109375" bestFit="1" customWidth="1"/>
    <col min="22" max="22" width="7.42578125" bestFit="1" customWidth="1"/>
    <col min="23" max="23" width="5.140625" bestFit="1" customWidth="1"/>
    <col min="24" max="24" width="11.140625" bestFit="1" customWidth="1"/>
    <col min="25" max="25" width="12.5703125" bestFit="1" customWidth="1"/>
  </cols>
  <sheetData>
    <row r="1" spans="2:3" x14ac:dyDescent="0.25">
      <c r="B1" s="14" t="s">
        <v>1677</v>
      </c>
      <c r="C1" s="17">
        <v>2026</v>
      </c>
    </row>
    <row r="2" spans="2:3" x14ac:dyDescent="0.25">
      <c r="B2" s="14" t="s">
        <v>4</v>
      </c>
      <c r="C2" t="s">
        <v>1684</v>
      </c>
    </row>
    <row r="4" spans="2:3" x14ac:dyDescent="0.25">
      <c r="B4" s="14" t="s">
        <v>1679</v>
      </c>
      <c r="C4" t="s">
        <v>1683</v>
      </c>
    </row>
    <row r="5" spans="2:3" x14ac:dyDescent="0.25">
      <c r="B5" s="17" t="s">
        <v>9</v>
      </c>
      <c r="C5" s="18">
        <v>39</v>
      </c>
    </row>
    <row r="6" spans="2:3" x14ac:dyDescent="0.25">
      <c r="B6" s="17" t="s">
        <v>49</v>
      </c>
      <c r="C6" s="18">
        <v>23</v>
      </c>
    </row>
    <row r="7" spans="2:3" x14ac:dyDescent="0.25">
      <c r="B7" s="17" t="s">
        <v>27</v>
      </c>
      <c r="C7" s="18">
        <v>8</v>
      </c>
    </row>
    <row r="8" spans="2:3" x14ac:dyDescent="0.25">
      <c r="B8" s="17" t="s">
        <v>45</v>
      </c>
      <c r="C8" s="18">
        <v>7</v>
      </c>
    </row>
    <row r="9" spans="2:3" x14ac:dyDescent="0.25">
      <c r="B9" s="17" t="s">
        <v>19</v>
      </c>
      <c r="C9" s="18">
        <v>7</v>
      </c>
    </row>
    <row r="10" spans="2:3" x14ac:dyDescent="0.25">
      <c r="B10" s="17" t="s">
        <v>248</v>
      </c>
      <c r="C10" s="18">
        <v>5</v>
      </c>
    </row>
    <row r="11" spans="2:3" x14ac:dyDescent="0.25">
      <c r="B11" s="17" t="s">
        <v>32</v>
      </c>
      <c r="C11" s="18">
        <v>5</v>
      </c>
    </row>
    <row r="12" spans="2:3" x14ac:dyDescent="0.25">
      <c r="B12" s="17" t="s">
        <v>181</v>
      </c>
      <c r="C12" s="18">
        <v>4</v>
      </c>
    </row>
    <row r="13" spans="2:3" x14ac:dyDescent="0.25">
      <c r="B13" s="17" t="s">
        <v>193</v>
      </c>
      <c r="C13" s="18">
        <v>4</v>
      </c>
    </row>
    <row r="14" spans="2:3" x14ac:dyDescent="0.25">
      <c r="B14" s="17" t="s">
        <v>39</v>
      </c>
      <c r="C14" s="18">
        <v>4</v>
      </c>
    </row>
    <row r="15" spans="2:3" x14ac:dyDescent="0.25">
      <c r="B15" s="17" t="s">
        <v>242</v>
      </c>
      <c r="C15" s="18">
        <v>3</v>
      </c>
    </row>
    <row r="16" spans="2:3" x14ac:dyDescent="0.25">
      <c r="B16" s="17" t="s">
        <v>206</v>
      </c>
      <c r="C16" s="18">
        <v>2</v>
      </c>
    </row>
    <row r="17" spans="2:3" x14ac:dyDescent="0.25">
      <c r="B17" s="17" t="s">
        <v>22</v>
      </c>
      <c r="C17" s="18">
        <v>2</v>
      </c>
    </row>
    <row r="18" spans="2:3" x14ac:dyDescent="0.25">
      <c r="B18" s="17" t="s">
        <v>190</v>
      </c>
      <c r="C18" s="18">
        <v>1</v>
      </c>
    </row>
    <row r="19" spans="2:3" x14ac:dyDescent="0.25">
      <c r="B19" s="17" t="s">
        <v>133</v>
      </c>
      <c r="C19" s="18">
        <v>1</v>
      </c>
    </row>
    <row r="20" spans="2:3" x14ac:dyDescent="0.25">
      <c r="B20" s="17" t="s">
        <v>1680</v>
      </c>
      <c r="C20" s="18">
        <v>115</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1299D-4DB3-43C6-996C-53D91F3674FC}">
  <dimension ref="B1:C10"/>
  <sheetViews>
    <sheetView zoomScale="76" zoomScaleNormal="80" workbookViewId="0">
      <selection activeCell="C20" sqref="C20"/>
    </sheetView>
  </sheetViews>
  <sheetFormatPr baseColWidth="10" defaultRowHeight="15" x14ac:dyDescent="0.25"/>
  <cols>
    <col min="2" max="2" width="27" bestFit="1" customWidth="1"/>
    <col min="3" max="3" width="22.140625" bestFit="1" customWidth="1"/>
    <col min="4" max="4" width="5.5703125" bestFit="1" customWidth="1"/>
    <col min="5" max="6" width="12.5703125" bestFit="1" customWidth="1"/>
    <col min="7" max="7" width="9.140625" bestFit="1" customWidth="1"/>
    <col min="8" max="8" width="7.7109375" bestFit="1" customWidth="1"/>
    <col min="9" max="9" width="18.42578125" bestFit="1" customWidth="1"/>
    <col min="10" max="10" width="17" bestFit="1" customWidth="1"/>
    <col min="11" max="11" width="8.42578125" bestFit="1" customWidth="1"/>
    <col min="12" max="12" width="6.42578125" bestFit="1" customWidth="1"/>
    <col min="13" max="13" width="11.42578125" bestFit="1" customWidth="1"/>
    <col min="14" max="14" width="9.140625" bestFit="1" customWidth="1"/>
    <col min="15" max="15" width="12.7109375" bestFit="1" customWidth="1"/>
    <col min="16" max="16" width="13.42578125" bestFit="1" customWidth="1"/>
    <col min="17" max="17" width="10.5703125" bestFit="1" customWidth="1"/>
    <col min="18" max="18" width="9.85546875" bestFit="1" customWidth="1"/>
    <col min="19" max="19" width="5.85546875" bestFit="1" customWidth="1"/>
    <col min="20" max="20" width="4.42578125" bestFit="1" customWidth="1"/>
    <col min="21" max="21" width="13.7109375" bestFit="1" customWidth="1"/>
    <col min="22" max="22" width="7.42578125" bestFit="1" customWidth="1"/>
    <col min="23" max="23" width="5.140625" bestFit="1" customWidth="1"/>
    <col min="24" max="24" width="11.140625" bestFit="1" customWidth="1"/>
    <col min="25" max="25" width="12.5703125" bestFit="1" customWidth="1"/>
  </cols>
  <sheetData>
    <row r="1" spans="2:3" x14ac:dyDescent="0.25">
      <c r="B1" s="14" t="s">
        <v>1677</v>
      </c>
      <c r="C1" s="17">
        <v>2026</v>
      </c>
    </row>
    <row r="2" spans="2:3" x14ac:dyDescent="0.25">
      <c r="B2" s="14" t="s">
        <v>0</v>
      </c>
      <c r="C2" t="s">
        <v>248</v>
      </c>
    </row>
    <row r="3" spans="2:3" x14ac:dyDescent="0.25">
      <c r="B3" s="14" t="s">
        <v>4</v>
      </c>
      <c r="C3" t="s">
        <v>1684</v>
      </c>
    </row>
    <row r="5" spans="2:3" x14ac:dyDescent="0.25">
      <c r="B5" s="14" t="s">
        <v>1679</v>
      </c>
      <c r="C5" t="s">
        <v>1683</v>
      </c>
    </row>
    <row r="6" spans="2:3" x14ac:dyDescent="0.25">
      <c r="B6" s="17" t="s">
        <v>249</v>
      </c>
      <c r="C6" s="18">
        <v>2</v>
      </c>
    </row>
    <row r="7" spans="2:3" x14ac:dyDescent="0.25">
      <c r="B7" s="17" t="s">
        <v>264</v>
      </c>
      <c r="C7" s="18">
        <v>1</v>
      </c>
    </row>
    <row r="8" spans="2:3" x14ac:dyDescent="0.25">
      <c r="B8" s="17" t="s">
        <v>261</v>
      </c>
      <c r="C8" s="18">
        <v>1</v>
      </c>
    </row>
    <row r="9" spans="2:3" x14ac:dyDescent="0.25">
      <c r="B9" s="17" t="s">
        <v>266</v>
      </c>
      <c r="C9" s="18">
        <v>1</v>
      </c>
    </row>
    <row r="10" spans="2:3" x14ac:dyDescent="0.25">
      <c r="B10" s="17" t="s">
        <v>1680</v>
      </c>
      <c r="C10" s="18">
        <v>5</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B314CB-9AF0-4C37-8E90-6EA69BDF46A8}">
  <dimension ref="B5:C15"/>
  <sheetViews>
    <sheetView topLeftCell="A4" zoomScale="78" zoomScaleNormal="80" workbookViewId="0">
      <selection activeCell="C13" sqref="C13"/>
    </sheetView>
  </sheetViews>
  <sheetFormatPr baseColWidth="10" defaultRowHeight="15" x14ac:dyDescent="0.25"/>
  <cols>
    <col min="2" max="2" width="22.28515625" bestFit="1" customWidth="1"/>
    <col min="3" max="3" width="24.85546875" bestFit="1" customWidth="1"/>
    <col min="4" max="4" width="11.7109375" bestFit="1" customWidth="1"/>
    <col min="5" max="5" width="14.5703125" bestFit="1" customWidth="1"/>
    <col min="6" max="6" width="9.85546875" bestFit="1" customWidth="1"/>
    <col min="7" max="7" width="12" bestFit="1" customWidth="1"/>
    <col min="8" max="8" width="14.85546875" bestFit="1" customWidth="1"/>
    <col min="9" max="9" width="16.85546875" bestFit="1" customWidth="1"/>
    <col min="10" max="10" width="11.5703125" bestFit="1" customWidth="1"/>
    <col min="11" max="11" width="12.5703125" bestFit="1" customWidth="1"/>
    <col min="12" max="12" width="17.42578125" bestFit="1" customWidth="1"/>
    <col min="13" max="13" width="11.42578125" bestFit="1" customWidth="1"/>
    <col min="14" max="14" width="9.140625" bestFit="1" customWidth="1"/>
    <col min="15" max="15" width="12.7109375" bestFit="1" customWidth="1"/>
    <col min="16" max="16" width="13.42578125" bestFit="1" customWidth="1"/>
    <col min="17" max="17" width="10.5703125" bestFit="1" customWidth="1"/>
    <col min="18" max="18" width="9.85546875" bestFit="1" customWidth="1"/>
    <col min="19" max="19" width="5.85546875" bestFit="1" customWidth="1"/>
    <col min="20" max="20" width="4.42578125" bestFit="1" customWidth="1"/>
    <col min="21" max="21" width="13.7109375" bestFit="1" customWidth="1"/>
    <col min="22" max="22" width="7.42578125" bestFit="1" customWidth="1"/>
    <col min="23" max="23" width="5.140625" bestFit="1" customWidth="1"/>
    <col min="24" max="24" width="11.140625" bestFit="1" customWidth="1"/>
    <col min="25" max="25" width="12.5703125" bestFit="1" customWidth="1"/>
  </cols>
  <sheetData>
    <row r="5" spans="2:3" x14ac:dyDescent="0.25">
      <c r="B5" s="14" t="s">
        <v>0</v>
      </c>
      <c r="C5" t="s">
        <v>45</v>
      </c>
    </row>
    <row r="6" spans="2:3" x14ac:dyDescent="0.25">
      <c r="B6" s="14" t="s">
        <v>1677</v>
      </c>
      <c r="C6" s="17">
        <v>2026</v>
      </c>
    </row>
    <row r="7" spans="2:3" x14ac:dyDescent="0.25">
      <c r="B7" s="14" t="s">
        <v>4</v>
      </c>
      <c r="C7" t="s">
        <v>1828</v>
      </c>
    </row>
    <row r="9" spans="2:3" x14ac:dyDescent="0.25">
      <c r="B9" s="14" t="s">
        <v>1679</v>
      </c>
      <c r="C9" t="s">
        <v>1827</v>
      </c>
    </row>
    <row r="10" spans="2:3" x14ac:dyDescent="0.25">
      <c r="B10" s="17" t="s">
        <v>118</v>
      </c>
      <c r="C10" s="18">
        <v>1</v>
      </c>
    </row>
    <row r="11" spans="2:3" x14ac:dyDescent="0.25">
      <c r="B11" s="17" t="s">
        <v>51</v>
      </c>
      <c r="C11" s="18">
        <v>1</v>
      </c>
    </row>
    <row r="12" spans="2:3" x14ac:dyDescent="0.25">
      <c r="B12" s="17" t="s">
        <v>104</v>
      </c>
      <c r="C12" s="18">
        <v>1</v>
      </c>
    </row>
    <row r="13" spans="2:3" x14ac:dyDescent="0.25">
      <c r="B13" s="17" t="s">
        <v>41</v>
      </c>
      <c r="C13" s="18">
        <v>1</v>
      </c>
    </row>
    <row r="14" spans="2:3" x14ac:dyDescent="0.25">
      <c r="B14" s="17" t="s">
        <v>1826</v>
      </c>
      <c r="C14" s="18"/>
    </row>
    <row r="15" spans="2:3" x14ac:dyDescent="0.25">
      <c r="B15" s="17" t="s">
        <v>1680</v>
      </c>
      <c r="C15" s="18">
        <v>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D22B2-5A66-4E4B-B588-1335C445E2E4}">
  <dimension ref="B2:E21"/>
  <sheetViews>
    <sheetView zoomScale="80" zoomScaleNormal="80" workbookViewId="0">
      <selection activeCell="C10" sqref="C10"/>
    </sheetView>
  </sheetViews>
  <sheetFormatPr baseColWidth="10" defaultRowHeight="15" x14ac:dyDescent="0.25"/>
  <cols>
    <col min="2" max="2" width="22.140625" bestFit="1" customWidth="1"/>
    <col min="3" max="3" width="23.140625" bestFit="1" customWidth="1"/>
    <col min="4" max="4" width="15.28515625" bestFit="1" customWidth="1"/>
    <col min="5" max="6" width="12.5703125" bestFit="1" customWidth="1"/>
    <col min="7" max="7" width="15.28515625" bestFit="1" customWidth="1"/>
    <col min="8" max="8" width="10.140625" bestFit="1" customWidth="1"/>
    <col min="9" max="9" width="12.5703125" bestFit="1" customWidth="1"/>
    <col min="10" max="10" width="17" bestFit="1" customWidth="1"/>
    <col min="11" max="11" width="8.42578125" bestFit="1" customWidth="1"/>
    <col min="12" max="12" width="6.42578125" bestFit="1" customWidth="1"/>
    <col min="13" max="13" width="11.42578125" bestFit="1" customWidth="1"/>
    <col min="14" max="14" width="9.140625" bestFit="1" customWidth="1"/>
    <col min="15" max="15" width="12.7109375" bestFit="1" customWidth="1"/>
    <col min="16" max="16" width="13.42578125" bestFit="1" customWidth="1"/>
    <col min="17" max="17" width="10.5703125" bestFit="1" customWidth="1"/>
    <col min="18" max="18" width="9.85546875" bestFit="1" customWidth="1"/>
    <col min="19" max="19" width="5.85546875" bestFit="1" customWidth="1"/>
    <col min="20" max="20" width="4.42578125" bestFit="1" customWidth="1"/>
    <col min="21" max="21" width="13.7109375" bestFit="1" customWidth="1"/>
    <col min="22" max="22" width="7.42578125" bestFit="1" customWidth="1"/>
    <col min="23" max="23" width="5.140625" bestFit="1" customWidth="1"/>
    <col min="24" max="24" width="11.140625" bestFit="1" customWidth="1"/>
    <col min="25" max="25" width="12.5703125" bestFit="1" customWidth="1"/>
  </cols>
  <sheetData>
    <row r="2" spans="2:5" x14ac:dyDescent="0.25">
      <c r="B2" s="14" t="s">
        <v>1677</v>
      </c>
      <c r="C2" s="17">
        <v>2026</v>
      </c>
    </row>
    <row r="4" spans="2:5" x14ac:dyDescent="0.25">
      <c r="B4" s="14" t="s">
        <v>1683</v>
      </c>
      <c r="C4" s="14" t="s">
        <v>1681</v>
      </c>
    </row>
    <row r="5" spans="2:5" x14ac:dyDescent="0.25">
      <c r="B5" s="14" t="s">
        <v>1679</v>
      </c>
      <c r="C5" t="s">
        <v>15</v>
      </c>
      <c r="D5" t="s">
        <v>91</v>
      </c>
      <c r="E5" t="s">
        <v>1680</v>
      </c>
    </row>
    <row r="6" spans="2:5" x14ac:dyDescent="0.25">
      <c r="B6" s="17" t="s">
        <v>9</v>
      </c>
      <c r="C6" s="18">
        <v>31</v>
      </c>
      <c r="D6" s="18">
        <v>7</v>
      </c>
      <c r="E6" s="18">
        <v>38</v>
      </c>
    </row>
    <row r="7" spans="2:5" x14ac:dyDescent="0.25">
      <c r="B7" s="17" t="s">
        <v>49</v>
      </c>
      <c r="C7" s="18">
        <v>10</v>
      </c>
      <c r="D7" s="18">
        <v>13</v>
      </c>
      <c r="E7" s="18">
        <v>23</v>
      </c>
    </row>
    <row r="8" spans="2:5" x14ac:dyDescent="0.25">
      <c r="B8" s="17" t="s">
        <v>19</v>
      </c>
      <c r="C8" s="18">
        <v>6</v>
      </c>
      <c r="D8" s="18">
        <v>1</v>
      </c>
      <c r="E8" s="18">
        <v>7</v>
      </c>
    </row>
    <row r="9" spans="2:5" x14ac:dyDescent="0.25">
      <c r="B9" s="17" t="s">
        <v>27</v>
      </c>
      <c r="C9" s="18">
        <v>5</v>
      </c>
      <c r="D9" s="18">
        <v>3</v>
      </c>
      <c r="E9" s="18">
        <v>8</v>
      </c>
    </row>
    <row r="10" spans="2:5" x14ac:dyDescent="0.25">
      <c r="B10" s="17" t="s">
        <v>45</v>
      </c>
      <c r="C10" s="18">
        <v>5</v>
      </c>
      <c r="D10" s="18">
        <v>2</v>
      </c>
      <c r="E10" s="18">
        <v>7</v>
      </c>
    </row>
    <row r="11" spans="2:5" x14ac:dyDescent="0.25">
      <c r="B11" s="17" t="s">
        <v>248</v>
      </c>
      <c r="C11" s="18">
        <v>5</v>
      </c>
      <c r="D11" s="18"/>
      <c r="E11" s="18">
        <v>5</v>
      </c>
    </row>
    <row r="12" spans="2:5" x14ac:dyDescent="0.25">
      <c r="B12" s="17" t="s">
        <v>32</v>
      </c>
      <c r="C12" s="18">
        <v>5</v>
      </c>
      <c r="D12" s="18"/>
      <c r="E12" s="18">
        <v>5</v>
      </c>
    </row>
    <row r="13" spans="2:5" x14ac:dyDescent="0.25">
      <c r="B13" s="17" t="s">
        <v>39</v>
      </c>
      <c r="C13" s="18">
        <v>4</v>
      </c>
      <c r="D13" s="18"/>
      <c r="E13" s="18">
        <v>4</v>
      </c>
    </row>
    <row r="14" spans="2:5" x14ac:dyDescent="0.25">
      <c r="B14" s="17" t="s">
        <v>193</v>
      </c>
      <c r="C14" s="18">
        <v>4</v>
      </c>
      <c r="D14" s="18"/>
      <c r="E14" s="18">
        <v>4</v>
      </c>
    </row>
    <row r="15" spans="2:5" x14ac:dyDescent="0.25">
      <c r="B15" s="17" t="s">
        <v>242</v>
      </c>
      <c r="C15" s="18">
        <v>3</v>
      </c>
      <c r="D15" s="18"/>
      <c r="E15" s="18">
        <v>3</v>
      </c>
    </row>
    <row r="16" spans="2:5" x14ac:dyDescent="0.25">
      <c r="B16" s="17" t="s">
        <v>181</v>
      </c>
      <c r="C16" s="18">
        <v>3</v>
      </c>
      <c r="D16" s="18">
        <v>1</v>
      </c>
      <c r="E16" s="18">
        <v>4</v>
      </c>
    </row>
    <row r="17" spans="2:5" x14ac:dyDescent="0.25">
      <c r="B17" s="17" t="s">
        <v>206</v>
      </c>
      <c r="C17" s="18">
        <v>2</v>
      </c>
      <c r="D17" s="18"/>
      <c r="E17" s="18">
        <v>2</v>
      </c>
    </row>
    <row r="18" spans="2:5" x14ac:dyDescent="0.25">
      <c r="B18" s="17" t="s">
        <v>190</v>
      </c>
      <c r="C18" s="18">
        <v>1</v>
      </c>
      <c r="D18" s="18"/>
      <c r="E18" s="18">
        <v>1</v>
      </c>
    </row>
    <row r="19" spans="2:5" x14ac:dyDescent="0.25">
      <c r="B19" s="17" t="s">
        <v>133</v>
      </c>
      <c r="C19" s="18">
        <v>1</v>
      </c>
      <c r="D19" s="18"/>
      <c r="E19" s="18">
        <v>1</v>
      </c>
    </row>
    <row r="20" spans="2:5" x14ac:dyDescent="0.25">
      <c r="B20" s="17" t="s">
        <v>22</v>
      </c>
      <c r="C20" s="18"/>
      <c r="D20" s="18">
        <v>2</v>
      </c>
      <c r="E20" s="18">
        <v>2</v>
      </c>
    </row>
    <row r="21" spans="2:5" x14ac:dyDescent="0.25">
      <c r="B21" s="17" t="s">
        <v>1680</v>
      </c>
      <c r="C21" s="18">
        <v>85</v>
      </c>
      <c r="D21" s="18">
        <v>29</v>
      </c>
      <c r="E21" s="18">
        <v>114</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704B49-8B68-4006-9A6D-1A5FF53D92B5}">
  <dimension ref="B4:F25"/>
  <sheetViews>
    <sheetView zoomScale="80" zoomScaleNormal="80" workbookViewId="0">
      <selection activeCell="E6" sqref="E6"/>
    </sheetView>
  </sheetViews>
  <sheetFormatPr baseColWidth="10" defaultRowHeight="15" x14ac:dyDescent="0.25"/>
  <cols>
    <col min="2" max="2" width="22.140625" bestFit="1" customWidth="1"/>
    <col min="3" max="3" width="23.140625" bestFit="1" customWidth="1"/>
    <col min="4" max="5" width="5.5703125" bestFit="1" customWidth="1"/>
    <col min="6" max="6" width="12.5703125" bestFit="1" customWidth="1"/>
    <col min="7" max="7" width="9.140625" bestFit="1" customWidth="1"/>
    <col min="8" max="8" width="7.7109375" bestFit="1" customWidth="1"/>
    <col min="9" max="9" width="18.42578125" bestFit="1" customWidth="1"/>
    <col min="10" max="10" width="17" bestFit="1" customWidth="1"/>
    <col min="11" max="11" width="8.42578125" bestFit="1" customWidth="1"/>
    <col min="12" max="12" width="6.42578125" bestFit="1" customWidth="1"/>
    <col min="13" max="13" width="11.42578125" bestFit="1" customWidth="1"/>
    <col min="14" max="14" width="9.140625" bestFit="1" customWidth="1"/>
    <col min="15" max="15" width="12.7109375" bestFit="1" customWidth="1"/>
    <col min="16" max="16" width="13.42578125" bestFit="1" customWidth="1"/>
    <col min="17" max="17" width="10.5703125" bestFit="1" customWidth="1"/>
    <col min="18" max="18" width="9.85546875" bestFit="1" customWidth="1"/>
    <col min="19" max="19" width="5.85546875" bestFit="1" customWidth="1"/>
    <col min="20" max="20" width="4.42578125" bestFit="1" customWidth="1"/>
    <col min="21" max="21" width="13.7109375" bestFit="1" customWidth="1"/>
    <col min="22" max="22" width="7.42578125" bestFit="1" customWidth="1"/>
    <col min="23" max="23" width="5.140625" bestFit="1" customWidth="1"/>
    <col min="24" max="24" width="11.140625" bestFit="1" customWidth="1"/>
    <col min="25" max="25" width="12.5703125" bestFit="1" customWidth="1"/>
  </cols>
  <sheetData>
    <row r="4" spans="2:6" x14ac:dyDescent="0.25">
      <c r="B4" s="14" t="s">
        <v>1683</v>
      </c>
      <c r="C4" s="14" t="s">
        <v>1681</v>
      </c>
    </row>
    <row r="5" spans="2:6" x14ac:dyDescent="0.25">
      <c r="B5" s="14" t="s">
        <v>1679</v>
      </c>
      <c r="C5">
        <v>2024</v>
      </c>
      <c r="D5">
        <v>2025</v>
      </c>
      <c r="E5">
        <v>2026</v>
      </c>
      <c r="F5" t="s">
        <v>1680</v>
      </c>
    </row>
    <row r="6" spans="2:6" x14ac:dyDescent="0.25">
      <c r="B6" s="17" t="s">
        <v>9</v>
      </c>
      <c r="C6" s="18">
        <v>117</v>
      </c>
      <c r="D6" s="18">
        <v>58</v>
      </c>
      <c r="E6" s="18">
        <v>39</v>
      </c>
      <c r="F6" s="18">
        <v>214</v>
      </c>
    </row>
    <row r="7" spans="2:6" x14ac:dyDescent="0.25">
      <c r="B7" s="17" t="s">
        <v>49</v>
      </c>
      <c r="C7" s="18">
        <v>75</v>
      </c>
      <c r="D7" s="18">
        <v>73</v>
      </c>
      <c r="E7" s="18">
        <v>23</v>
      </c>
      <c r="F7" s="18">
        <v>171</v>
      </c>
    </row>
    <row r="8" spans="2:6" x14ac:dyDescent="0.25">
      <c r="B8" s="17" t="s">
        <v>32</v>
      </c>
      <c r="C8" s="18">
        <v>32</v>
      </c>
      <c r="D8" s="18">
        <v>13</v>
      </c>
      <c r="E8" s="18">
        <v>5</v>
      </c>
      <c r="F8" s="18">
        <v>50</v>
      </c>
    </row>
    <row r="9" spans="2:6" x14ac:dyDescent="0.25">
      <c r="B9" s="17" t="s">
        <v>248</v>
      </c>
      <c r="C9" s="18">
        <v>21</v>
      </c>
      <c r="D9" s="18">
        <v>3</v>
      </c>
      <c r="E9" s="18">
        <v>5</v>
      </c>
      <c r="F9" s="18">
        <v>29</v>
      </c>
    </row>
    <row r="10" spans="2:6" x14ac:dyDescent="0.25">
      <c r="B10" s="17" t="s">
        <v>45</v>
      </c>
      <c r="C10" s="18">
        <v>10</v>
      </c>
      <c r="D10" s="18">
        <v>5</v>
      </c>
      <c r="E10" s="18">
        <v>7</v>
      </c>
      <c r="F10" s="18">
        <v>22</v>
      </c>
    </row>
    <row r="11" spans="2:6" x14ac:dyDescent="0.25">
      <c r="B11" s="17" t="s">
        <v>181</v>
      </c>
      <c r="C11" s="18">
        <v>8</v>
      </c>
      <c r="D11" s="18">
        <v>10</v>
      </c>
      <c r="E11" s="18">
        <v>4</v>
      </c>
      <c r="F11" s="18">
        <v>22</v>
      </c>
    </row>
    <row r="12" spans="2:6" x14ac:dyDescent="0.25">
      <c r="B12" s="17" t="s">
        <v>206</v>
      </c>
      <c r="C12" s="18">
        <v>11</v>
      </c>
      <c r="D12" s="18">
        <v>4</v>
      </c>
      <c r="E12" s="18">
        <v>2</v>
      </c>
      <c r="F12" s="18">
        <v>17</v>
      </c>
    </row>
    <row r="13" spans="2:6" x14ac:dyDescent="0.25">
      <c r="B13" s="17" t="s">
        <v>27</v>
      </c>
      <c r="C13" s="18">
        <v>3</v>
      </c>
      <c r="D13" s="18">
        <v>5</v>
      </c>
      <c r="E13" s="18">
        <v>8</v>
      </c>
      <c r="F13" s="18">
        <v>16</v>
      </c>
    </row>
    <row r="14" spans="2:6" x14ac:dyDescent="0.25">
      <c r="B14" s="17" t="s">
        <v>19</v>
      </c>
      <c r="C14" s="18"/>
      <c r="D14" s="18">
        <v>8</v>
      </c>
      <c r="E14" s="18">
        <v>7</v>
      </c>
      <c r="F14" s="18">
        <v>15</v>
      </c>
    </row>
    <row r="15" spans="2:6" x14ac:dyDescent="0.25">
      <c r="B15" s="17" t="s">
        <v>106</v>
      </c>
      <c r="C15" s="18">
        <v>3</v>
      </c>
      <c r="D15" s="18">
        <v>11</v>
      </c>
      <c r="E15" s="18"/>
      <c r="F15" s="18">
        <v>14</v>
      </c>
    </row>
    <row r="16" spans="2:6" x14ac:dyDescent="0.25">
      <c r="B16" s="17" t="s">
        <v>193</v>
      </c>
      <c r="C16" s="18">
        <v>3</v>
      </c>
      <c r="D16" s="18">
        <v>4</v>
      </c>
      <c r="E16" s="18">
        <v>4</v>
      </c>
      <c r="F16" s="18">
        <v>11</v>
      </c>
    </row>
    <row r="17" spans="2:6" x14ac:dyDescent="0.25">
      <c r="B17" s="17" t="s">
        <v>39</v>
      </c>
      <c r="C17" s="18">
        <v>1</v>
      </c>
      <c r="D17" s="18">
        <v>6</v>
      </c>
      <c r="E17" s="18">
        <v>4</v>
      </c>
      <c r="F17" s="18">
        <v>11</v>
      </c>
    </row>
    <row r="18" spans="2:6" x14ac:dyDescent="0.25">
      <c r="B18" s="17" t="s">
        <v>242</v>
      </c>
      <c r="C18" s="18"/>
      <c r="D18" s="18">
        <v>4</v>
      </c>
      <c r="E18" s="18">
        <v>3</v>
      </c>
      <c r="F18" s="18">
        <v>7</v>
      </c>
    </row>
    <row r="19" spans="2:6" x14ac:dyDescent="0.25">
      <c r="B19" s="17" t="s">
        <v>381</v>
      </c>
      <c r="C19" s="18">
        <v>3</v>
      </c>
      <c r="D19" s="18">
        <v>4</v>
      </c>
      <c r="E19" s="18"/>
      <c r="F19" s="18">
        <v>7</v>
      </c>
    </row>
    <row r="20" spans="2:6" x14ac:dyDescent="0.25">
      <c r="B20" s="17" t="s">
        <v>190</v>
      </c>
      <c r="C20" s="18">
        <v>2</v>
      </c>
      <c r="D20" s="18">
        <v>1</v>
      </c>
      <c r="E20" s="18">
        <v>1</v>
      </c>
      <c r="F20" s="18">
        <v>4</v>
      </c>
    </row>
    <row r="21" spans="2:6" x14ac:dyDescent="0.25">
      <c r="B21" s="17" t="s">
        <v>22</v>
      </c>
      <c r="C21" s="18"/>
      <c r="D21" s="18">
        <v>1</v>
      </c>
      <c r="E21" s="18">
        <v>2</v>
      </c>
      <c r="F21" s="18">
        <v>3</v>
      </c>
    </row>
    <row r="22" spans="2:6" x14ac:dyDescent="0.25">
      <c r="B22" s="17" t="s">
        <v>133</v>
      </c>
      <c r="C22" s="18"/>
      <c r="D22" s="18">
        <v>1</v>
      </c>
      <c r="E22" s="18">
        <v>1</v>
      </c>
      <c r="F22" s="18">
        <v>2</v>
      </c>
    </row>
    <row r="23" spans="2:6" x14ac:dyDescent="0.25">
      <c r="B23" s="17" t="s">
        <v>284</v>
      </c>
      <c r="C23" s="18"/>
      <c r="D23" s="18">
        <v>2</v>
      </c>
      <c r="E23" s="18"/>
      <c r="F23" s="18">
        <v>2</v>
      </c>
    </row>
    <row r="24" spans="2:6" x14ac:dyDescent="0.25">
      <c r="B24" s="17" t="s">
        <v>841</v>
      </c>
      <c r="C24" s="18">
        <v>1</v>
      </c>
      <c r="D24" s="18"/>
      <c r="E24" s="18"/>
      <c r="F24" s="18">
        <v>1</v>
      </c>
    </row>
    <row r="25" spans="2:6" x14ac:dyDescent="0.25">
      <c r="B25" s="17" t="s">
        <v>1680</v>
      </c>
      <c r="C25" s="18">
        <v>290</v>
      </c>
      <c r="D25" s="18">
        <v>213</v>
      </c>
      <c r="E25" s="18">
        <v>115</v>
      </c>
      <c r="F25" s="18">
        <v>618</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FFEF5F-3BE3-44BF-94A2-32EAF743D1F5}">
  <dimension ref="B2:Q75"/>
  <sheetViews>
    <sheetView topLeftCell="I45" zoomScale="63" zoomScaleNormal="80" workbookViewId="0">
      <selection activeCell="O58" sqref="O58"/>
    </sheetView>
  </sheetViews>
  <sheetFormatPr baseColWidth="10" defaultRowHeight="15" x14ac:dyDescent="0.25"/>
  <cols>
    <col min="2" max="2" width="29.5703125" bestFit="1" customWidth="1"/>
    <col min="3" max="3" width="30.7109375" bestFit="1" customWidth="1"/>
    <col min="4" max="4" width="37.5703125" bestFit="1" customWidth="1"/>
    <col min="5" max="5" width="36.140625" bestFit="1" customWidth="1"/>
    <col min="6" max="6" width="63.42578125" bestFit="1" customWidth="1"/>
    <col min="7" max="7" width="54.28515625" bestFit="1" customWidth="1"/>
    <col min="8" max="8" width="23.7109375" bestFit="1" customWidth="1"/>
    <col min="9" max="9" width="60.7109375" bestFit="1" customWidth="1"/>
    <col min="10" max="10" width="41" bestFit="1" customWidth="1"/>
    <col min="11" max="11" width="34.85546875" bestFit="1" customWidth="1"/>
    <col min="12" max="12" width="16" bestFit="1" customWidth="1"/>
    <col min="13" max="13" width="30.140625" bestFit="1" customWidth="1"/>
    <col min="14" max="14" width="19.85546875" bestFit="1" customWidth="1"/>
    <col min="15" max="15" width="15.85546875" bestFit="1" customWidth="1"/>
    <col min="16" max="16" width="28" bestFit="1" customWidth="1"/>
    <col min="17" max="17" width="17.140625" bestFit="1" customWidth="1"/>
    <col min="18" max="18" width="17.42578125" bestFit="1" customWidth="1"/>
    <col min="19" max="21" width="14.42578125" bestFit="1" customWidth="1"/>
    <col min="22" max="22" width="14" bestFit="1" customWidth="1"/>
    <col min="23" max="25" width="14.42578125" bestFit="1" customWidth="1"/>
    <col min="26" max="27" width="14.85546875" bestFit="1" customWidth="1"/>
    <col min="28" max="29" width="14.42578125" bestFit="1" customWidth="1"/>
    <col min="30" max="33" width="14.85546875" bestFit="1" customWidth="1"/>
    <col min="34" max="34" width="14.42578125" bestFit="1" customWidth="1"/>
    <col min="35" max="37" width="14.85546875" bestFit="1" customWidth="1"/>
    <col min="38" max="39" width="14.42578125" bestFit="1" customWidth="1"/>
    <col min="40" max="41" width="14.85546875" bestFit="1" customWidth="1"/>
    <col min="42" max="42" width="14.42578125" bestFit="1" customWidth="1"/>
    <col min="43" max="43" width="14.85546875" bestFit="1" customWidth="1"/>
    <col min="44" max="44" width="14.42578125" bestFit="1" customWidth="1"/>
    <col min="45" max="45" width="14" bestFit="1" customWidth="1"/>
    <col min="46" max="46" width="13.5703125" bestFit="1" customWidth="1"/>
    <col min="47" max="47" width="14.42578125" bestFit="1" customWidth="1"/>
    <col min="48" max="48" width="14" bestFit="1" customWidth="1"/>
    <col min="49" max="51" width="14.42578125" bestFit="1" customWidth="1"/>
    <col min="52" max="52" width="14" bestFit="1" customWidth="1"/>
    <col min="53" max="53" width="14.42578125" bestFit="1" customWidth="1"/>
    <col min="54" max="54" width="14.85546875" bestFit="1" customWidth="1"/>
    <col min="55" max="55" width="14.42578125" bestFit="1" customWidth="1"/>
    <col min="56" max="57" width="14.85546875" bestFit="1" customWidth="1"/>
    <col min="58" max="59" width="14.42578125" bestFit="1" customWidth="1"/>
    <col min="60" max="62" width="14.85546875" bestFit="1" customWidth="1"/>
    <col min="63" max="63" width="14.42578125" bestFit="1" customWidth="1"/>
    <col min="64" max="64" width="14" bestFit="1" customWidth="1"/>
    <col min="65" max="67" width="14.42578125" bestFit="1" customWidth="1"/>
    <col min="68" max="68" width="14.85546875" bestFit="1" customWidth="1"/>
    <col min="69" max="69" width="28.42578125" bestFit="1" customWidth="1"/>
    <col min="70" max="70" width="17.42578125" bestFit="1" customWidth="1"/>
  </cols>
  <sheetData>
    <row r="2" spans="2:6" x14ac:dyDescent="0.25">
      <c r="B2" s="14" t="s">
        <v>0</v>
      </c>
      <c r="C2" t="s">
        <v>9</v>
      </c>
    </row>
    <row r="4" spans="2:6" x14ac:dyDescent="0.25">
      <c r="B4" s="14" t="s">
        <v>1683</v>
      </c>
      <c r="C4" s="14" t="s">
        <v>1681</v>
      </c>
    </row>
    <row r="5" spans="2:6" x14ac:dyDescent="0.25">
      <c r="B5" s="14" t="s">
        <v>1679</v>
      </c>
      <c r="C5">
        <v>2024</v>
      </c>
      <c r="D5">
        <v>2025</v>
      </c>
      <c r="E5">
        <v>2026</v>
      </c>
      <c r="F5" t="s">
        <v>1680</v>
      </c>
    </row>
    <row r="6" spans="2:6" x14ac:dyDescent="0.25">
      <c r="B6" s="17" t="s">
        <v>93</v>
      </c>
      <c r="C6" s="18">
        <v>14</v>
      </c>
      <c r="D6" s="18">
        <v>8</v>
      </c>
      <c r="E6" s="18">
        <v>3</v>
      </c>
      <c r="F6" s="18">
        <v>25</v>
      </c>
    </row>
    <row r="7" spans="2:6" x14ac:dyDescent="0.25">
      <c r="B7" s="17" t="s">
        <v>87</v>
      </c>
      <c r="C7" s="18">
        <v>12</v>
      </c>
      <c r="D7" s="18">
        <v>9</v>
      </c>
      <c r="E7" s="18">
        <v>2</v>
      </c>
      <c r="F7" s="18">
        <v>23</v>
      </c>
    </row>
    <row r="8" spans="2:6" x14ac:dyDescent="0.25">
      <c r="B8" s="17" t="s">
        <v>82</v>
      </c>
      <c r="C8" s="18">
        <v>9</v>
      </c>
      <c r="D8" s="18">
        <v>4</v>
      </c>
      <c r="E8" s="18">
        <v>9</v>
      </c>
      <c r="F8" s="18">
        <v>22</v>
      </c>
    </row>
    <row r="9" spans="2:6" x14ac:dyDescent="0.25">
      <c r="B9" s="17" t="s">
        <v>62</v>
      </c>
      <c r="C9" s="18">
        <v>9</v>
      </c>
      <c r="D9" s="18">
        <v>6</v>
      </c>
      <c r="E9" s="18">
        <v>4</v>
      </c>
      <c r="F9" s="18">
        <v>19</v>
      </c>
    </row>
    <row r="10" spans="2:6" x14ac:dyDescent="0.25">
      <c r="B10" s="17" t="s">
        <v>80</v>
      </c>
      <c r="C10" s="18">
        <v>9</v>
      </c>
      <c r="D10" s="18">
        <v>4</v>
      </c>
      <c r="E10" s="18">
        <v>4</v>
      </c>
      <c r="F10" s="18">
        <v>17</v>
      </c>
    </row>
    <row r="11" spans="2:6" x14ac:dyDescent="0.25">
      <c r="B11" s="17" t="s">
        <v>102</v>
      </c>
      <c r="C11" s="18">
        <v>11</v>
      </c>
      <c r="D11" s="18">
        <v>1</v>
      </c>
      <c r="E11" s="18">
        <v>3</v>
      </c>
      <c r="F11" s="18">
        <v>15</v>
      </c>
    </row>
    <row r="12" spans="2:6" x14ac:dyDescent="0.25">
      <c r="B12" s="17" t="s">
        <v>99</v>
      </c>
      <c r="C12" s="18">
        <v>11</v>
      </c>
      <c r="D12" s="18">
        <v>1</v>
      </c>
      <c r="E12" s="18">
        <v>3</v>
      </c>
      <c r="F12" s="18">
        <v>15</v>
      </c>
    </row>
    <row r="13" spans="2:6" x14ac:dyDescent="0.25">
      <c r="B13" s="17" t="s">
        <v>153</v>
      </c>
      <c r="C13" s="18">
        <v>8</v>
      </c>
      <c r="D13" s="18">
        <v>2</v>
      </c>
      <c r="E13" s="18">
        <v>4</v>
      </c>
      <c r="F13" s="18">
        <v>14</v>
      </c>
    </row>
    <row r="14" spans="2:6" x14ac:dyDescent="0.25">
      <c r="B14" s="17" t="s">
        <v>71</v>
      </c>
      <c r="C14" s="18">
        <v>5</v>
      </c>
      <c r="D14" s="18">
        <v>7</v>
      </c>
      <c r="E14" s="18">
        <v>1</v>
      </c>
      <c r="F14" s="18">
        <v>13</v>
      </c>
    </row>
    <row r="15" spans="2:6" x14ac:dyDescent="0.25">
      <c r="B15" s="17" t="s">
        <v>14</v>
      </c>
      <c r="C15" s="18">
        <v>7</v>
      </c>
      <c r="D15" s="18">
        <v>4</v>
      </c>
      <c r="E15" s="18">
        <v>2</v>
      </c>
      <c r="F15" s="18">
        <v>13</v>
      </c>
    </row>
    <row r="16" spans="2:6" x14ac:dyDescent="0.25">
      <c r="B16" s="17" t="s">
        <v>10</v>
      </c>
      <c r="C16" s="18">
        <v>5</v>
      </c>
      <c r="D16" s="18">
        <v>5</v>
      </c>
      <c r="E16" s="18">
        <v>1</v>
      </c>
      <c r="F16" s="18">
        <v>11</v>
      </c>
    </row>
    <row r="17" spans="2:6" x14ac:dyDescent="0.25">
      <c r="B17" s="17" t="s">
        <v>68</v>
      </c>
      <c r="C17" s="18">
        <v>8</v>
      </c>
      <c r="D17" s="18">
        <v>2</v>
      </c>
      <c r="E17" s="18"/>
      <c r="F17" s="18">
        <v>10</v>
      </c>
    </row>
    <row r="18" spans="2:6" x14ac:dyDescent="0.25">
      <c r="B18" s="17" t="s">
        <v>70</v>
      </c>
      <c r="C18" s="18">
        <v>4</v>
      </c>
      <c r="D18" s="18">
        <v>4</v>
      </c>
      <c r="E18" s="18">
        <v>2</v>
      </c>
      <c r="F18" s="18">
        <v>10</v>
      </c>
    </row>
    <row r="19" spans="2:6" x14ac:dyDescent="0.25">
      <c r="B19" s="17" t="s">
        <v>238</v>
      </c>
      <c r="C19" s="18">
        <v>5</v>
      </c>
      <c r="D19" s="18">
        <v>1</v>
      </c>
      <c r="E19" s="18">
        <v>1</v>
      </c>
      <c r="F19" s="18">
        <v>7</v>
      </c>
    </row>
    <row r="20" spans="2:6" x14ac:dyDescent="0.25">
      <c r="B20" s="17" t="s">
        <v>1680</v>
      </c>
      <c r="C20" s="18">
        <v>117</v>
      </c>
      <c r="D20" s="18">
        <v>58</v>
      </c>
      <c r="E20" s="18">
        <v>39</v>
      </c>
      <c r="F20" s="18">
        <v>214</v>
      </c>
    </row>
    <row r="25" spans="2:6" x14ac:dyDescent="0.25">
      <c r="B25" s="14" t="s">
        <v>0</v>
      </c>
      <c r="C25" t="s">
        <v>9</v>
      </c>
    </row>
    <row r="26" spans="2:6" x14ac:dyDescent="0.25">
      <c r="B26" s="14" t="s">
        <v>1677</v>
      </c>
      <c r="C26" s="17">
        <v>2026</v>
      </c>
    </row>
    <row r="27" spans="2:6" x14ac:dyDescent="0.25">
      <c r="B27" s="14" t="s">
        <v>3</v>
      </c>
      <c r="C27" t="s">
        <v>1828</v>
      </c>
    </row>
    <row r="29" spans="2:6" x14ac:dyDescent="0.25">
      <c r="B29" s="14" t="s">
        <v>1683</v>
      </c>
      <c r="C29" s="14" t="s">
        <v>1681</v>
      </c>
    </row>
    <row r="30" spans="2:6" x14ac:dyDescent="0.25">
      <c r="B30" s="14" t="s">
        <v>1679</v>
      </c>
      <c r="C30" t="s">
        <v>15</v>
      </c>
      <c r="D30" t="s">
        <v>91</v>
      </c>
      <c r="E30" t="s">
        <v>1680</v>
      </c>
    </row>
    <row r="31" spans="2:6" x14ac:dyDescent="0.25">
      <c r="B31" s="17" t="s">
        <v>82</v>
      </c>
      <c r="C31" s="18">
        <v>6</v>
      </c>
      <c r="D31" s="18">
        <v>3</v>
      </c>
      <c r="E31" s="18">
        <v>9</v>
      </c>
    </row>
    <row r="32" spans="2:6" x14ac:dyDescent="0.25">
      <c r="B32" s="17" t="s">
        <v>153</v>
      </c>
      <c r="C32" s="18">
        <v>3</v>
      </c>
      <c r="D32" s="18">
        <v>1</v>
      </c>
      <c r="E32" s="18">
        <v>4</v>
      </c>
    </row>
    <row r="33" spans="2:5" x14ac:dyDescent="0.25">
      <c r="B33" s="17" t="s">
        <v>80</v>
      </c>
      <c r="C33" s="18">
        <v>4</v>
      </c>
      <c r="D33" s="18"/>
      <c r="E33" s="18">
        <v>4</v>
      </c>
    </row>
    <row r="34" spans="2:5" x14ac:dyDescent="0.25">
      <c r="B34" s="17" t="s">
        <v>62</v>
      </c>
      <c r="C34" s="18">
        <v>4</v>
      </c>
      <c r="D34" s="18"/>
      <c r="E34" s="18">
        <v>4</v>
      </c>
    </row>
    <row r="35" spans="2:5" x14ac:dyDescent="0.25">
      <c r="B35" s="17" t="s">
        <v>102</v>
      </c>
      <c r="C35" s="18">
        <v>3</v>
      </c>
      <c r="D35" s="18"/>
      <c r="E35" s="18">
        <v>3</v>
      </c>
    </row>
    <row r="36" spans="2:5" x14ac:dyDescent="0.25">
      <c r="B36" s="17" t="s">
        <v>93</v>
      </c>
      <c r="C36" s="18">
        <v>2</v>
      </c>
      <c r="D36" s="18">
        <v>1</v>
      </c>
      <c r="E36" s="18">
        <v>3</v>
      </c>
    </row>
    <row r="37" spans="2:5" x14ac:dyDescent="0.25">
      <c r="B37" s="17" t="s">
        <v>99</v>
      </c>
      <c r="C37" s="18">
        <v>2</v>
      </c>
      <c r="D37" s="18">
        <v>1</v>
      </c>
      <c r="E37" s="18">
        <v>3</v>
      </c>
    </row>
    <row r="38" spans="2:5" x14ac:dyDescent="0.25">
      <c r="B38" s="17" t="s">
        <v>70</v>
      </c>
      <c r="C38" s="18">
        <v>2</v>
      </c>
      <c r="D38" s="18"/>
      <c r="E38" s="18">
        <v>2</v>
      </c>
    </row>
    <row r="39" spans="2:5" x14ac:dyDescent="0.25">
      <c r="B39" s="17" t="s">
        <v>87</v>
      </c>
      <c r="C39" s="18">
        <v>1</v>
      </c>
      <c r="D39" s="18">
        <v>1</v>
      </c>
      <c r="E39" s="18">
        <v>2</v>
      </c>
    </row>
    <row r="40" spans="2:5" x14ac:dyDescent="0.25">
      <c r="B40" s="17" t="s">
        <v>14</v>
      </c>
      <c r="C40" s="18">
        <v>1</v>
      </c>
      <c r="D40" s="18"/>
      <c r="E40" s="18">
        <v>1</v>
      </c>
    </row>
    <row r="41" spans="2:5" x14ac:dyDescent="0.25">
      <c r="B41" s="17" t="s">
        <v>238</v>
      </c>
      <c r="C41" s="18">
        <v>1</v>
      </c>
      <c r="D41" s="18"/>
      <c r="E41" s="18">
        <v>1</v>
      </c>
    </row>
    <row r="42" spans="2:5" x14ac:dyDescent="0.25">
      <c r="B42" s="17" t="s">
        <v>71</v>
      </c>
      <c r="C42" s="18">
        <v>1</v>
      </c>
      <c r="D42" s="18"/>
      <c r="E42" s="18">
        <v>1</v>
      </c>
    </row>
    <row r="43" spans="2:5" x14ac:dyDescent="0.25">
      <c r="B43" s="17" t="s">
        <v>10</v>
      </c>
      <c r="C43" s="18">
        <v>1</v>
      </c>
      <c r="D43" s="18"/>
      <c r="E43" s="18">
        <v>1</v>
      </c>
    </row>
    <row r="44" spans="2:5" x14ac:dyDescent="0.25">
      <c r="B44" s="17" t="s">
        <v>1680</v>
      </c>
      <c r="C44" s="18">
        <v>31</v>
      </c>
      <c r="D44" s="18">
        <v>7</v>
      </c>
      <c r="E44" s="18">
        <v>38</v>
      </c>
    </row>
    <row r="51" spans="2:17" x14ac:dyDescent="0.25">
      <c r="B51" s="14" t="s">
        <v>0</v>
      </c>
      <c r="C51" t="s">
        <v>9</v>
      </c>
    </row>
    <row r="52" spans="2:17" x14ac:dyDescent="0.25">
      <c r="B52" s="14" t="s">
        <v>1677</v>
      </c>
      <c r="C52" s="17">
        <v>2026</v>
      </c>
    </row>
    <row r="54" spans="2:17" x14ac:dyDescent="0.25">
      <c r="B54" s="14" t="s">
        <v>1683</v>
      </c>
      <c r="C54" s="14" t="s">
        <v>1681</v>
      </c>
    </row>
    <row r="55" spans="2:17" x14ac:dyDescent="0.25">
      <c r="C55" t="s">
        <v>15</v>
      </c>
      <c r="P55" t="s">
        <v>1829</v>
      </c>
      <c r="Q55" t="s">
        <v>1680</v>
      </c>
    </row>
    <row r="56" spans="2:17" x14ac:dyDescent="0.25">
      <c r="B56" s="14" t="s">
        <v>1679</v>
      </c>
      <c r="C56" t="s">
        <v>70</v>
      </c>
      <c r="D56" t="s">
        <v>87</v>
      </c>
      <c r="E56" t="s">
        <v>80</v>
      </c>
      <c r="F56" t="s">
        <v>238</v>
      </c>
      <c r="G56" t="s">
        <v>62</v>
      </c>
      <c r="H56" t="s">
        <v>82</v>
      </c>
      <c r="I56" t="s">
        <v>99</v>
      </c>
      <c r="J56" t="s">
        <v>71</v>
      </c>
      <c r="K56" t="s">
        <v>153</v>
      </c>
      <c r="L56" t="s">
        <v>10</v>
      </c>
      <c r="M56" t="s">
        <v>14</v>
      </c>
      <c r="N56" t="s">
        <v>102</v>
      </c>
      <c r="O56" t="s">
        <v>93</v>
      </c>
    </row>
    <row r="57" spans="2:17" x14ac:dyDescent="0.25">
      <c r="B57" s="39">
        <v>46029</v>
      </c>
      <c r="C57" s="18"/>
      <c r="D57" s="18">
        <v>1</v>
      </c>
      <c r="E57" s="18">
        <v>1</v>
      </c>
      <c r="F57" s="18"/>
      <c r="G57" s="18"/>
      <c r="H57" s="18"/>
      <c r="I57" s="18"/>
      <c r="J57" s="18"/>
      <c r="K57" s="18"/>
      <c r="L57" s="18"/>
      <c r="M57" s="18"/>
      <c r="N57" s="18">
        <v>1</v>
      </c>
      <c r="O57" s="18"/>
      <c r="P57" s="18">
        <v>3</v>
      </c>
      <c r="Q57" s="18">
        <v>3</v>
      </c>
    </row>
    <row r="58" spans="2:17" x14ac:dyDescent="0.25">
      <c r="B58" s="39">
        <v>46038</v>
      </c>
      <c r="C58" s="18"/>
      <c r="D58" s="18"/>
      <c r="E58" s="18"/>
      <c r="F58" s="18"/>
      <c r="G58" s="18">
        <v>1</v>
      </c>
      <c r="H58" s="18">
        <v>1</v>
      </c>
      <c r="I58" s="18"/>
      <c r="J58" s="18"/>
      <c r="K58" s="18"/>
      <c r="L58" s="18"/>
      <c r="M58" s="18"/>
      <c r="N58" s="18"/>
      <c r="O58" s="18"/>
      <c r="P58" s="18">
        <v>2</v>
      </c>
      <c r="Q58" s="18">
        <v>2</v>
      </c>
    </row>
    <row r="59" spans="2:17" x14ac:dyDescent="0.25">
      <c r="B59" s="39">
        <v>46050</v>
      </c>
      <c r="C59" s="18"/>
      <c r="D59" s="18"/>
      <c r="E59" s="18"/>
      <c r="F59" s="18"/>
      <c r="G59" s="18"/>
      <c r="H59" s="18"/>
      <c r="I59" s="18"/>
      <c r="J59" s="18">
        <v>1</v>
      </c>
      <c r="K59" s="18"/>
      <c r="L59" s="18"/>
      <c r="M59" s="18"/>
      <c r="N59" s="18"/>
      <c r="O59" s="18"/>
      <c r="P59" s="18">
        <v>1</v>
      </c>
      <c r="Q59" s="18">
        <v>1</v>
      </c>
    </row>
    <row r="60" spans="2:17" x14ac:dyDescent="0.25">
      <c r="B60" s="39">
        <v>46057</v>
      </c>
      <c r="C60" s="18"/>
      <c r="D60" s="18"/>
      <c r="E60" s="18">
        <v>1</v>
      </c>
      <c r="F60" s="18"/>
      <c r="G60" s="18"/>
      <c r="H60" s="18"/>
      <c r="I60" s="18"/>
      <c r="J60" s="18"/>
      <c r="K60" s="18">
        <v>1</v>
      </c>
      <c r="L60" s="18"/>
      <c r="M60" s="18"/>
      <c r="N60" s="18"/>
      <c r="O60" s="18">
        <v>1</v>
      </c>
      <c r="P60" s="18">
        <v>3</v>
      </c>
      <c r="Q60" s="18">
        <v>3</v>
      </c>
    </row>
    <row r="61" spans="2:17" x14ac:dyDescent="0.25">
      <c r="B61" s="39">
        <v>46065</v>
      </c>
      <c r="C61" s="18"/>
      <c r="D61" s="18"/>
      <c r="E61" s="18"/>
      <c r="F61" s="18"/>
      <c r="G61" s="18"/>
      <c r="H61" s="18"/>
      <c r="I61" s="18"/>
      <c r="J61" s="18"/>
      <c r="K61" s="18">
        <v>1</v>
      </c>
      <c r="L61" s="18"/>
      <c r="M61" s="18"/>
      <c r="N61" s="18"/>
      <c r="O61" s="18"/>
      <c r="P61" s="18">
        <v>1</v>
      </c>
      <c r="Q61" s="18">
        <v>1</v>
      </c>
    </row>
    <row r="62" spans="2:17" x14ac:dyDescent="0.25">
      <c r="B62" s="39">
        <v>46078</v>
      </c>
      <c r="C62" s="18"/>
      <c r="D62" s="18"/>
      <c r="E62" s="18"/>
      <c r="F62" s="18"/>
      <c r="G62" s="18"/>
      <c r="H62" s="18"/>
      <c r="I62" s="18">
        <v>1</v>
      </c>
      <c r="J62" s="18"/>
      <c r="K62" s="18"/>
      <c r="L62" s="18"/>
      <c r="M62" s="18"/>
      <c r="N62" s="18"/>
      <c r="O62" s="18"/>
      <c r="P62" s="18">
        <v>1</v>
      </c>
      <c r="Q62" s="18">
        <v>1</v>
      </c>
    </row>
    <row r="63" spans="2:17" x14ac:dyDescent="0.25">
      <c r="B63" s="39">
        <v>46079</v>
      </c>
      <c r="C63" s="18"/>
      <c r="D63" s="18"/>
      <c r="E63" s="18"/>
      <c r="F63" s="18"/>
      <c r="G63" s="18"/>
      <c r="H63" s="18"/>
      <c r="I63" s="18">
        <v>1</v>
      </c>
      <c r="J63" s="18"/>
      <c r="K63" s="18"/>
      <c r="L63" s="18"/>
      <c r="M63" s="18"/>
      <c r="N63" s="18"/>
      <c r="O63" s="18"/>
      <c r="P63" s="18">
        <v>1</v>
      </c>
      <c r="Q63" s="18">
        <v>1</v>
      </c>
    </row>
    <row r="64" spans="2:17" x14ac:dyDescent="0.25">
      <c r="B64" s="39">
        <v>46093</v>
      </c>
      <c r="C64" s="18"/>
      <c r="D64" s="18"/>
      <c r="E64" s="18"/>
      <c r="F64" s="18"/>
      <c r="G64" s="18">
        <v>1</v>
      </c>
      <c r="H64" s="18"/>
      <c r="I64" s="18"/>
      <c r="J64" s="18"/>
      <c r="K64" s="18"/>
      <c r="L64" s="18">
        <v>1</v>
      </c>
      <c r="M64" s="18"/>
      <c r="N64" s="18"/>
      <c r="O64" s="18"/>
      <c r="P64" s="18">
        <v>2</v>
      </c>
      <c r="Q64" s="18">
        <v>2</v>
      </c>
    </row>
    <row r="65" spans="2:17" x14ac:dyDescent="0.25">
      <c r="B65" s="39">
        <v>46098</v>
      </c>
      <c r="C65" s="18">
        <v>1</v>
      </c>
      <c r="D65" s="18"/>
      <c r="E65" s="18"/>
      <c r="F65" s="18">
        <v>1</v>
      </c>
      <c r="G65" s="18">
        <v>1</v>
      </c>
      <c r="H65" s="18"/>
      <c r="I65" s="18"/>
      <c r="J65" s="18"/>
      <c r="K65" s="18"/>
      <c r="L65" s="18"/>
      <c r="M65" s="18"/>
      <c r="N65" s="18"/>
      <c r="O65" s="18"/>
      <c r="P65" s="18">
        <v>3</v>
      </c>
      <c r="Q65" s="18">
        <v>3</v>
      </c>
    </row>
    <row r="66" spans="2:17" x14ac:dyDescent="0.25">
      <c r="B66" s="39">
        <v>46101</v>
      </c>
      <c r="C66" s="18"/>
      <c r="D66" s="18"/>
      <c r="E66" s="18">
        <v>1</v>
      </c>
      <c r="F66" s="18"/>
      <c r="G66" s="18"/>
      <c r="H66" s="18"/>
      <c r="I66" s="18"/>
      <c r="J66" s="18"/>
      <c r="K66" s="18"/>
      <c r="L66" s="18"/>
      <c r="M66" s="18"/>
      <c r="N66" s="18"/>
      <c r="O66" s="18"/>
      <c r="P66" s="18">
        <v>1</v>
      </c>
      <c r="Q66" s="18">
        <v>1</v>
      </c>
    </row>
    <row r="67" spans="2:17" x14ac:dyDescent="0.25">
      <c r="B67" s="39">
        <v>46119</v>
      </c>
      <c r="C67" s="18"/>
      <c r="D67" s="18"/>
      <c r="E67" s="18"/>
      <c r="F67" s="18"/>
      <c r="G67" s="18"/>
      <c r="H67" s="18">
        <v>2</v>
      </c>
      <c r="I67" s="18"/>
      <c r="J67" s="18"/>
      <c r="K67" s="18"/>
      <c r="L67" s="18"/>
      <c r="M67" s="18"/>
      <c r="N67" s="18"/>
      <c r="O67" s="18"/>
      <c r="P67" s="18">
        <v>2</v>
      </c>
      <c r="Q67" s="18">
        <v>2</v>
      </c>
    </row>
    <row r="68" spans="2:17" x14ac:dyDescent="0.25">
      <c r="B68" s="39">
        <v>46121</v>
      </c>
      <c r="C68" s="18"/>
      <c r="D68" s="18"/>
      <c r="E68" s="18"/>
      <c r="F68" s="18"/>
      <c r="G68" s="18"/>
      <c r="H68" s="18">
        <v>1</v>
      </c>
      <c r="I68" s="18"/>
      <c r="J68" s="18"/>
      <c r="K68" s="18"/>
      <c r="L68" s="18"/>
      <c r="M68" s="18"/>
      <c r="N68" s="18"/>
      <c r="O68" s="18"/>
      <c r="P68" s="18">
        <v>1</v>
      </c>
      <c r="Q68" s="18">
        <v>1</v>
      </c>
    </row>
    <row r="69" spans="2:17" x14ac:dyDescent="0.25">
      <c r="B69" s="39">
        <v>46127</v>
      </c>
      <c r="C69" s="18"/>
      <c r="D69" s="18"/>
      <c r="E69" s="18"/>
      <c r="F69" s="18"/>
      <c r="G69" s="18"/>
      <c r="H69" s="18">
        <v>1</v>
      </c>
      <c r="I69" s="18"/>
      <c r="J69" s="18"/>
      <c r="K69" s="18">
        <v>1</v>
      </c>
      <c r="L69" s="18"/>
      <c r="M69" s="18"/>
      <c r="N69" s="18"/>
      <c r="O69" s="18"/>
      <c r="P69" s="18">
        <v>2</v>
      </c>
      <c r="Q69" s="18">
        <v>2</v>
      </c>
    </row>
    <row r="70" spans="2:17" x14ac:dyDescent="0.25">
      <c r="B70" s="39">
        <v>46153</v>
      </c>
      <c r="C70" s="18"/>
      <c r="D70" s="18"/>
      <c r="E70" s="18">
        <v>1</v>
      </c>
      <c r="F70" s="18"/>
      <c r="G70" s="18"/>
      <c r="H70" s="18"/>
      <c r="I70" s="18"/>
      <c r="J70" s="18"/>
      <c r="K70" s="18"/>
      <c r="L70" s="18"/>
      <c r="M70" s="18"/>
      <c r="N70" s="18"/>
      <c r="O70" s="18"/>
      <c r="P70" s="18">
        <v>1</v>
      </c>
      <c r="Q70" s="18">
        <v>1</v>
      </c>
    </row>
    <row r="71" spans="2:17" x14ac:dyDescent="0.25">
      <c r="B71" s="39">
        <v>46154</v>
      </c>
      <c r="C71" s="18">
        <v>1</v>
      </c>
      <c r="D71" s="18"/>
      <c r="E71" s="18"/>
      <c r="F71" s="18"/>
      <c r="G71" s="18">
        <v>1</v>
      </c>
      <c r="H71" s="18"/>
      <c r="I71" s="18"/>
      <c r="J71" s="18"/>
      <c r="K71" s="18"/>
      <c r="L71" s="18"/>
      <c r="M71" s="18"/>
      <c r="N71" s="18">
        <v>1</v>
      </c>
      <c r="O71" s="18"/>
      <c r="P71" s="18">
        <v>3</v>
      </c>
      <c r="Q71" s="18">
        <v>3</v>
      </c>
    </row>
    <row r="72" spans="2:17" x14ac:dyDescent="0.25">
      <c r="B72" s="39">
        <v>46160</v>
      </c>
      <c r="C72" s="18"/>
      <c r="D72" s="18"/>
      <c r="E72" s="18"/>
      <c r="F72" s="18"/>
      <c r="G72" s="18"/>
      <c r="H72" s="18">
        <v>1</v>
      </c>
      <c r="I72" s="18"/>
      <c r="J72" s="18"/>
      <c r="K72" s="18"/>
      <c r="L72" s="18"/>
      <c r="M72" s="18"/>
      <c r="N72" s="18">
        <v>1</v>
      </c>
      <c r="O72" s="18"/>
      <c r="P72" s="18">
        <v>2</v>
      </c>
      <c r="Q72" s="18">
        <v>2</v>
      </c>
    </row>
    <row r="73" spans="2:17" x14ac:dyDescent="0.25">
      <c r="B73" s="39">
        <v>46188</v>
      </c>
      <c r="C73" s="18"/>
      <c r="D73" s="18"/>
      <c r="E73" s="18"/>
      <c r="F73" s="18"/>
      <c r="G73" s="18"/>
      <c r="H73" s="18"/>
      <c r="I73" s="18"/>
      <c r="J73" s="18"/>
      <c r="K73" s="18"/>
      <c r="L73" s="18"/>
      <c r="M73" s="18"/>
      <c r="N73" s="18"/>
      <c r="O73" s="18">
        <v>1</v>
      </c>
      <c r="P73" s="18">
        <v>1</v>
      </c>
      <c r="Q73" s="18">
        <v>1</v>
      </c>
    </row>
    <row r="74" spans="2:17" x14ac:dyDescent="0.25">
      <c r="B74" s="39">
        <v>46197</v>
      </c>
      <c r="C74" s="18"/>
      <c r="D74" s="18"/>
      <c r="E74" s="18"/>
      <c r="F74" s="18"/>
      <c r="G74" s="18"/>
      <c r="H74" s="18"/>
      <c r="I74" s="18"/>
      <c r="J74" s="18"/>
      <c r="K74" s="18"/>
      <c r="L74" s="18"/>
      <c r="M74" s="18">
        <v>1</v>
      </c>
      <c r="N74" s="18"/>
      <c r="O74" s="18"/>
      <c r="P74" s="18">
        <v>1</v>
      </c>
      <c r="Q74" s="18">
        <v>1</v>
      </c>
    </row>
    <row r="75" spans="2:17" x14ac:dyDescent="0.25">
      <c r="B75" s="17" t="s">
        <v>1680</v>
      </c>
      <c r="C75" s="18">
        <v>2</v>
      </c>
      <c r="D75" s="18">
        <v>1</v>
      </c>
      <c r="E75" s="18">
        <v>4</v>
      </c>
      <c r="F75" s="18">
        <v>1</v>
      </c>
      <c r="G75" s="18">
        <v>4</v>
      </c>
      <c r="H75" s="18">
        <v>6</v>
      </c>
      <c r="I75" s="18">
        <v>2</v>
      </c>
      <c r="J75" s="18">
        <v>1</v>
      </c>
      <c r="K75" s="18">
        <v>3</v>
      </c>
      <c r="L75" s="18">
        <v>1</v>
      </c>
      <c r="M75" s="18">
        <v>1</v>
      </c>
      <c r="N75" s="18">
        <v>3</v>
      </c>
      <c r="O75" s="18">
        <v>2</v>
      </c>
      <c r="P75" s="18">
        <v>31</v>
      </c>
      <c r="Q75" s="18">
        <v>31</v>
      </c>
    </row>
  </sheetData>
  <pageMargins left="0.7" right="0.7" top="0.75" bottom="0.75" header="0.3" footer="0.3"/>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Data</vt:lpstr>
      <vt:lpstr>Pareto anual</vt:lpstr>
      <vt:lpstr>Pareto por cliente</vt:lpstr>
      <vt:lpstr>Tipo de fallas</vt:lpstr>
      <vt:lpstr>Mtto C-P</vt:lpstr>
      <vt:lpstr>Pareto Especifico</vt:lpstr>
      <vt:lpstr>Detalle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Anibal Aranda Alvarado</dc:creator>
  <cp:lastModifiedBy>Anibal Aranda Alvarado</cp:lastModifiedBy>
  <dcterms:created xsi:type="dcterms:W3CDTF">2026-07-27T15:25:00Z</dcterms:created>
  <dcterms:modified xsi:type="dcterms:W3CDTF">2026-08-12T21:14:49Z</dcterms:modified>
</cp:coreProperties>
</file>