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nques" sheetId="1" r:id="rId4"/>
    <sheet state="visible" name="Torre A" sheetId="2" r:id="rId5"/>
    <sheet state="visible" name="Torre B1" sheetId="3" r:id="rId6"/>
    <sheet state="visible" name="Torre B2" sheetId="4" r:id="rId7"/>
    <sheet state="visible" name="Torre C" sheetId="5" r:id="rId8"/>
    <sheet state="visible" name="Central Termica" sheetId="6" r:id="rId9"/>
    <sheet state="visible" name="Agragado" sheetId="7" r:id="rId10"/>
    <sheet state="visible" name="Boleta" sheetId="8" r:id="rId11"/>
  </sheets>
  <definedNames>
    <definedName hidden="1" localSheetId="7" name="_xlnm._FilterDatabase">Boleta!$A$1:$H$37</definedName>
  </definedNames>
  <calcPr/>
</workbook>
</file>

<file path=xl/sharedStrings.xml><?xml version="1.0" encoding="utf-8"?>
<sst xmlns="http://schemas.openxmlformats.org/spreadsheetml/2006/main" count="691" uniqueCount="74">
  <si>
    <t>dispositivo</t>
  </si>
  <si>
    <t>fecha</t>
  </si>
  <si>
    <t>Dias</t>
  </si>
  <si>
    <t>M3 dia</t>
  </si>
  <si>
    <t>tarifa</t>
  </si>
  <si>
    <t>Fecha y Hora de alerta</t>
  </si>
  <si>
    <t>M3 Alerta</t>
  </si>
  <si>
    <t>martesatriz Principal Bupa</t>
  </si>
  <si>
    <t>TOTAL</t>
  </si>
  <si>
    <t>PROMEDIO</t>
  </si>
  <si>
    <t>lunes</t>
  </si>
  <si>
    <t>martes</t>
  </si>
  <si>
    <t>miércoles</t>
  </si>
  <si>
    <t>jueves</t>
  </si>
  <si>
    <t>viernes</t>
  </si>
  <si>
    <t>sábado</t>
  </si>
  <si>
    <t>domingo</t>
  </si>
  <si>
    <t>Consumo total</t>
  </si>
  <si>
    <t xml:space="preserve">Promedio driario </t>
  </si>
  <si>
    <t>MAX</t>
  </si>
  <si>
    <t>MIN</t>
  </si>
  <si>
    <t>Consumo M3 por dia</t>
  </si>
  <si>
    <t>m3 dia</t>
  </si>
  <si>
    <t>Torre A Bupa</t>
  </si>
  <si>
    <t>Torre B1 Bupa</t>
  </si>
  <si>
    <t>Torre B2 Bupa</t>
  </si>
  <si>
    <t>Torre C Bupa</t>
  </si>
  <si>
    <t>Central Térmica Bupa</t>
  </si>
  <si>
    <t>Ranking</t>
  </si>
  <si>
    <t>Dispositivo</t>
  </si>
  <si>
    <t>Consumo total (m³)</t>
  </si>
  <si>
    <t>Promedio diario (m³)</t>
  </si>
  <si>
    <t>Llenado de Estanques</t>
  </si>
  <si>
    <t>Torre B2</t>
  </si>
  <si>
    <t>Torre B1</t>
  </si>
  <si>
    <t>Central Térmica</t>
  </si>
  <si>
    <t>50,3</t>
  </si>
  <si>
    <t>Torre C</t>
  </si>
  <si>
    <t>Torre A</t>
  </si>
  <si>
    <t>Mes/Año</t>
  </si>
  <si>
    <t>Fecha de lectura</t>
  </si>
  <si>
    <t>Consumo propio (m3)</t>
  </si>
  <si>
    <t>Consumo prorrateado (m3)</t>
  </si>
  <si>
    <t>Consumo total (m3)</t>
  </si>
  <si>
    <t>Límite de sobreconsumo (m3)</t>
  </si>
  <si>
    <t>Total sobreconsumo (m3)</t>
  </si>
  <si>
    <t>Observación</t>
  </si>
  <si>
    <t>LECTURA NORMAL</t>
  </si>
  <si>
    <t xml:space="preserve"> </t>
  </si>
  <si>
    <t>suma total</t>
  </si>
  <si>
    <t>I semestre 2023</t>
  </si>
  <si>
    <t>promedio mes</t>
  </si>
  <si>
    <t>II semestre 2023</t>
  </si>
  <si>
    <t>I semestre 2024</t>
  </si>
  <si>
    <t>min</t>
  </si>
  <si>
    <t>II semestre 2024</t>
  </si>
  <si>
    <t>max</t>
  </si>
  <si>
    <t>I semestre 2025</t>
  </si>
  <si>
    <t>II semestre 2025</t>
  </si>
  <si>
    <t>promedio</t>
  </si>
  <si>
    <t>enero-junio; segundo semestre: julio-diciembre)</t>
  </si>
  <si>
    <t xml:space="preserve">Mes facturacion </t>
  </si>
  <si>
    <t xml:space="preserve">periodo de consumo </t>
  </si>
  <si>
    <t>Registro AA</t>
  </si>
  <si>
    <t>Registro WES</t>
  </si>
  <si>
    <t xml:space="preserve">Diferencia </t>
  </si>
  <si>
    <t>CON  PROMEDIO DIARIO DE 330</t>
  </si>
  <si>
    <t>Octubre</t>
  </si>
  <si>
    <t>6 oct &lt;&gt; 7 nov</t>
  </si>
  <si>
    <t>Noviembre</t>
  </si>
  <si>
    <t>7 nov &lt;&gt; 6 dic</t>
  </si>
  <si>
    <t xml:space="preserve">Diciembre </t>
  </si>
  <si>
    <t xml:space="preserve">6 dic &lt;&gt; 2 enero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</si>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</sst>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0.0"/>
    <numFmt numFmtId="166" formatCode="#,##0.0"/>
    <numFmt numFmtId="167" formatCode="d-m-yyyy h:mm"/>
    <numFmt numFmtId="168" formatCode="dd-mm-yyyy h:mm"/>
    <numFmt numFmtId="169" formatCode="&quot;$&quot;#,##0.00"/>
    <numFmt numFmtId="170" formatCode="mmm/yyyy"/>
    <numFmt numFmtId="171" formatCode="dd/mm/yyyy"/>
  </numFmts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2" numFmtId="4" xfId="0" applyAlignment="1" applyBorder="1" applyFont="1" applyNumberFormat="1">
      <alignment horizontal="center"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164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readingOrder="0"/>
    </xf>
    <xf borderId="1" fillId="0" fontId="1" numFmtId="4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3" numFmtId="165" xfId="0" applyFont="1" applyNumberFormat="1"/>
    <xf borderId="1" fillId="0" fontId="3" numFmtId="165" xfId="0" applyAlignment="1" applyBorder="1" applyFont="1" applyNumberFormat="1">
      <alignment readingOrder="0"/>
    </xf>
    <xf borderId="1" fillId="0" fontId="3" numFmtId="0" xfId="0" applyBorder="1" applyFont="1"/>
    <xf borderId="1" fillId="0" fontId="3" numFmtId="1" xfId="0" applyBorder="1" applyFont="1" applyNumberFormat="1"/>
    <xf borderId="1" fillId="0" fontId="3" numFmtId="49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 shrinkToFit="0" vertical="bottom" wrapText="0"/>
    </xf>
    <xf borderId="1" fillId="0" fontId="3" numFmtId="3" xfId="0" applyBorder="1" applyFont="1" applyNumberFormat="1"/>
    <xf borderId="1" fillId="0" fontId="3" numFmtId="166" xfId="0" applyBorder="1" applyFont="1" applyNumberFormat="1"/>
    <xf borderId="1" fillId="0" fontId="3" numFmtId="4" xfId="0" applyBorder="1" applyFont="1" applyNumberFormat="1"/>
    <xf borderId="0" fillId="0" fontId="3" numFmtId="0" xfId="0" applyAlignment="1" applyFont="1">
      <alignment readingOrder="0"/>
    </xf>
    <xf borderId="0" fillId="0" fontId="3" numFmtId="4" xfId="0" applyFont="1" applyNumberFormat="1"/>
    <xf borderId="1" fillId="2" fontId="1" numFmtId="0" xfId="0" applyAlignment="1" applyBorder="1" applyFont="1">
      <alignment readingOrder="0" shrinkToFit="0" vertical="bottom" wrapText="0"/>
    </xf>
    <xf borderId="1" fillId="0" fontId="1" numFmtId="167" xfId="0" applyAlignment="1" applyBorder="1" applyFont="1" applyNumberFormat="1">
      <alignment readingOrder="0" shrinkToFit="0" vertical="bottom" wrapText="0"/>
    </xf>
    <xf borderId="1" fillId="0" fontId="1" numFmtId="3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3" numFmtId="165" xfId="0" applyBorder="1" applyFont="1" applyNumberFormat="1"/>
    <xf borderId="1" fillId="0" fontId="1" numFmtId="168" xfId="0" applyAlignment="1" applyBorder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1" numFmtId="1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3" numFmtId="1" xfId="0" applyAlignment="1" applyBorder="1" applyFont="1" applyNumberFormat="1">
      <alignment readingOrder="0"/>
    </xf>
    <xf borderId="1" fillId="0" fontId="3" numFmtId="2" xfId="0" applyBorder="1" applyFont="1" applyNumberFormat="1"/>
    <xf borderId="1" fillId="0" fontId="2" numFmtId="164" xfId="0" applyAlignment="1" applyBorder="1" applyFont="1" applyNumberFormat="1">
      <alignment readingOrder="0" shrinkToFit="0" vertical="bottom" wrapText="0"/>
    </xf>
    <xf borderId="1" fillId="3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0" fillId="0" fontId="3" numFmtId="169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70" xfId="0" applyAlignment="1" applyFont="1" applyNumberFormat="1">
      <alignment readingOrder="0" shrinkToFit="0" vertical="center" wrapText="0"/>
    </xf>
    <xf borderId="0" fillId="0" fontId="3" numFmtId="171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3" numFmtId="170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Font="1"/>
    <xf borderId="1" fillId="0" fontId="3" numFmtId="0" xfId="0" applyAlignment="1" applyBorder="1" applyFont="1">
      <alignment horizontal="center" readingOrder="0"/>
    </xf>
    <xf borderId="1" fillId="0" fontId="3" numFmtId="3" xfId="0" applyAlignment="1" applyBorder="1" applyFont="1" applyNumberFormat="1">
      <alignment horizontal="center" readingOrder="0"/>
    </xf>
    <xf borderId="1" fillId="0" fontId="3" numFmtId="10" xfId="0" applyAlignment="1" applyBorder="1" applyFont="1" applyNumberFormat="1">
      <alignment horizontal="center"/>
    </xf>
    <xf borderId="1" fillId="0" fontId="3" numFmtId="3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0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o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Estanque / consumo suma diario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Estanques!$I$4:$I$10</c:f>
            </c:strRef>
          </c:cat>
          <c:val>
            <c:numRef>
              <c:f>Estanques!$J$4:$J$10</c:f>
              <c:numCache/>
            </c:numRef>
          </c:val>
        </c:ser>
        <c:axId val="323553002"/>
        <c:axId val="1673113587"/>
      </c:barChart>
      <c:catAx>
        <c:axId val="323553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113587"/>
      </c:catAx>
      <c:valAx>
        <c:axId val="1673113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553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Estanque / consumo promedio diario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Estanques!$M$3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Estanques!$L$4:$L$10</c:f>
            </c:strRef>
          </c:cat>
          <c:val>
            <c:numRef>
              <c:f>Estanques!$M$4:$M$10</c:f>
              <c:numCache/>
            </c:numRef>
          </c:val>
        </c:ser>
        <c:axId val="2063100048"/>
        <c:axId val="2000019140"/>
      </c:barChart>
      <c:catAx>
        <c:axId val="2063100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019140"/>
      </c:catAx>
      <c:valAx>
        <c:axId val="2000019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promedio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100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Consumo M3 por dia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Estanques!$D$1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Estanques!$B$2:$B$77</c:f>
            </c:strRef>
          </c:cat>
          <c:val>
            <c:numRef>
              <c:f>Estanques!$D$2:$D$77</c:f>
              <c:numCache/>
            </c:numRef>
          </c:val>
          <c:smooth val="0"/>
        </c:ser>
        <c:axId val="1318285955"/>
        <c:axId val="2008138659"/>
      </c:lineChart>
      <c:catAx>
        <c:axId val="1318285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138659"/>
      </c:catAx>
      <c:valAx>
        <c:axId val="2008138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M3 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285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contra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'Torre A'!$J$2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'Torre A'!$I$3:$I$9</c:f>
            </c:strRef>
          </c:cat>
          <c:val>
            <c:numRef>
              <c:f>'Torre A'!$J$3:$J$9</c:f>
              <c:numCache/>
            </c:numRef>
          </c:val>
        </c:ser>
        <c:axId val="2021376625"/>
        <c:axId val="1421797251"/>
      </c:barChart>
      <c:catAx>
        <c:axId val="2021376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797251"/>
      </c:catAx>
      <c:valAx>
        <c:axId val="1421797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376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Torre A / consumo promedio diario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'Torre A'!$M$2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'Torre A'!$L$3:$L$9</c:f>
            </c:strRef>
          </c:cat>
          <c:val>
            <c:numRef>
              <c:f>'Torre A'!$M$3:$M$9</c:f>
              <c:numCache/>
            </c:numRef>
          </c:val>
        </c:ser>
        <c:axId val="860562389"/>
        <c:axId val="1601013392"/>
      </c:barChart>
      <c:catAx>
        <c:axId val="860562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013392"/>
      </c:catAx>
      <c:valAx>
        <c:axId val="1601013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promedio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5623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Consumo M3 por dia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'Torre A'!$D$1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'Torre A'!$B$2:$B$77</c:f>
            </c:strRef>
          </c:cat>
          <c:val>
            <c:numRef>
              <c:f>'Torre A'!$D$2:$D$77</c:f>
              <c:numCache/>
            </c:numRef>
          </c:val>
          <c:smooth val="0"/>
        </c:ser>
        <c:axId val="1793956049"/>
        <c:axId val="1197838964"/>
      </c:lineChart>
      <c:catAx>
        <c:axId val="1793956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m3 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838964"/>
      </c:catAx>
      <c:valAx>
        <c:axId val="1197838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3956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contra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'Torre B1'!$J$2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'Torre B1'!$I$3:$I$9</c:f>
            </c:strRef>
          </c:cat>
          <c:val>
            <c:numRef>
              <c:f>'Torre B1'!$J$3:$J$9</c:f>
              <c:numCache/>
            </c:numRef>
          </c:val>
        </c:ser>
        <c:axId val="580780059"/>
        <c:axId val="1012216325"/>
      </c:barChart>
      <c:catAx>
        <c:axId val="580780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2216325"/>
      </c:catAx>
      <c:valAx>
        <c:axId val="1012216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07800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Torre B1 / consumo promedio diario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'Torre B1'!$M$2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'Torre B1'!$L$3:$L$9</c:f>
            </c:strRef>
          </c:cat>
          <c:val>
            <c:numRef>
              <c:f>'Torre B1'!$M$3:$M$9</c:f>
              <c:numCache/>
            </c:numRef>
          </c:val>
        </c:ser>
        <c:axId val="695114910"/>
        <c:axId val="165730012"/>
      </c:barChart>
      <c:catAx>
        <c:axId val="695114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30012"/>
      </c:catAx>
      <c:valAx>
        <c:axId val="165730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promedio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114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Consumo M3 por dia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'Torre B1'!$D$1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'Torre B1'!$B$2:$B$77</c:f>
            </c:strRef>
          </c:cat>
          <c:val>
            <c:numRef>
              <c:f>'Torre B1'!$D$2:$D$77</c:f>
              <c:numCache/>
            </c:numRef>
          </c:val>
          <c:smooth val="0"/>
        </c:ser>
        <c:axId val="1176505822"/>
        <c:axId val="585293151"/>
      </c:lineChart>
      <c:catAx>
        <c:axId val="1176505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293151"/>
      </c:catAx>
      <c:valAx>
        <c:axId val="585293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m3 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6505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contra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'Torre B2'!$J$2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'Torre B2'!$I$3:$I$9</c:f>
            </c:strRef>
          </c:cat>
          <c:val>
            <c:numRef>
              <c:f>'Torre B2'!$J$3:$J$9</c:f>
              <c:numCache/>
            </c:numRef>
          </c:val>
        </c:ser>
        <c:axId val="1418473982"/>
        <c:axId val="1759281804"/>
      </c:barChart>
      <c:catAx>
        <c:axId val="1418473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281804"/>
      </c:catAx>
      <c:valAx>
        <c:axId val="1759281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473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Torre B2 / consumo promedio diario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'Torre B2'!$M$2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'Torre B2'!$L$3:$L$9</c:f>
            </c:strRef>
          </c:cat>
          <c:val>
            <c:numRef>
              <c:f>'Torre B2'!$M$3:$M$9</c:f>
              <c:numCache/>
            </c:numRef>
          </c:val>
        </c:ser>
        <c:axId val="737863482"/>
        <c:axId val="1602816739"/>
      </c:barChart>
      <c:catAx>
        <c:axId val="737863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816739"/>
      </c:catAx>
      <c:valAx>
        <c:axId val="1602816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promedio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863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Consumo M3 por dia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'Torre B2'!$D$1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'Torre B2'!$B$2:$B$77</c:f>
            </c:strRef>
          </c:cat>
          <c:val>
            <c:numRef>
              <c:f>'Torre B2'!$D$2:$D$77</c:f>
              <c:numCache/>
            </c:numRef>
          </c:val>
          <c:smooth val="0"/>
        </c:ser>
        <c:axId val="1218761427"/>
        <c:axId val="1545710591"/>
      </c:lineChart>
      <c:catAx>
        <c:axId val="1218761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710591"/>
      </c:catAx>
      <c:valAx>
        <c:axId val="1545710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m3 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761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contra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'Torre C'!$J$2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'Torre C'!$I$3:$I$9</c:f>
            </c:strRef>
          </c:cat>
          <c:val>
            <c:numRef>
              <c:f>'Torre C'!$J$3:$J$9</c:f>
              <c:numCache/>
            </c:numRef>
          </c:val>
        </c:ser>
        <c:axId val="389205777"/>
        <c:axId val="55104519"/>
      </c:barChart>
      <c:catAx>
        <c:axId val="389205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104519"/>
      </c:catAx>
      <c:valAx>
        <c:axId val="55104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205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Torre C / consumo promedio diario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'Torre C'!$M$2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'Torre C'!$L$3:$L$9</c:f>
            </c:strRef>
          </c:cat>
          <c:val>
            <c:numRef>
              <c:f>'Torre C'!$M$3:$M$9</c:f>
              <c:numCache/>
            </c:numRef>
          </c:val>
        </c:ser>
        <c:axId val="127438310"/>
        <c:axId val="398807227"/>
      </c:barChart>
      <c:catAx>
        <c:axId val="127438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807227"/>
      </c:catAx>
      <c:valAx>
        <c:axId val="3988072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promedio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438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Consumo M3 por dia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'Torre C'!$D$1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'Torre C'!$B$2:$B$77</c:f>
            </c:strRef>
          </c:cat>
          <c:val>
            <c:numRef>
              <c:f>'Torre C'!$D$2:$D$77</c:f>
              <c:numCache/>
            </c:numRef>
          </c:val>
          <c:smooth val="0"/>
        </c:ser>
        <c:axId val="170611186"/>
        <c:axId val="1866596862"/>
      </c:lineChart>
      <c:catAx>
        <c:axId val="170611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596862"/>
      </c:catAx>
      <c:valAx>
        <c:axId val="1866596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m3 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611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contra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'Central Termica'!$J$2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'Central Termica'!$I$3:$I$9</c:f>
            </c:strRef>
          </c:cat>
          <c:val>
            <c:numRef>
              <c:f>'Central Termica'!$J$3:$J$9</c:f>
              <c:numCache/>
            </c:numRef>
          </c:val>
        </c:ser>
        <c:axId val="1270687421"/>
        <c:axId val="1107666375"/>
      </c:barChart>
      <c:catAx>
        <c:axId val="1270687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666375"/>
      </c:catAx>
      <c:valAx>
        <c:axId val="1107666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687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térmica/ consumo promedio diario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'Central Termica'!$M$2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'Central Termica'!$L$3:$L$9</c:f>
            </c:strRef>
          </c:cat>
          <c:val>
            <c:numRef>
              <c:f>'Central Termica'!$M$3:$M$9</c:f>
              <c:numCache/>
            </c:numRef>
          </c:val>
        </c:ser>
        <c:axId val="50476299"/>
        <c:axId val="1259020725"/>
      </c:barChart>
      <c:catAx>
        <c:axId val="50476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020725"/>
      </c:catAx>
      <c:valAx>
        <c:axId val="1259020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promedio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76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Consumo M3 por dia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'Central Termica'!$D$1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'Central Termica'!$B$2:$B$77</c:f>
            </c:strRef>
          </c:cat>
          <c:val>
            <c:numRef>
              <c:f>'Central Termica'!$D$2:$D$77</c:f>
              <c:numCache/>
            </c:numRef>
          </c:val>
          <c:smooth val="0"/>
        </c:ser>
        <c:axId val="227966730"/>
        <c:axId val="1004878629"/>
      </c:lineChart>
      <c:catAx>
        <c:axId val="227966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878629"/>
      </c:catAx>
      <c:valAx>
        <c:axId val="1004878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m3 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966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Consumo total (m³) agregado </a:t>
            </a:r>
          </a:p>
        </c:rich>
      </c:tx>
      <c:layout>
        <c:manualLayout>
          <c:xMode val="edge"/>
          <c:yMode val="edge"/>
          <c:x val="0.03091666666666667"/>
          <c:y val="0.052695417789757414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Agragado!$C$2</c:f>
            </c:strRef>
          </c:tx>
          <c:dPt>
            <c:idx val="0"/>
            <c:spPr>
              <a:solidFill>
                <a:srgbClr val="1C4587"/>
              </a:solidFill>
            </c:spPr>
          </c:dPt>
          <c:dPt>
            <c:idx val="1"/>
            <c:spPr>
              <a:solidFill>
                <a:srgbClr val="1155CC"/>
              </a:solidFill>
            </c:spPr>
          </c:dPt>
          <c:dPt>
            <c:idx val="2"/>
            <c:spPr>
              <a:solidFill>
                <a:srgbClr val="3C78D8"/>
              </a:solidFill>
            </c:spPr>
          </c:dPt>
          <c:dPt>
            <c:idx val="3"/>
            <c:spPr>
              <a:solidFill>
                <a:srgbClr val="6D9EEB"/>
              </a:solidFill>
            </c:spPr>
          </c:dPt>
          <c:dPt>
            <c:idx val="4"/>
            <c:spPr>
              <a:solidFill>
                <a:srgbClr val="6D9EEB"/>
              </a:solidFill>
            </c:spPr>
          </c:dPt>
          <c:dPt>
            <c:idx val="5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Agragado!$B$3:$B$8</c:f>
            </c:strRef>
          </c:cat>
          <c:val>
            <c:numRef>
              <c:f>Agragado!$C$3:$C$8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Consumo total (m³)  por torre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C4587"/>
              </a:solidFill>
            </c:spPr>
          </c:dPt>
          <c:dPt>
            <c:idx val="1"/>
            <c:spPr>
              <a:solidFill>
                <a:srgbClr val="1155CC"/>
              </a:solidFill>
            </c:spPr>
          </c:dPt>
          <c:dPt>
            <c:idx val="2"/>
            <c:spPr>
              <a:solidFill>
                <a:srgbClr val="3C78D8"/>
              </a:solidFill>
            </c:spPr>
          </c:dPt>
          <c:dPt>
            <c:idx val="3"/>
            <c:spPr>
              <a:solidFill>
                <a:srgbClr val="6D9EEB"/>
              </a:solidFill>
            </c:spPr>
          </c:dPt>
          <c:dPt>
            <c:idx val="4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Agragado!$B$4:$B$8</c:f>
            </c:strRef>
          </c:cat>
          <c:val>
            <c:numRef>
              <c:f>Agragado!$C$4:$C$8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Consumo total (m3) contra Mes/Año (2023 -2025)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Boleta!$L$3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Boleta!$K$4:$K$39</c:f>
            </c:strRef>
          </c:cat>
          <c:val>
            <c:numRef>
              <c:f>Boleta!$L$4:$L$39</c:f>
              <c:numCache/>
            </c:numRef>
          </c:val>
        </c:ser>
        <c:axId val="652078553"/>
        <c:axId val="1473279796"/>
      </c:barChart>
      <c:catAx>
        <c:axId val="652078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Mes/Año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279796"/>
      </c:catAx>
      <c:valAx>
        <c:axId val="1473279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Consumo total (m3)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078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Gastos semestrales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Boleta!$S$4:$S$9</c:f>
            </c:strRef>
          </c:cat>
          <c:val>
            <c:numRef>
              <c:f>Boleta!$T$4:$T$9</c:f>
              <c:numCache/>
            </c:numRef>
          </c:val>
        </c:ser>
        <c:axId val="819340240"/>
        <c:axId val="636506792"/>
      </c:barChart>
      <c:catAx>
        <c:axId val="819340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506792"/>
      </c:catAx>
      <c:valAx>
        <c:axId val="636506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9340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15</xdr:row>
      <xdr:rowOff>76200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809625</xdr:colOff>
      <xdr:row>15</xdr:row>
      <xdr:rowOff>76200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704850</xdr:colOff>
      <xdr:row>35</xdr:row>
      <xdr:rowOff>114300</xdr:rowOff>
    </xdr:from>
    <xdr:ext cx="107442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361950</xdr:colOff>
      <xdr:row>22</xdr:row>
      <xdr:rowOff>114300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542925</xdr:colOff>
      <xdr:row>22</xdr:row>
      <xdr:rowOff>114300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361950</xdr:colOff>
      <xdr:row>44</xdr:row>
      <xdr:rowOff>142875</xdr:rowOff>
    </xdr:from>
    <xdr:ext cx="15668625" cy="39243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14</xdr:row>
      <xdr:rowOff>57150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361950</xdr:colOff>
      <xdr:row>14</xdr:row>
      <xdr:rowOff>57150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647700</xdr:colOff>
      <xdr:row>31</xdr:row>
      <xdr:rowOff>219075</xdr:rowOff>
    </xdr:from>
    <xdr:ext cx="10639425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695325</xdr:colOff>
      <xdr:row>22</xdr:row>
      <xdr:rowOff>123825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933450</xdr:colOff>
      <xdr:row>22</xdr:row>
      <xdr:rowOff>123825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866775</xdr:colOff>
      <xdr:row>42</xdr:row>
      <xdr:rowOff>38100</xdr:rowOff>
    </xdr:from>
    <xdr:ext cx="9896475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209550</xdr:colOff>
      <xdr:row>16</xdr:row>
      <xdr:rowOff>19050</xdr:rowOff>
    </xdr:from>
    <xdr:ext cx="571500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419100</xdr:colOff>
      <xdr:row>16</xdr:row>
      <xdr:rowOff>19050</xdr:rowOff>
    </xdr:from>
    <xdr:ext cx="5715000" cy="35337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371475</xdr:colOff>
      <xdr:row>33</xdr:row>
      <xdr:rowOff>171450</xdr:rowOff>
    </xdr:from>
    <xdr:ext cx="10467975" cy="35337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114300</xdr:colOff>
      <xdr:row>14</xdr:row>
      <xdr:rowOff>142875</xdr:rowOff>
    </xdr:from>
    <xdr:ext cx="5715000" cy="353377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342900</xdr:colOff>
      <xdr:row>14</xdr:row>
      <xdr:rowOff>142875</xdr:rowOff>
    </xdr:from>
    <xdr:ext cx="5715000" cy="3533775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161925</xdr:colOff>
      <xdr:row>34</xdr:row>
      <xdr:rowOff>200025</xdr:rowOff>
    </xdr:from>
    <xdr:ext cx="9534525" cy="3533775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9525</xdr:rowOff>
    </xdr:from>
    <xdr:ext cx="5715000" cy="3533775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18</xdr:row>
      <xdr:rowOff>190500</xdr:rowOff>
    </xdr:from>
    <xdr:ext cx="5715000" cy="3533775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38</xdr:row>
      <xdr:rowOff>66675</xdr:rowOff>
    </xdr:from>
    <xdr:ext cx="9829800" cy="3533775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971550</xdr:colOff>
      <xdr:row>10</xdr:row>
      <xdr:rowOff>76200</xdr:rowOff>
    </xdr:from>
    <xdr:ext cx="5715000" cy="3533775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H37" displayName="Tabla_1" name="Tabla_1" id="1">
  <autoFilter ref="$A$1:$H$37">
    <filterColumn colId="0">
      <filters>
        <filter val="Oct/2024"/>
        <filter val="Oct/2023"/>
        <filter val="Dec/2025"/>
        <filter val="Dec/2023"/>
        <filter val="Dec/2024"/>
        <filter val="Apr/2024"/>
        <filter val="Apr/2025"/>
        <filter val="Sep/2025"/>
        <filter val="Sep/2024"/>
        <filter val="Sep/2023"/>
        <filter val="May/2025"/>
        <filter val="May/2024"/>
        <filter val="Oct/2025"/>
        <filter val="May/2023"/>
        <filter val="Apr/2023"/>
        <filter val="Jun/2023"/>
        <filter val="Mar/2024"/>
        <filter val="Mar/2023"/>
        <filter val="Jun/2024"/>
        <filter val="Mar/2025"/>
        <filter val="Jun/2025"/>
        <filter val="Jan/2023"/>
        <filter val="Nov/2023"/>
        <filter val="Nov/2024"/>
        <filter val="Nov/2025"/>
        <filter val="Jul/2023"/>
        <filter val="Jul/2025"/>
        <filter val="Jul/2024"/>
        <filter val="Aug/2024"/>
        <filter val="Aug/2025"/>
        <filter val="Aug/2023"/>
        <filter val="Jan/2024"/>
        <filter val="Jan/2025"/>
        <filter val="Feb/2023"/>
        <filter val="Feb/2024"/>
        <filter val="Feb/2025"/>
      </filters>
    </filterColumn>
  </autoFilter>
  <tableColumns count="8">
    <tableColumn name="Mes/Año" id="1"/>
    <tableColumn name="Fecha de lectura" id="2"/>
    <tableColumn name="Consumo propio (m3)" id="3"/>
    <tableColumn name="Consumo prorrateado (m3)" id="4"/>
    <tableColumn name="Consumo total (m3)" id="5"/>
    <tableColumn name="Límite de sobreconsumo (m3)" id="6"/>
    <tableColumn name="Total sobreconsumo (m3)" id="7"/>
    <tableColumn name="Observación" id="8"/>
  </tableColumns>
  <tableStyleInfo name="Bo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2.0"/>
    <col customWidth="1" min="3" max="3" width="12.5"/>
    <col customWidth="1" min="6" max="6" width="24.38"/>
    <col customWidth="1" min="7" max="7" width="15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</row>
    <row r="2">
      <c r="A2" s="5" t="s">
        <v>7</v>
      </c>
      <c r="B2" s="6">
        <v>45945.0</v>
      </c>
      <c r="C2" s="7" t="str">
        <f t="shared" ref="C2:C77" si="1">TEXT(B2,"dddd")</f>
        <v>miércoles</v>
      </c>
      <c r="D2" s="8">
        <v>361.35</v>
      </c>
      <c r="E2" s="9">
        <v>0.0</v>
      </c>
      <c r="F2" s="10"/>
      <c r="G2" s="10"/>
    </row>
    <row r="3">
      <c r="A3" s="5" t="s">
        <v>7</v>
      </c>
      <c r="B3" s="6">
        <v>45946.0</v>
      </c>
      <c r="C3" s="7" t="str">
        <f t="shared" si="1"/>
        <v>jueves</v>
      </c>
      <c r="D3" s="8">
        <v>348.36</v>
      </c>
      <c r="E3" s="9">
        <v>0.0</v>
      </c>
      <c r="F3" s="10"/>
      <c r="G3" s="10"/>
      <c r="J3" s="7" t="s">
        <v>8</v>
      </c>
      <c r="L3" s="11"/>
      <c r="M3" s="12" t="s">
        <v>9</v>
      </c>
    </row>
    <row r="4">
      <c r="A4" s="5" t="s">
        <v>7</v>
      </c>
      <c r="B4" s="6">
        <v>45947.0</v>
      </c>
      <c r="C4" s="7" t="str">
        <f t="shared" si="1"/>
        <v>viernes</v>
      </c>
      <c r="D4" s="8">
        <v>363.25</v>
      </c>
      <c r="E4" s="9">
        <v>0.0</v>
      </c>
      <c r="F4" s="10"/>
      <c r="G4" s="10"/>
      <c r="I4" s="13" t="s">
        <v>10</v>
      </c>
      <c r="J4" s="14">
        <f t="shared" ref="J4:J10" si="2">SUMIF($C$2:$C$77,I4,$D$2:$D$77)</f>
        <v>4118.14</v>
      </c>
      <c r="L4" s="13" t="s">
        <v>10</v>
      </c>
      <c r="M4" s="14">
        <f t="shared" ref="M4:M10" si="3">AVERAGEIF($C$2:$C$77,L4,$D$2:$D$77)</f>
        <v>374.3763636</v>
      </c>
    </row>
    <row r="5">
      <c r="A5" s="5" t="s">
        <v>7</v>
      </c>
      <c r="B5" s="6">
        <v>45948.0</v>
      </c>
      <c r="C5" s="7" t="str">
        <f t="shared" si="1"/>
        <v>sábado</v>
      </c>
      <c r="D5" s="8">
        <v>179.37</v>
      </c>
      <c r="E5" s="9">
        <v>0.0</v>
      </c>
      <c r="F5" s="10"/>
      <c r="G5" s="10"/>
      <c r="I5" s="15" t="s">
        <v>11</v>
      </c>
      <c r="J5" s="14">
        <f t="shared" si="2"/>
        <v>3725.14</v>
      </c>
      <c r="L5" s="15" t="s">
        <v>11</v>
      </c>
      <c r="M5" s="14">
        <f t="shared" si="3"/>
        <v>372.514</v>
      </c>
    </row>
    <row r="6">
      <c r="A6" s="5" t="s">
        <v>7</v>
      </c>
      <c r="B6" s="6">
        <v>45949.0</v>
      </c>
      <c r="C6" s="7" t="str">
        <f t="shared" si="1"/>
        <v>domingo</v>
      </c>
      <c r="D6" s="8">
        <v>292.89</v>
      </c>
      <c r="E6" s="9">
        <v>0.0</v>
      </c>
      <c r="F6" s="10"/>
      <c r="G6" s="10"/>
      <c r="I6" s="7" t="s">
        <v>12</v>
      </c>
      <c r="J6" s="14">
        <f t="shared" si="2"/>
        <v>4165.02</v>
      </c>
      <c r="L6" s="7" t="s">
        <v>12</v>
      </c>
      <c r="M6" s="14">
        <f t="shared" si="3"/>
        <v>378.6381818</v>
      </c>
    </row>
    <row r="7">
      <c r="A7" s="5" t="s">
        <v>7</v>
      </c>
      <c r="B7" s="6">
        <v>45950.0</v>
      </c>
      <c r="C7" s="7" t="str">
        <f t="shared" si="1"/>
        <v>lunes</v>
      </c>
      <c r="D7" s="8">
        <v>361.29</v>
      </c>
      <c r="E7" s="9">
        <v>0.0</v>
      </c>
      <c r="F7" s="10"/>
      <c r="G7" s="10"/>
      <c r="I7" s="13" t="s">
        <v>13</v>
      </c>
      <c r="J7" s="14">
        <f t="shared" si="2"/>
        <v>4150.98</v>
      </c>
      <c r="L7" s="13" t="s">
        <v>13</v>
      </c>
      <c r="M7" s="14">
        <f t="shared" si="3"/>
        <v>377.3618182</v>
      </c>
    </row>
    <row r="8">
      <c r="A8" s="5" t="s">
        <v>7</v>
      </c>
      <c r="B8" s="6">
        <v>45951.0</v>
      </c>
      <c r="C8" s="7" t="str">
        <f t="shared" si="1"/>
        <v>martes</v>
      </c>
      <c r="D8" s="8">
        <v>348.09</v>
      </c>
      <c r="E8" s="9">
        <v>0.0</v>
      </c>
      <c r="F8" s="10"/>
      <c r="G8" s="10"/>
      <c r="I8" s="13" t="s">
        <v>14</v>
      </c>
      <c r="J8" s="14">
        <f t="shared" si="2"/>
        <v>4138.91</v>
      </c>
      <c r="L8" s="13" t="s">
        <v>14</v>
      </c>
      <c r="M8" s="14">
        <f t="shared" si="3"/>
        <v>376.2645455</v>
      </c>
    </row>
    <row r="9">
      <c r="A9" s="5" t="s">
        <v>7</v>
      </c>
      <c r="B9" s="6">
        <v>45952.0</v>
      </c>
      <c r="C9" s="7" t="str">
        <f t="shared" si="1"/>
        <v>miércoles</v>
      </c>
      <c r="D9" s="8">
        <v>342.87</v>
      </c>
      <c r="E9" s="9">
        <v>0.0</v>
      </c>
      <c r="F9" s="10"/>
      <c r="G9" s="10"/>
      <c r="I9" s="13" t="s">
        <v>15</v>
      </c>
      <c r="J9" s="14">
        <f t="shared" si="2"/>
        <v>3098.17</v>
      </c>
      <c r="L9" s="13" t="s">
        <v>15</v>
      </c>
      <c r="M9" s="14">
        <f t="shared" si="3"/>
        <v>281.6518182</v>
      </c>
    </row>
    <row r="10">
      <c r="A10" s="5" t="s">
        <v>7</v>
      </c>
      <c r="B10" s="6">
        <v>45953.0</v>
      </c>
      <c r="C10" s="7" t="str">
        <f t="shared" si="1"/>
        <v>jueves</v>
      </c>
      <c r="D10" s="8">
        <v>354.91</v>
      </c>
      <c r="E10" s="9">
        <v>0.0</v>
      </c>
      <c r="F10" s="10"/>
      <c r="G10" s="10"/>
      <c r="I10" s="7" t="s">
        <v>16</v>
      </c>
      <c r="J10" s="14">
        <f t="shared" si="2"/>
        <v>2741.07</v>
      </c>
      <c r="L10" s="7" t="s">
        <v>16</v>
      </c>
      <c r="M10" s="14">
        <f t="shared" si="3"/>
        <v>249.1881818</v>
      </c>
      <c r="O10" s="16"/>
      <c r="P10" s="16"/>
    </row>
    <row r="11">
      <c r="A11" s="5" t="s">
        <v>7</v>
      </c>
      <c r="B11" s="6">
        <v>45954.0</v>
      </c>
      <c r="C11" s="7" t="str">
        <f t="shared" si="1"/>
        <v>viernes</v>
      </c>
      <c r="D11" s="8">
        <v>359.3</v>
      </c>
      <c r="E11" s="9">
        <v>0.0</v>
      </c>
      <c r="F11" s="10"/>
      <c r="G11" s="10"/>
    </row>
    <row r="12">
      <c r="A12" s="5" t="s">
        <v>7</v>
      </c>
      <c r="B12" s="6">
        <v>45955.0</v>
      </c>
      <c r="C12" s="7" t="str">
        <f t="shared" si="1"/>
        <v>sábado</v>
      </c>
      <c r="D12" s="8">
        <v>306.59</v>
      </c>
      <c r="E12" s="9">
        <v>0.0</v>
      </c>
      <c r="F12" s="10"/>
      <c r="G12" s="10"/>
      <c r="I12" s="7" t="s">
        <v>17</v>
      </c>
      <c r="J12" s="17">
        <f>SUM($D$2:$D$77)</f>
        <v>26137.43</v>
      </c>
    </row>
    <row r="13">
      <c r="A13" s="5" t="s">
        <v>7</v>
      </c>
      <c r="B13" s="6">
        <v>45956.0</v>
      </c>
      <c r="C13" s="7" t="str">
        <f t="shared" si="1"/>
        <v>domingo</v>
      </c>
      <c r="D13" s="8">
        <v>281.27</v>
      </c>
      <c r="E13" s="9">
        <v>0.0</v>
      </c>
      <c r="F13" s="10"/>
      <c r="G13" s="10"/>
      <c r="I13" s="7" t="s">
        <v>18</v>
      </c>
      <c r="J13" s="18">
        <f>AVERAGE($D$2:$D$77)</f>
        <v>343.9135526</v>
      </c>
    </row>
    <row r="14">
      <c r="A14" s="5" t="s">
        <v>7</v>
      </c>
      <c r="B14" s="6">
        <v>45957.0</v>
      </c>
      <c r="C14" s="7" t="str">
        <f t="shared" si="1"/>
        <v>lunes</v>
      </c>
      <c r="D14" s="8">
        <v>375.9</v>
      </c>
      <c r="E14" s="9">
        <v>0.0</v>
      </c>
      <c r="F14" s="10"/>
      <c r="G14" s="10"/>
      <c r="I14" s="7" t="s">
        <v>19</v>
      </c>
      <c r="J14" s="19">
        <f>MAX($D$2:$D$77)</f>
        <v>524.19</v>
      </c>
    </row>
    <row r="15">
      <c r="A15" s="5" t="s">
        <v>7</v>
      </c>
      <c r="B15" s="6">
        <v>45958.0</v>
      </c>
      <c r="C15" s="7" t="str">
        <f t="shared" si="1"/>
        <v>martes</v>
      </c>
      <c r="D15" s="8">
        <v>374.7</v>
      </c>
      <c r="E15" s="9">
        <v>0.0</v>
      </c>
      <c r="F15" s="10"/>
      <c r="G15" s="10"/>
      <c r="I15" s="7" t="s">
        <v>20</v>
      </c>
      <c r="J15" s="19">
        <f>MIN($D$2:$D$77)</f>
        <v>149.68</v>
      </c>
    </row>
    <row r="16">
      <c r="A16" s="5" t="s">
        <v>7</v>
      </c>
      <c r="B16" s="6">
        <v>45959.0</v>
      </c>
      <c r="C16" s="7" t="str">
        <f t="shared" si="1"/>
        <v>miércoles</v>
      </c>
      <c r="D16" s="8">
        <v>402.6</v>
      </c>
      <c r="E16" s="9">
        <v>0.0</v>
      </c>
      <c r="F16" s="10"/>
      <c r="G16" s="10"/>
    </row>
    <row r="17">
      <c r="A17" s="5" t="s">
        <v>7</v>
      </c>
      <c r="B17" s="6">
        <v>45960.0</v>
      </c>
      <c r="C17" s="7" t="str">
        <f t="shared" si="1"/>
        <v>jueves</v>
      </c>
      <c r="D17" s="8">
        <v>368.59</v>
      </c>
      <c r="E17" s="9">
        <v>0.0</v>
      </c>
      <c r="F17" s="10"/>
      <c r="G17" s="10"/>
    </row>
    <row r="18">
      <c r="A18" s="5" t="s">
        <v>7</v>
      </c>
      <c r="B18" s="6">
        <v>45961.0</v>
      </c>
      <c r="C18" s="7" t="str">
        <f t="shared" si="1"/>
        <v>viernes</v>
      </c>
      <c r="D18" s="8">
        <v>230.23</v>
      </c>
      <c r="E18" s="9">
        <v>0.0</v>
      </c>
      <c r="F18" s="10"/>
      <c r="G18" s="10"/>
    </row>
    <row r="19">
      <c r="A19" s="5" t="s">
        <v>7</v>
      </c>
      <c r="B19" s="6">
        <v>45962.0</v>
      </c>
      <c r="C19" s="7" t="str">
        <f t="shared" si="1"/>
        <v>sábado</v>
      </c>
      <c r="D19" s="8">
        <v>220.85</v>
      </c>
      <c r="E19" s="9">
        <v>0.0</v>
      </c>
      <c r="F19" s="10"/>
      <c r="G19" s="10"/>
    </row>
    <row r="20">
      <c r="A20" s="5" t="s">
        <v>7</v>
      </c>
      <c r="B20" s="6">
        <v>45963.0</v>
      </c>
      <c r="C20" s="7" t="str">
        <f t="shared" si="1"/>
        <v>domingo</v>
      </c>
      <c r="D20" s="8">
        <v>282.2</v>
      </c>
      <c r="E20" s="9">
        <v>0.0</v>
      </c>
      <c r="F20" s="10"/>
      <c r="G20" s="10"/>
    </row>
    <row r="21">
      <c r="A21" s="5" t="s">
        <v>7</v>
      </c>
      <c r="B21" s="6">
        <v>45964.0</v>
      </c>
      <c r="C21" s="7" t="str">
        <f t="shared" si="1"/>
        <v>lunes</v>
      </c>
      <c r="D21" s="8">
        <v>355.19</v>
      </c>
      <c r="E21" s="9">
        <v>0.0</v>
      </c>
      <c r="F21" s="10"/>
      <c r="G21" s="10"/>
    </row>
    <row r="22">
      <c r="A22" s="5" t="s">
        <v>7</v>
      </c>
      <c r="B22" s="6">
        <v>45965.0</v>
      </c>
      <c r="C22" s="7" t="str">
        <f t="shared" si="1"/>
        <v>martes</v>
      </c>
      <c r="D22" s="8">
        <v>381.3</v>
      </c>
      <c r="E22" s="9">
        <v>0.0</v>
      </c>
      <c r="F22" s="10"/>
      <c r="G22" s="10"/>
    </row>
    <row r="23">
      <c r="A23" s="5" t="s">
        <v>7</v>
      </c>
      <c r="B23" s="6">
        <v>45966.0</v>
      </c>
      <c r="C23" s="7" t="str">
        <f t="shared" si="1"/>
        <v>miércoles</v>
      </c>
      <c r="D23" s="8">
        <v>491.53</v>
      </c>
      <c r="E23" s="9">
        <v>0.0</v>
      </c>
      <c r="F23" s="10"/>
      <c r="G23" s="10"/>
    </row>
    <row r="24">
      <c r="A24" s="5" t="s">
        <v>7</v>
      </c>
      <c r="B24" s="6">
        <v>45967.0</v>
      </c>
      <c r="C24" s="7" t="str">
        <f t="shared" si="1"/>
        <v>jueves</v>
      </c>
      <c r="D24" s="8">
        <v>338.37</v>
      </c>
      <c r="E24" s="9">
        <v>0.0</v>
      </c>
      <c r="F24" s="10"/>
      <c r="G24" s="10"/>
    </row>
    <row r="25">
      <c r="A25" s="5" t="s">
        <v>7</v>
      </c>
      <c r="B25" s="6">
        <v>45968.0</v>
      </c>
      <c r="C25" s="7" t="str">
        <f t="shared" si="1"/>
        <v>viernes</v>
      </c>
      <c r="D25" s="8">
        <v>334.52</v>
      </c>
      <c r="E25" s="9">
        <v>0.0</v>
      </c>
      <c r="F25" s="10"/>
      <c r="G25" s="10"/>
    </row>
    <row r="26">
      <c r="A26" s="5" t="s">
        <v>7</v>
      </c>
      <c r="B26" s="6">
        <v>45969.0</v>
      </c>
      <c r="C26" s="7" t="str">
        <f t="shared" si="1"/>
        <v>sábado</v>
      </c>
      <c r="D26" s="8">
        <v>305.46</v>
      </c>
      <c r="E26" s="9">
        <v>0.0</v>
      </c>
      <c r="F26" s="10"/>
      <c r="G26" s="10"/>
    </row>
    <row r="27">
      <c r="A27" s="5" t="s">
        <v>7</v>
      </c>
      <c r="B27" s="6">
        <v>45970.0</v>
      </c>
      <c r="C27" s="7" t="str">
        <f t="shared" si="1"/>
        <v>domingo</v>
      </c>
      <c r="D27" s="8">
        <v>154.44</v>
      </c>
      <c r="E27" s="9">
        <v>0.0</v>
      </c>
      <c r="F27" s="10"/>
      <c r="G27" s="10"/>
    </row>
    <row r="28">
      <c r="A28" s="5" t="s">
        <v>7</v>
      </c>
      <c r="B28" s="6">
        <v>45971.0</v>
      </c>
      <c r="C28" s="7" t="str">
        <f t="shared" si="1"/>
        <v>lunes</v>
      </c>
      <c r="D28" s="8">
        <v>426.14</v>
      </c>
      <c r="E28" s="9">
        <v>0.0</v>
      </c>
      <c r="F28" s="10"/>
      <c r="G28" s="10"/>
    </row>
    <row r="29">
      <c r="A29" s="5" t="s">
        <v>7</v>
      </c>
      <c r="B29" s="6">
        <v>45972.0</v>
      </c>
      <c r="C29" s="7" t="str">
        <f t="shared" si="1"/>
        <v>martes</v>
      </c>
      <c r="D29" s="8">
        <v>406.46</v>
      </c>
      <c r="E29" s="9">
        <v>0.0</v>
      </c>
      <c r="F29" s="10"/>
      <c r="G29" s="10"/>
    </row>
    <row r="30">
      <c r="A30" s="5" t="s">
        <v>7</v>
      </c>
      <c r="B30" s="6">
        <v>45973.0</v>
      </c>
      <c r="C30" s="7" t="str">
        <f t="shared" si="1"/>
        <v>miércoles</v>
      </c>
      <c r="D30" s="8">
        <v>364.93</v>
      </c>
      <c r="E30" s="9">
        <v>0.0</v>
      </c>
      <c r="F30" s="10"/>
      <c r="G30" s="10"/>
    </row>
    <row r="31">
      <c r="A31" s="5" t="s">
        <v>7</v>
      </c>
      <c r="B31" s="6">
        <v>45974.0</v>
      </c>
      <c r="C31" s="7" t="str">
        <f t="shared" si="1"/>
        <v>jueves</v>
      </c>
      <c r="D31" s="8">
        <v>373.51</v>
      </c>
      <c r="E31" s="9">
        <v>0.0</v>
      </c>
      <c r="F31" s="10"/>
      <c r="G31" s="10"/>
    </row>
    <row r="32">
      <c r="A32" s="5" t="s">
        <v>7</v>
      </c>
      <c r="B32" s="6">
        <v>45975.0</v>
      </c>
      <c r="C32" s="7" t="str">
        <f t="shared" si="1"/>
        <v>viernes</v>
      </c>
      <c r="D32" s="8">
        <v>351.52</v>
      </c>
      <c r="E32" s="9">
        <v>0.0</v>
      </c>
      <c r="F32" s="10"/>
      <c r="G32" s="10"/>
    </row>
    <row r="33">
      <c r="A33" s="5" t="s">
        <v>7</v>
      </c>
      <c r="B33" s="6">
        <v>45976.0</v>
      </c>
      <c r="C33" s="7" t="str">
        <f t="shared" si="1"/>
        <v>sábado</v>
      </c>
      <c r="D33" s="8">
        <v>175.6</v>
      </c>
      <c r="E33" s="9">
        <v>0.0</v>
      </c>
      <c r="F33" s="10"/>
      <c r="G33" s="10"/>
      <c r="K33" s="20" t="s">
        <v>21</v>
      </c>
    </row>
    <row r="34">
      <c r="A34" s="5" t="s">
        <v>7</v>
      </c>
      <c r="B34" s="6">
        <v>45977.0</v>
      </c>
      <c r="C34" s="7" t="str">
        <f t="shared" si="1"/>
        <v>domingo</v>
      </c>
      <c r="D34" s="8">
        <v>283.37</v>
      </c>
      <c r="E34" s="9">
        <v>0.0</v>
      </c>
      <c r="F34" s="10"/>
      <c r="G34" s="10"/>
    </row>
    <row r="35">
      <c r="A35" s="5" t="s">
        <v>7</v>
      </c>
      <c r="B35" s="6">
        <v>45978.0</v>
      </c>
      <c r="C35" s="7" t="str">
        <f t="shared" si="1"/>
        <v>lunes</v>
      </c>
      <c r="D35" s="8">
        <v>377.93</v>
      </c>
      <c r="E35" s="9">
        <v>0.0</v>
      </c>
      <c r="F35" s="10"/>
      <c r="G35" s="10"/>
    </row>
    <row r="36">
      <c r="A36" s="5" t="s">
        <v>7</v>
      </c>
      <c r="B36" s="6">
        <v>45979.0</v>
      </c>
      <c r="C36" s="7" t="str">
        <f t="shared" si="1"/>
        <v>martes</v>
      </c>
      <c r="D36" s="8">
        <v>381.23</v>
      </c>
      <c r="E36" s="9">
        <v>0.0</v>
      </c>
      <c r="F36" s="10"/>
      <c r="G36" s="10"/>
    </row>
    <row r="37">
      <c r="A37" s="5" t="s">
        <v>7</v>
      </c>
      <c r="B37" s="6">
        <v>45980.0</v>
      </c>
      <c r="C37" s="7" t="str">
        <f t="shared" si="1"/>
        <v>miércoles</v>
      </c>
      <c r="D37" s="8">
        <v>446.84</v>
      </c>
      <c r="E37" s="9">
        <v>0.0</v>
      </c>
      <c r="F37" s="10"/>
      <c r="G37" s="10"/>
    </row>
    <row r="38">
      <c r="A38" s="5" t="s">
        <v>7</v>
      </c>
      <c r="B38" s="6">
        <v>45981.0</v>
      </c>
      <c r="C38" s="7" t="str">
        <f t="shared" si="1"/>
        <v>jueves</v>
      </c>
      <c r="D38" s="8">
        <v>366.87</v>
      </c>
      <c r="E38" s="9">
        <v>0.0</v>
      </c>
      <c r="F38" s="10"/>
      <c r="G38" s="10"/>
    </row>
    <row r="39">
      <c r="A39" s="5" t="s">
        <v>7</v>
      </c>
      <c r="B39" s="6">
        <v>45982.0</v>
      </c>
      <c r="C39" s="7" t="str">
        <f t="shared" si="1"/>
        <v>viernes</v>
      </c>
      <c r="D39" s="8">
        <v>524.19</v>
      </c>
      <c r="E39" s="9">
        <v>0.0</v>
      </c>
      <c r="F39" s="10"/>
      <c r="G39" s="10"/>
    </row>
    <row r="40">
      <c r="A40" s="5" t="s">
        <v>7</v>
      </c>
      <c r="B40" s="6">
        <v>45983.0</v>
      </c>
      <c r="C40" s="7" t="str">
        <f t="shared" si="1"/>
        <v>sábado</v>
      </c>
      <c r="D40" s="8">
        <v>323.02</v>
      </c>
      <c r="E40" s="9">
        <v>0.0</v>
      </c>
      <c r="F40" s="10"/>
      <c r="G40" s="10"/>
    </row>
    <row r="41">
      <c r="A41" s="5" t="s">
        <v>7</v>
      </c>
      <c r="B41" s="6">
        <v>45984.0</v>
      </c>
      <c r="C41" s="7" t="str">
        <f t="shared" si="1"/>
        <v>domingo</v>
      </c>
      <c r="D41" s="8">
        <v>164.17</v>
      </c>
      <c r="E41" s="9">
        <v>0.0</v>
      </c>
      <c r="F41" s="10"/>
      <c r="G41" s="10"/>
    </row>
    <row r="42">
      <c r="A42" s="5" t="s">
        <v>7</v>
      </c>
      <c r="B42" s="6">
        <v>45985.0</v>
      </c>
      <c r="C42" s="7" t="str">
        <f t="shared" si="1"/>
        <v>lunes</v>
      </c>
      <c r="D42" s="8">
        <v>483.9</v>
      </c>
      <c r="E42" s="9">
        <v>0.0</v>
      </c>
      <c r="F42" s="10"/>
      <c r="G42" s="10"/>
    </row>
    <row r="43">
      <c r="A43" s="5" t="s">
        <v>7</v>
      </c>
      <c r="B43" s="6">
        <v>45986.0</v>
      </c>
      <c r="C43" s="7" t="str">
        <f t="shared" si="1"/>
        <v>martes</v>
      </c>
      <c r="D43" s="8">
        <v>361.6</v>
      </c>
      <c r="E43" s="9">
        <v>0.0</v>
      </c>
      <c r="F43" s="10"/>
      <c r="G43" s="10"/>
    </row>
    <row r="44">
      <c r="A44" s="5" t="s">
        <v>7</v>
      </c>
      <c r="B44" s="6">
        <v>45987.0</v>
      </c>
      <c r="C44" s="7" t="str">
        <f t="shared" si="1"/>
        <v>miércoles</v>
      </c>
      <c r="D44" s="8">
        <v>338.34</v>
      </c>
      <c r="E44" s="9">
        <v>0.0</v>
      </c>
      <c r="F44" s="10"/>
      <c r="G44" s="10"/>
    </row>
    <row r="45">
      <c r="A45" s="5" t="s">
        <v>7</v>
      </c>
      <c r="B45" s="6">
        <v>45988.0</v>
      </c>
      <c r="C45" s="7" t="str">
        <f t="shared" si="1"/>
        <v>jueves</v>
      </c>
      <c r="D45" s="8">
        <v>393.27</v>
      </c>
      <c r="E45" s="9">
        <v>0.0</v>
      </c>
      <c r="F45" s="10"/>
      <c r="G45" s="10"/>
    </row>
    <row r="46">
      <c r="A46" s="5" t="s">
        <v>7</v>
      </c>
      <c r="B46" s="6">
        <v>45989.0</v>
      </c>
      <c r="C46" s="7" t="str">
        <f t="shared" si="1"/>
        <v>viernes</v>
      </c>
      <c r="D46" s="8">
        <v>362.13</v>
      </c>
      <c r="E46" s="9">
        <v>0.0</v>
      </c>
      <c r="F46" s="10"/>
      <c r="G46" s="10"/>
    </row>
    <row r="47">
      <c r="A47" s="5" t="s">
        <v>7</v>
      </c>
      <c r="B47" s="6">
        <v>45990.0</v>
      </c>
      <c r="C47" s="7" t="str">
        <f t="shared" si="1"/>
        <v>sábado</v>
      </c>
      <c r="D47" s="8">
        <v>346.0</v>
      </c>
      <c r="E47" s="9">
        <v>0.0</v>
      </c>
      <c r="F47" s="10"/>
      <c r="G47" s="10"/>
    </row>
    <row r="48">
      <c r="A48" s="5" t="s">
        <v>7</v>
      </c>
      <c r="B48" s="6">
        <v>45991.0</v>
      </c>
      <c r="C48" s="7" t="str">
        <f t="shared" si="1"/>
        <v>domingo</v>
      </c>
      <c r="D48" s="8">
        <v>286.95</v>
      </c>
      <c r="E48" s="9">
        <v>0.0</v>
      </c>
      <c r="F48" s="10"/>
      <c r="G48" s="10"/>
    </row>
    <row r="49">
      <c r="A49" s="5" t="s">
        <v>7</v>
      </c>
      <c r="B49" s="6">
        <v>45992.0</v>
      </c>
      <c r="C49" s="7" t="str">
        <f t="shared" si="1"/>
        <v>lunes</v>
      </c>
      <c r="D49" s="8">
        <v>312.0</v>
      </c>
      <c r="E49" s="9">
        <v>0.0</v>
      </c>
      <c r="F49" s="10"/>
      <c r="G49" s="10"/>
    </row>
    <row r="50">
      <c r="A50" s="5" t="s">
        <v>7</v>
      </c>
      <c r="B50" s="6">
        <v>45993.0</v>
      </c>
      <c r="C50" s="7" t="str">
        <f t="shared" si="1"/>
        <v>martes</v>
      </c>
      <c r="D50" s="8">
        <v>329.82</v>
      </c>
      <c r="E50" s="9">
        <v>0.0</v>
      </c>
      <c r="F50" s="10"/>
      <c r="G50" s="10"/>
    </row>
    <row r="51">
      <c r="A51" s="5" t="s">
        <v>7</v>
      </c>
      <c r="B51" s="6">
        <v>45994.0</v>
      </c>
      <c r="C51" s="7" t="str">
        <f t="shared" si="1"/>
        <v>miércoles</v>
      </c>
      <c r="D51" s="8">
        <v>401.34</v>
      </c>
      <c r="E51" s="9">
        <v>0.0</v>
      </c>
      <c r="F51" s="10"/>
      <c r="G51" s="10"/>
    </row>
    <row r="52">
      <c r="A52" s="5" t="s">
        <v>7</v>
      </c>
      <c r="B52" s="6">
        <v>45995.0</v>
      </c>
      <c r="C52" s="7" t="str">
        <f t="shared" si="1"/>
        <v>jueves</v>
      </c>
      <c r="D52" s="8">
        <v>513.78</v>
      </c>
      <c r="E52" s="9">
        <v>0.0</v>
      </c>
      <c r="F52" s="10"/>
      <c r="G52" s="10"/>
    </row>
    <row r="53">
      <c r="A53" s="5" t="s">
        <v>7</v>
      </c>
      <c r="B53" s="6">
        <v>45996.0</v>
      </c>
      <c r="C53" s="7" t="str">
        <f t="shared" si="1"/>
        <v>viernes</v>
      </c>
      <c r="D53" s="8">
        <v>390.71</v>
      </c>
      <c r="E53" s="9">
        <v>0.0</v>
      </c>
      <c r="F53" s="10"/>
      <c r="G53" s="10"/>
    </row>
    <row r="54">
      <c r="A54" s="5" t="s">
        <v>7</v>
      </c>
      <c r="B54" s="6">
        <v>45997.0</v>
      </c>
      <c r="C54" s="7" t="str">
        <f t="shared" si="1"/>
        <v>sábado</v>
      </c>
      <c r="D54" s="8">
        <v>298.91</v>
      </c>
      <c r="E54" s="9">
        <v>0.0</v>
      </c>
      <c r="F54" s="10"/>
      <c r="G54" s="10"/>
    </row>
    <row r="55">
      <c r="A55" s="5" t="s">
        <v>7</v>
      </c>
      <c r="B55" s="6">
        <v>45998.0</v>
      </c>
      <c r="C55" s="7" t="str">
        <f t="shared" si="1"/>
        <v>domingo</v>
      </c>
      <c r="D55" s="8">
        <v>149.68</v>
      </c>
      <c r="E55" s="9">
        <v>0.0</v>
      </c>
      <c r="F55" s="10"/>
      <c r="G55" s="10"/>
    </row>
    <row r="56">
      <c r="A56" s="5" t="s">
        <v>7</v>
      </c>
      <c r="B56" s="6">
        <v>45999.0</v>
      </c>
      <c r="C56" s="7" t="str">
        <f t="shared" si="1"/>
        <v>lunes</v>
      </c>
      <c r="D56" s="8">
        <v>285.97</v>
      </c>
      <c r="E56" s="9">
        <v>0.0</v>
      </c>
      <c r="F56" s="10"/>
      <c r="G56" s="10"/>
    </row>
    <row r="57">
      <c r="A57" s="5" t="s">
        <v>7</v>
      </c>
      <c r="B57" s="6">
        <v>46000.0</v>
      </c>
      <c r="C57" s="7" t="str">
        <f t="shared" si="1"/>
        <v>martes</v>
      </c>
      <c r="D57" s="8">
        <v>409.96</v>
      </c>
      <c r="E57" s="9">
        <v>0.0</v>
      </c>
      <c r="F57" s="10"/>
      <c r="G57" s="10"/>
    </row>
    <row r="58">
      <c r="A58" s="5" t="s">
        <v>7</v>
      </c>
      <c r="B58" s="6">
        <v>46001.0</v>
      </c>
      <c r="C58" s="7" t="str">
        <f t="shared" si="1"/>
        <v>miércoles</v>
      </c>
      <c r="D58" s="8">
        <v>256.0</v>
      </c>
      <c r="E58" s="9">
        <v>0.0</v>
      </c>
      <c r="F58" s="10"/>
      <c r="G58" s="10"/>
    </row>
    <row r="59">
      <c r="A59" s="5" t="s">
        <v>7</v>
      </c>
      <c r="B59" s="6">
        <v>46002.0</v>
      </c>
      <c r="C59" s="7" t="str">
        <f t="shared" si="1"/>
        <v>jueves</v>
      </c>
      <c r="D59" s="8">
        <v>405.06</v>
      </c>
      <c r="E59" s="9">
        <v>0.0</v>
      </c>
      <c r="F59" s="10"/>
      <c r="G59" s="10"/>
    </row>
    <row r="60">
      <c r="A60" s="5" t="s">
        <v>7</v>
      </c>
      <c r="B60" s="6">
        <v>46003.0</v>
      </c>
      <c r="C60" s="7" t="str">
        <f t="shared" si="1"/>
        <v>viernes</v>
      </c>
      <c r="D60" s="8">
        <v>436.77</v>
      </c>
      <c r="E60" s="9">
        <v>0.0</v>
      </c>
      <c r="F60" s="10"/>
      <c r="G60" s="10"/>
    </row>
    <row r="61">
      <c r="A61" s="5" t="s">
        <v>7</v>
      </c>
      <c r="B61" s="6">
        <v>46004.0</v>
      </c>
      <c r="C61" s="7" t="str">
        <f t="shared" si="1"/>
        <v>sábado</v>
      </c>
      <c r="D61" s="8">
        <v>379.28</v>
      </c>
      <c r="E61" s="9">
        <v>0.0</v>
      </c>
      <c r="F61" s="10"/>
      <c r="G61" s="10"/>
    </row>
    <row r="62">
      <c r="A62" s="5" t="s">
        <v>7</v>
      </c>
      <c r="B62" s="6">
        <v>46005.0</v>
      </c>
      <c r="C62" s="7" t="str">
        <f t="shared" si="1"/>
        <v>domingo</v>
      </c>
      <c r="D62" s="8">
        <v>250.01</v>
      </c>
      <c r="E62" s="9">
        <v>0.0</v>
      </c>
      <c r="F62" s="10"/>
      <c r="G62" s="10"/>
    </row>
    <row r="63">
      <c r="A63" s="5" t="s">
        <v>7</v>
      </c>
      <c r="B63" s="6">
        <v>46006.0</v>
      </c>
      <c r="C63" s="7" t="str">
        <f t="shared" si="1"/>
        <v>lunes</v>
      </c>
      <c r="D63" s="8">
        <v>444.81</v>
      </c>
      <c r="E63" s="9">
        <v>0.0</v>
      </c>
      <c r="F63" s="10"/>
      <c r="G63" s="10"/>
    </row>
    <row r="64">
      <c r="A64" s="5" t="s">
        <v>7</v>
      </c>
      <c r="B64" s="6">
        <v>46007.0</v>
      </c>
      <c r="C64" s="7" t="str">
        <f t="shared" si="1"/>
        <v>martes</v>
      </c>
      <c r="D64" s="8">
        <v>447.18</v>
      </c>
      <c r="E64" s="9">
        <v>0.0</v>
      </c>
      <c r="F64" s="10"/>
      <c r="G64" s="10"/>
    </row>
    <row r="65">
      <c r="A65" s="5" t="s">
        <v>7</v>
      </c>
      <c r="B65" s="6">
        <v>46008.0</v>
      </c>
      <c r="C65" s="7" t="str">
        <f t="shared" si="1"/>
        <v>miércoles</v>
      </c>
      <c r="D65" s="8">
        <v>395.03</v>
      </c>
      <c r="E65" s="9">
        <v>0.0</v>
      </c>
      <c r="F65" s="10"/>
      <c r="G65" s="10"/>
    </row>
    <row r="66">
      <c r="A66" s="5" t="s">
        <v>7</v>
      </c>
      <c r="B66" s="6">
        <v>46009.0</v>
      </c>
      <c r="C66" s="7" t="str">
        <f t="shared" si="1"/>
        <v>jueves</v>
      </c>
      <c r="D66" s="8">
        <v>448.26</v>
      </c>
      <c r="E66" s="9">
        <v>0.0</v>
      </c>
      <c r="F66" s="10"/>
      <c r="G66" s="10"/>
    </row>
    <row r="67">
      <c r="A67" s="5" t="s">
        <v>7</v>
      </c>
      <c r="B67" s="6">
        <v>46010.0</v>
      </c>
      <c r="C67" s="7" t="str">
        <f t="shared" si="1"/>
        <v>viernes</v>
      </c>
      <c r="D67" s="8">
        <v>414.41</v>
      </c>
      <c r="E67" s="9">
        <v>0.0</v>
      </c>
      <c r="F67" s="10"/>
      <c r="G67" s="10"/>
    </row>
    <row r="68">
      <c r="A68" s="5" t="s">
        <v>7</v>
      </c>
      <c r="B68" s="6">
        <v>46011.0</v>
      </c>
      <c r="C68" s="7" t="str">
        <f t="shared" si="1"/>
        <v>sábado</v>
      </c>
      <c r="D68" s="8">
        <v>269.31</v>
      </c>
      <c r="E68" s="9">
        <v>0.0</v>
      </c>
      <c r="F68" s="10"/>
      <c r="G68" s="10"/>
    </row>
    <row r="69">
      <c r="A69" s="5" t="s">
        <v>7</v>
      </c>
      <c r="B69" s="6">
        <v>46012.0</v>
      </c>
      <c r="C69" s="7" t="str">
        <f t="shared" si="1"/>
        <v>domingo</v>
      </c>
      <c r="D69" s="8">
        <v>280.61</v>
      </c>
      <c r="E69" s="9">
        <v>0.0</v>
      </c>
      <c r="F69" s="10"/>
      <c r="G69" s="10"/>
    </row>
    <row r="70">
      <c r="A70" s="5" t="s">
        <v>7</v>
      </c>
      <c r="B70" s="6">
        <v>46013.0</v>
      </c>
      <c r="C70" s="7" t="str">
        <f t="shared" si="1"/>
        <v>lunes</v>
      </c>
      <c r="D70" s="8">
        <v>371.69</v>
      </c>
      <c r="E70" s="9">
        <v>0.0</v>
      </c>
      <c r="F70" s="10"/>
      <c r="G70" s="10"/>
    </row>
    <row r="71">
      <c r="A71" s="5" t="s">
        <v>7</v>
      </c>
      <c r="B71" s="6">
        <v>46014.0</v>
      </c>
      <c r="C71" s="7" t="str">
        <f t="shared" si="1"/>
        <v>martes</v>
      </c>
      <c r="D71" s="8">
        <v>284.8</v>
      </c>
      <c r="E71" s="9">
        <v>0.0</v>
      </c>
      <c r="F71" s="10"/>
      <c r="G71" s="10"/>
    </row>
    <row r="72">
      <c r="A72" s="5" t="s">
        <v>7</v>
      </c>
      <c r="B72" s="6">
        <v>46015.0</v>
      </c>
      <c r="C72" s="7" t="str">
        <f t="shared" si="1"/>
        <v>miércoles</v>
      </c>
      <c r="D72" s="8">
        <v>364.19</v>
      </c>
      <c r="E72" s="9">
        <v>0.0</v>
      </c>
      <c r="F72" s="10"/>
      <c r="G72" s="10"/>
    </row>
    <row r="73">
      <c r="A73" s="5" t="s">
        <v>7</v>
      </c>
      <c r="B73" s="6">
        <v>46016.0</v>
      </c>
      <c r="C73" s="7" t="str">
        <f t="shared" si="1"/>
        <v>jueves</v>
      </c>
      <c r="D73" s="8">
        <v>240.0</v>
      </c>
      <c r="E73" s="9">
        <v>0.0</v>
      </c>
      <c r="F73" s="10"/>
      <c r="G73" s="10"/>
    </row>
    <row r="74">
      <c r="A74" s="5" t="s">
        <v>7</v>
      </c>
      <c r="B74" s="6">
        <v>46017.0</v>
      </c>
      <c r="C74" s="7" t="str">
        <f t="shared" si="1"/>
        <v>viernes</v>
      </c>
      <c r="D74" s="8">
        <v>371.88</v>
      </c>
      <c r="E74" s="9">
        <v>0.0</v>
      </c>
    </row>
    <row r="75">
      <c r="A75" s="5" t="s">
        <v>7</v>
      </c>
      <c r="B75" s="6">
        <v>46018.0</v>
      </c>
      <c r="C75" s="7" t="str">
        <f t="shared" si="1"/>
        <v>sábado</v>
      </c>
      <c r="D75" s="8">
        <v>293.78</v>
      </c>
      <c r="E75" s="9">
        <v>0.0</v>
      </c>
    </row>
    <row r="76">
      <c r="A76" s="5" t="s">
        <v>7</v>
      </c>
      <c r="B76" s="6">
        <v>46019.0</v>
      </c>
      <c r="C76" s="7" t="str">
        <f t="shared" si="1"/>
        <v>domingo</v>
      </c>
      <c r="D76" s="8">
        <v>315.48</v>
      </c>
      <c r="E76" s="9">
        <v>0.0</v>
      </c>
    </row>
    <row r="77">
      <c r="A77" s="5" t="s">
        <v>7</v>
      </c>
      <c r="B77" s="6">
        <v>46020.0</v>
      </c>
      <c r="C77" s="7" t="str">
        <f t="shared" si="1"/>
        <v>lunes</v>
      </c>
      <c r="D77" s="8">
        <v>323.32</v>
      </c>
      <c r="E77" s="9">
        <v>0.0</v>
      </c>
    </row>
    <row r="78">
      <c r="D78" s="21"/>
    </row>
    <row r="79">
      <c r="D79" s="21"/>
    </row>
    <row r="80">
      <c r="D80" s="21"/>
    </row>
    <row r="81">
      <c r="D81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13"/>
  </cols>
  <sheetData>
    <row r="1">
      <c r="A1" s="22" t="s">
        <v>0</v>
      </c>
      <c r="B1" s="22" t="s">
        <v>1</v>
      </c>
      <c r="C1" s="2" t="s">
        <v>2</v>
      </c>
      <c r="D1" s="22" t="s">
        <v>22</v>
      </c>
      <c r="E1" s="22" t="s">
        <v>4</v>
      </c>
      <c r="F1" s="22" t="s">
        <v>5</v>
      </c>
      <c r="G1" s="22" t="s">
        <v>6</v>
      </c>
    </row>
    <row r="2">
      <c r="A2" s="5" t="s">
        <v>23</v>
      </c>
      <c r="B2" s="6">
        <v>45945.0</v>
      </c>
      <c r="C2" s="7" t="str">
        <f t="shared" ref="C2:C77" si="1">TEXT(B2,"dddd")</f>
        <v>miércoles</v>
      </c>
      <c r="D2" s="9">
        <v>0.89</v>
      </c>
      <c r="E2" s="9">
        <v>0.0</v>
      </c>
      <c r="F2" s="23">
        <v>45945.875</v>
      </c>
      <c r="G2" s="24">
        <v>11.0</v>
      </c>
      <c r="J2" s="7" t="s">
        <v>8</v>
      </c>
      <c r="L2" s="11"/>
      <c r="M2" s="12" t="s">
        <v>9</v>
      </c>
    </row>
    <row r="3">
      <c r="A3" s="5" t="s">
        <v>23</v>
      </c>
      <c r="B3" s="6">
        <v>45946.0</v>
      </c>
      <c r="C3" s="7" t="str">
        <f t="shared" si="1"/>
        <v>jueves</v>
      </c>
      <c r="D3" s="9">
        <v>1.68</v>
      </c>
      <c r="E3" s="9">
        <v>0.0</v>
      </c>
      <c r="F3" s="25"/>
      <c r="G3" s="10"/>
      <c r="I3" s="13" t="s">
        <v>10</v>
      </c>
      <c r="J3" s="13">
        <f t="shared" ref="J3:J9" si="2">SUMIF($C$2:$C$77,I3,$D$2:$D$77)</f>
        <v>14.68</v>
      </c>
      <c r="L3" s="13" t="s">
        <v>10</v>
      </c>
      <c r="M3" s="26">
        <f t="shared" ref="M3:M9" si="3">AVERAGEIF($C$2:$C$77,L3,$D$2:$D$77)</f>
        <v>1.334545455</v>
      </c>
    </row>
    <row r="4">
      <c r="A4" s="5" t="s">
        <v>23</v>
      </c>
      <c r="B4" s="6">
        <v>45947.0</v>
      </c>
      <c r="C4" s="7" t="str">
        <f t="shared" si="1"/>
        <v>viernes</v>
      </c>
      <c r="D4" s="9">
        <v>0.48</v>
      </c>
      <c r="E4" s="9">
        <v>0.0</v>
      </c>
      <c r="F4" s="23">
        <v>45947.375</v>
      </c>
      <c r="G4" s="24">
        <v>11.0</v>
      </c>
      <c r="I4" s="15" t="s">
        <v>11</v>
      </c>
      <c r="J4" s="13">
        <f t="shared" si="2"/>
        <v>25.24</v>
      </c>
      <c r="L4" s="15" t="s">
        <v>11</v>
      </c>
      <c r="M4" s="26">
        <f t="shared" si="3"/>
        <v>2.524</v>
      </c>
    </row>
    <row r="5">
      <c r="A5" s="5" t="s">
        <v>23</v>
      </c>
      <c r="B5" s="6">
        <v>45948.0</v>
      </c>
      <c r="C5" s="7" t="str">
        <f t="shared" si="1"/>
        <v>sábado</v>
      </c>
      <c r="D5" s="9">
        <v>0.19</v>
      </c>
      <c r="E5" s="9">
        <v>0.0</v>
      </c>
      <c r="F5" s="23">
        <v>45948.625</v>
      </c>
      <c r="G5" s="24">
        <v>11.0</v>
      </c>
      <c r="I5" s="7" t="s">
        <v>12</v>
      </c>
      <c r="J5" s="13">
        <f t="shared" si="2"/>
        <v>51.85</v>
      </c>
      <c r="L5" s="7" t="s">
        <v>12</v>
      </c>
      <c r="M5" s="26">
        <f t="shared" si="3"/>
        <v>4.713636364</v>
      </c>
    </row>
    <row r="6">
      <c r="A6" s="5" t="s">
        <v>23</v>
      </c>
      <c r="B6" s="6">
        <v>45949.0</v>
      </c>
      <c r="C6" s="7" t="str">
        <f t="shared" si="1"/>
        <v>domingo</v>
      </c>
      <c r="D6" s="9">
        <v>0.37</v>
      </c>
      <c r="E6" s="9">
        <v>0.0</v>
      </c>
      <c r="F6" s="25"/>
      <c r="G6" s="10"/>
      <c r="I6" s="13" t="s">
        <v>13</v>
      </c>
      <c r="J6" s="13">
        <f t="shared" si="2"/>
        <v>23.7</v>
      </c>
      <c r="L6" s="13" t="s">
        <v>13</v>
      </c>
      <c r="M6" s="26">
        <f t="shared" si="3"/>
        <v>2.154545455</v>
      </c>
    </row>
    <row r="7">
      <c r="A7" s="5" t="s">
        <v>23</v>
      </c>
      <c r="B7" s="6">
        <v>45950.0</v>
      </c>
      <c r="C7" s="7" t="str">
        <f t="shared" si="1"/>
        <v>lunes</v>
      </c>
      <c r="D7" s="9">
        <v>0.67</v>
      </c>
      <c r="E7" s="9">
        <v>0.0</v>
      </c>
      <c r="F7" s="25"/>
      <c r="G7" s="10"/>
      <c r="I7" s="13" t="s">
        <v>14</v>
      </c>
      <c r="J7" s="13">
        <f t="shared" si="2"/>
        <v>8.97</v>
      </c>
      <c r="L7" s="13" t="s">
        <v>14</v>
      </c>
      <c r="M7" s="26">
        <f t="shared" si="3"/>
        <v>0.8154545455</v>
      </c>
    </row>
    <row r="8">
      <c r="A8" s="5" t="s">
        <v>23</v>
      </c>
      <c r="B8" s="6">
        <v>45951.0</v>
      </c>
      <c r="C8" s="7" t="str">
        <f t="shared" si="1"/>
        <v>martes</v>
      </c>
      <c r="D8" s="9">
        <v>0.79</v>
      </c>
      <c r="E8" s="9">
        <v>0.0</v>
      </c>
      <c r="F8" s="25"/>
      <c r="G8" s="10"/>
      <c r="I8" s="13" t="s">
        <v>15</v>
      </c>
      <c r="J8" s="13">
        <f t="shared" si="2"/>
        <v>4.64</v>
      </c>
      <c r="L8" s="13" t="s">
        <v>15</v>
      </c>
      <c r="M8" s="26">
        <f t="shared" si="3"/>
        <v>0.4218181818</v>
      </c>
    </row>
    <row r="9">
      <c r="A9" s="5" t="s">
        <v>23</v>
      </c>
      <c r="B9" s="6">
        <v>45952.0</v>
      </c>
      <c r="C9" s="7" t="str">
        <f t="shared" si="1"/>
        <v>miércoles</v>
      </c>
      <c r="D9" s="9">
        <v>0.72</v>
      </c>
      <c r="E9" s="9">
        <v>0.0</v>
      </c>
      <c r="F9" s="23">
        <v>45952.333333333336</v>
      </c>
      <c r="G9" s="24">
        <v>11.0</v>
      </c>
      <c r="I9" s="7" t="s">
        <v>16</v>
      </c>
      <c r="J9" s="13">
        <f t="shared" si="2"/>
        <v>3.76</v>
      </c>
      <c r="L9" s="7" t="s">
        <v>16</v>
      </c>
      <c r="M9" s="26">
        <f t="shared" si="3"/>
        <v>0.3418181818</v>
      </c>
    </row>
    <row r="10">
      <c r="A10" s="5" t="s">
        <v>23</v>
      </c>
      <c r="B10" s="6">
        <v>45953.0</v>
      </c>
      <c r="C10" s="7" t="str">
        <f t="shared" si="1"/>
        <v>jueves</v>
      </c>
      <c r="D10" s="9">
        <v>0.66</v>
      </c>
      <c r="E10" s="9">
        <v>0.0</v>
      </c>
      <c r="F10" s="23">
        <v>45953.458333333336</v>
      </c>
      <c r="G10" s="24">
        <v>11.0</v>
      </c>
    </row>
    <row r="11">
      <c r="A11" s="5" t="s">
        <v>23</v>
      </c>
      <c r="B11" s="6">
        <v>45954.0</v>
      </c>
      <c r="C11" s="7" t="str">
        <f t="shared" si="1"/>
        <v>viernes</v>
      </c>
      <c r="D11" s="9">
        <v>1.53</v>
      </c>
      <c r="E11" s="9">
        <v>0.0</v>
      </c>
      <c r="F11" s="25"/>
      <c r="G11" s="10"/>
      <c r="I11" s="7" t="s">
        <v>17</v>
      </c>
      <c r="J11" s="13">
        <f>SUM($D$2:$D$77)</f>
        <v>132.84</v>
      </c>
    </row>
    <row r="12">
      <c r="A12" s="5" t="s">
        <v>23</v>
      </c>
      <c r="B12" s="6">
        <v>45955.0</v>
      </c>
      <c r="C12" s="7" t="str">
        <f t="shared" si="1"/>
        <v>sábado</v>
      </c>
      <c r="D12" s="9">
        <v>1.13</v>
      </c>
      <c r="E12" s="9">
        <v>0.0</v>
      </c>
      <c r="F12" s="23">
        <v>45955.375</v>
      </c>
      <c r="G12" s="24">
        <v>11.0</v>
      </c>
      <c r="I12" s="7" t="s">
        <v>18</v>
      </c>
      <c r="J12" s="26">
        <f>AVERAGE($D$2:$D$77)</f>
        <v>1.747894737</v>
      </c>
    </row>
    <row r="13">
      <c r="A13" s="5" t="s">
        <v>23</v>
      </c>
      <c r="B13" s="6">
        <v>45956.0</v>
      </c>
      <c r="C13" s="7" t="str">
        <f t="shared" si="1"/>
        <v>domingo</v>
      </c>
      <c r="D13" s="9">
        <v>0.18</v>
      </c>
      <c r="E13" s="9">
        <v>0.0</v>
      </c>
      <c r="F13" s="25"/>
      <c r="G13" s="10"/>
      <c r="I13" s="7" t="s">
        <v>19</v>
      </c>
      <c r="J13" s="13">
        <f>MAX($D$2:$D$77)</f>
        <v>28.35</v>
      </c>
    </row>
    <row r="14">
      <c r="A14" s="5" t="s">
        <v>23</v>
      </c>
      <c r="B14" s="6">
        <v>45957.0</v>
      </c>
      <c r="C14" s="7" t="str">
        <f t="shared" si="1"/>
        <v>lunes</v>
      </c>
      <c r="D14" s="9">
        <v>1.1</v>
      </c>
      <c r="E14" s="9">
        <v>0.0</v>
      </c>
      <c r="F14" s="25"/>
      <c r="G14" s="10"/>
      <c r="I14" s="7" t="s">
        <v>20</v>
      </c>
      <c r="J14" s="13">
        <f>MIN($D$2:$D$77)</f>
        <v>0.09</v>
      </c>
    </row>
    <row r="15">
      <c r="A15" s="5" t="s">
        <v>23</v>
      </c>
      <c r="B15" s="6">
        <v>45958.0</v>
      </c>
      <c r="C15" s="7" t="str">
        <f t="shared" si="1"/>
        <v>martes</v>
      </c>
      <c r="D15" s="9">
        <v>0.41</v>
      </c>
      <c r="E15" s="9">
        <v>0.0</v>
      </c>
      <c r="F15" s="23">
        <v>45958.541666666664</v>
      </c>
      <c r="G15" s="24">
        <v>11.0</v>
      </c>
    </row>
    <row r="16">
      <c r="A16" s="5" t="s">
        <v>23</v>
      </c>
      <c r="B16" s="6">
        <v>45959.0</v>
      </c>
      <c r="C16" s="7" t="str">
        <f t="shared" si="1"/>
        <v>miércoles</v>
      </c>
      <c r="D16" s="9">
        <v>0.42</v>
      </c>
      <c r="E16" s="9">
        <v>0.0</v>
      </c>
      <c r="F16" s="23">
        <v>45959.458333333336</v>
      </c>
      <c r="G16" s="24">
        <v>11.0</v>
      </c>
    </row>
    <row r="17">
      <c r="A17" s="5" t="s">
        <v>23</v>
      </c>
      <c r="B17" s="6">
        <v>45960.0</v>
      </c>
      <c r="C17" s="7" t="str">
        <f t="shared" si="1"/>
        <v>jueves</v>
      </c>
      <c r="D17" s="9">
        <v>1.6</v>
      </c>
      <c r="E17" s="9">
        <v>0.0</v>
      </c>
      <c r="F17" s="23">
        <v>45960.708333333336</v>
      </c>
      <c r="G17" s="24">
        <v>21.0</v>
      </c>
    </row>
    <row r="18">
      <c r="A18" s="5" t="s">
        <v>23</v>
      </c>
      <c r="B18" s="6">
        <v>45961.0</v>
      </c>
      <c r="C18" s="7" t="str">
        <f t="shared" si="1"/>
        <v>viernes</v>
      </c>
      <c r="D18" s="9">
        <v>0.21</v>
      </c>
      <c r="E18" s="9">
        <v>0.0</v>
      </c>
      <c r="F18" s="23">
        <v>45961.583333333336</v>
      </c>
      <c r="G18" s="24">
        <v>11.0</v>
      </c>
    </row>
    <row r="19">
      <c r="A19" s="5" t="s">
        <v>23</v>
      </c>
      <c r="B19" s="6">
        <v>45962.0</v>
      </c>
      <c r="C19" s="7" t="str">
        <f t="shared" si="1"/>
        <v>sábado</v>
      </c>
      <c r="D19" s="9">
        <v>0.19</v>
      </c>
      <c r="E19" s="9">
        <v>0.0</v>
      </c>
      <c r="F19" s="25"/>
      <c r="G19" s="10"/>
    </row>
    <row r="20">
      <c r="A20" s="5" t="s">
        <v>23</v>
      </c>
      <c r="B20" s="6">
        <v>45963.0</v>
      </c>
      <c r="C20" s="7" t="str">
        <f t="shared" si="1"/>
        <v>domingo</v>
      </c>
      <c r="D20" s="9">
        <v>0.26</v>
      </c>
      <c r="E20" s="9">
        <v>0.0</v>
      </c>
      <c r="F20" s="27">
        <v>45963.5</v>
      </c>
      <c r="G20" s="9">
        <v>0.06</v>
      </c>
    </row>
    <row r="21">
      <c r="A21" s="5" t="s">
        <v>23</v>
      </c>
      <c r="B21" s="6">
        <v>45964.0</v>
      </c>
      <c r="C21" s="7" t="str">
        <f t="shared" si="1"/>
        <v>lunes</v>
      </c>
      <c r="D21" s="9">
        <v>0.54</v>
      </c>
      <c r="E21" s="9">
        <v>0.0</v>
      </c>
      <c r="F21" s="27">
        <v>45964.666666666664</v>
      </c>
      <c r="G21" s="24">
        <v>111.0</v>
      </c>
    </row>
    <row r="22">
      <c r="A22" s="5" t="s">
        <v>23</v>
      </c>
      <c r="B22" s="6">
        <v>45965.0</v>
      </c>
      <c r="C22" s="7" t="str">
        <f t="shared" si="1"/>
        <v>martes</v>
      </c>
      <c r="D22" s="9">
        <v>15.1</v>
      </c>
      <c r="E22" s="9">
        <v>0.0</v>
      </c>
      <c r="F22" s="25"/>
      <c r="G22" s="10"/>
    </row>
    <row r="23">
      <c r="A23" s="5" t="s">
        <v>23</v>
      </c>
      <c r="B23" s="6">
        <v>45966.0</v>
      </c>
      <c r="C23" s="7" t="str">
        <f t="shared" si="1"/>
        <v>miércoles</v>
      </c>
      <c r="D23" s="9">
        <v>2.29</v>
      </c>
      <c r="E23" s="9">
        <v>0.0</v>
      </c>
      <c r="F23" s="27">
        <v>45966.875</v>
      </c>
      <c r="G23" s="24">
        <v>11.0</v>
      </c>
    </row>
    <row r="24">
      <c r="A24" s="5" t="s">
        <v>23</v>
      </c>
      <c r="B24" s="6">
        <v>45967.0</v>
      </c>
      <c r="C24" s="7" t="str">
        <f t="shared" si="1"/>
        <v>jueves</v>
      </c>
      <c r="D24" s="9">
        <v>2.63</v>
      </c>
      <c r="E24" s="9">
        <v>0.0</v>
      </c>
      <c r="F24" s="25"/>
      <c r="G24" s="10"/>
    </row>
    <row r="25">
      <c r="A25" s="5" t="s">
        <v>23</v>
      </c>
      <c r="B25" s="6">
        <v>45968.0</v>
      </c>
      <c r="C25" s="7" t="str">
        <f t="shared" si="1"/>
        <v>viernes</v>
      </c>
      <c r="D25" s="9">
        <v>0.3</v>
      </c>
      <c r="E25" s="9">
        <v>0.0</v>
      </c>
      <c r="F25" s="27">
        <v>45968.833333333336</v>
      </c>
      <c r="G25" s="24">
        <v>11.0</v>
      </c>
    </row>
    <row r="26">
      <c r="A26" s="5" t="s">
        <v>23</v>
      </c>
      <c r="B26" s="6">
        <v>45969.0</v>
      </c>
      <c r="C26" s="7" t="str">
        <f t="shared" si="1"/>
        <v>sábado</v>
      </c>
      <c r="D26" s="9">
        <v>0.22</v>
      </c>
      <c r="E26" s="9">
        <v>0.0</v>
      </c>
      <c r="F26" s="27">
        <v>45969.666666666664</v>
      </c>
      <c r="G26" s="24">
        <v>11.0</v>
      </c>
    </row>
    <row r="27">
      <c r="A27" s="5" t="s">
        <v>23</v>
      </c>
      <c r="B27" s="6">
        <v>45970.0</v>
      </c>
      <c r="C27" s="7" t="str">
        <f t="shared" si="1"/>
        <v>domingo</v>
      </c>
      <c r="D27" s="9">
        <v>0.22</v>
      </c>
      <c r="E27" s="9">
        <v>0.0</v>
      </c>
      <c r="F27" s="25"/>
      <c r="G27" s="10"/>
    </row>
    <row r="28">
      <c r="A28" s="5" t="s">
        <v>23</v>
      </c>
      <c r="B28" s="6">
        <v>45971.0</v>
      </c>
      <c r="C28" s="7" t="str">
        <f t="shared" si="1"/>
        <v>lunes</v>
      </c>
      <c r="D28" s="9">
        <v>0.98</v>
      </c>
      <c r="E28" s="9">
        <v>0.0</v>
      </c>
      <c r="F28" s="23">
        <v>45971.75</v>
      </c>
      <c r="G28" s="24">
        <v>41.0</v>
      </c>
    </row>
    <row r="29">
      <c r="A29" s="5" t="s">
        <v>23</v>
      </c>
      <c r="B29" s="6">
        <v>45972.0</v>
      </c>
      <c r="C29" s="7" t="str">
        <f t="shared" si="1"/>
        <v>martes</v>
      </c>
      <c r="D29" s="9">
        <v>1.06</v>
      </c>
      <c r="E29" s="9">
        <v>0.0</v>
      </c>
      <c r="F29" s="23">
        <v>45972.75</v>
      </c>
      <c r="G29" s="24">
        <v>11.0</v>
      </c>
    </row>
    <row r="30">
      <c r="A30" s="5" t="s">
        <v>23</v>
      </c>
      <c r="B30" s="6">
        <v>45973.0</v>
      </c>
      <c r="C30" s="7" t="str">
        <f t="shared" si="1"/>
        <v>miércoles</v>
      </c>
      <c r="D30" s="9">
        <v>0.38</v>
      </c>
      <c r="E30" s="9">
        <v>0.0</v>
      </c>
      <c r="F30" s="23">
        <v>45973.791666666664</v>
      </c>
      <c r="G30" s="24">
        <v>11.0</v>
      </c>
    </row>
    <row r="31">
      <c r="A31" s="5" t="s">
        <v>23</v>
      </c>
      <c r="B31" s="6">
        <v>45974.0</v>
      </c>
      <c r="C31" s="7" t="str">
        <f t="shared" si="1"/>
        <v>jueves</v>
      </c>
      <c r="D31" s="9">
        <v>0.37</v>
      </c>
      <c r="E31" s="9">
        <v>0.0</v>
      </c>
      <c r="F31" s="25"/>
      <c r="G31" s="10"/>
    </row>
    <row r="32">
      <c r="A32" s="5" t="s">
        <v>23</v>
      </c>
      <c r="B32" s="6">
        <v>45975.0</v>
      </c>
      <c r="C32" s="7" t="str">
        <f t="shared" si="1"/>
        <v>viernes</v>
      </c>
      <c r="D32" s="9">
        <v>0.8</v>
      </c>
      <c r="E32" s="9">
        <v>0.0</v>
      </c>
      <c r="F32" s="25"/>
      <c r="G32" s="10"/>
    </row>
    <row r="33">
      <c r="A33" s="5" t="s">
        <v>23</v>
      </c>
      <c r="B33" s="6">
        <v>45976.0</v>
      </c>
      <c r="C33" s="7" t="str">
        <f t="shared" si="1"/>
        <v>sábado</v>
      </c>
      <c r="D33" s="9">
        <v>0.62</v>
      </c>
      <c r="E33" s="9">
        <v>0.0</v>
      </c>
      <c r="F33" s="25"/>
      <c r="G33" s="10"/>
    </row>
    <row r="34">
      <c r="A34" s="5" t="s">
        <v>23</v>
      </c>
      <c r="B34" s="6">
        <v>45977.0</v>
      </c>
      <c r="C34" s="7" t="str">
        <f t="shared" si="1"/>
        <v>domingo</v>
      </c>
      <c r="D34" s="9">
        <v>0.09</v>
      </c>
      <c r="E34" s="9">
        <v>0.0</v>
      </c>
      <c r="F34" s="25"/>
      <c r="G34" s="10"/>
    </row>
    <row r="35">
      <c r="A35" s="5" t="s">
        <v>23</v>
      </c>
      <c r="B35" s="6">
        <v>45978.0</v>
      </c>
      <c r="C35" s="7" t="str">
        <f t="shared" si="1"/>
        <v>lunes</v>
      </c>
      <c r="D35" s="9">
        <v>1.53</v>
      </c>
      <c r="E35" s="9">
        <v>0.0</v>
      </c>
      <c r="F35" s="25"/>
      <c r="G35" s="10"/>
    </row>
    <row r="36">
      <c r="A36" s="5" t="s">
        <v>23</v>
      </c>
      <c r="B36" s="6">
        <v>45979.0</v>
      </c>
      <c r="C36" s="7" t="str">
        <f t="shared" si="1"/>
        <v>martes</v>
      </c>
      <c r="D36" s="9">
        <v>0.93</v>
      </c>
      <c r="E36" s="9">
        <v>0.0</v>
      </c>
      <c r="F36" s="23">
        <v>45979.5</v>
      </c>
      <c r="G36" s="24">
        <v>31.0</v>
      </c>
    </row>
    <row r="37">
      <c r="A37" s="5" t="s">
        <v>23</v>
      </c>
      <c r="B37" s="6">
        <v>45980.0</v>
      </c>
      <c r="C37" s="7" t="str">
        <f t="shared" si="1"/>
        <v>miércoles</v>
      </c>
      <c r="D37" s="9">
        <v>15.09</v>
      </c>
      <c r="E37" s="9">
        <v>0.0</v>
      </c>
      <c r="F37" s="25"/>
      <c r="G37" s="10"/>
    </row>
    <row r="38">
      <c r="A38" s="5" t="s">
        <v>23</v>
      </c>
      <c r="B38" s="6">
        <v>45981.0</v>
      </c>
      <c r="C38" s="7" t="str">
        <f t="shared" si="1"/>
        <v>jueves</v>
      </c>
      <c r="D38" s="9">
        <v>0.9</v>
      </c>
      <c r="E38" s="9">
        <v>0.0</v>
      </c>
      <c r="F38" s="23">
        <v>45981.416666666664</v>
      </c>
      <c r="G38" s="24">
        <v>11.0</v>
      </c>
    </row>
    <row r="39">
      <c r="A39" s="5" t="s">
        <v>23</v>
      </c>
      <c r="B39" s="6">
        <v>45982.0</v>
      </c>
      <c r="C39" s="7" t="str">
        <f t="shared" si="1"/>
        <v>viernes</v>
      </c>
      <c r="D39" s="9">
        <v>0.68</v>
      </c>
      <c r="E39" s="9">
        <v>0.0</v>
      </c>
      <c r="F39" s="23">
        <v>45982.75</v>
      </c>
      <c r="G39" s="24">
        <v>11.0</v>
      </c>
    </row>
    <row r="40">
      <c r="A40" s="5" t="s">
        <v>23</v>
      </c>
      <c r="B40" s="6">
        <v>45983.0</v>
      </c>
      <c r="C40" s="7" t="str">
        <f t="shared" si="1"/>
        <v>sábado</v>
      </c>
      <c r="D40" s="9">
        <v>0.52</v>
      </c>
      <c r="E40" s="9">
        <v>0.0</v>
      </c>
      <c r="F40" s="23">
        <v>45983.458333333336</v>
      </c>
      <c r="G40" s="24">
        <v>21.0</v>
      </c>
    </row>
    <row r="41">
      <c r="A41" s="5" t="s">
        <v>23</v>
      </c>
      <c r="B41" s="6">
        <v>45984.0</v>
      </c>
      <c r="C41" s="7" t="str">
        <f t="shared" si="1"/>
        <v>domingo</v>
      </c>
      <c r="D41" s="9">
        <v>0.26</v>
      </c>
      <c r="E41" s="9">
        <v>0.0</v>
      </c>
      <c r="F41" s="25"/>
      <c r="G41" s="10"/>
    </row>
    <row r="42">
      <c r="A42" s="5" t="s">
        <v>23</v>
      </c>
      <c r="B42" s="6">
        <v>45985.0</v>
      </c>
      <c r="C42" s="7" t="str">
        <f t="shared" si="1"/>
        <v>lunes</v>
      </c>
      <c r="D42" s="9">
        <v>1.26</v>
      </c>
      <c r="E42" s="9">
        <v>0.0</v>
      </c>
      <c r="F42" s="25"/>
      <c r="G42" s="10"/>
    </row>
    <row r="43">
      <c r="A43" s="5" t="s">
        <v>23</v>
      </c>
      <c r="B43" s="6">
        <v>45986.0</v>
      </c>
      <c r="C43" s="7" t="str">
        <f t="shared" si="1"/>
        <v>martes</v>
      </c>
      <c r="D43" s="9">
        <v>0.99</v>
      </c>
      <c r="E43" s="9">
        <v>0.0</v>
      </c>
      <c r="F43" s="25"/>
      <c r="G43" s="10"/>
    </row>
    <row r="44">
      <c r="A44" s="5" t="s">
        <v>23</v>
      </c>
      <c r="B44" s="6">
        <v>45987.0</v>
      </c>
      <c r="C44" s="7" t="str">
        <f t="shared" si="1"/>
        <v>miércoles</v>
      </c>
      <c r="D44" s="9">
        <v>0.81</v>
      </c>
      <c r="E44" s="9">
        <v>0.0</v>
      </c>
      <c r="F44" s="23">
        <v>45987.416666666664</v>
      </c>
      <c r="G44" s="24">
        <v>11.0</v>
      </c>
    </row>
    <row r="45">
      <c r="A45" s="5" t="s">
        <v>23</v>
      </c>
      <c r="B45" s="6">
        <v>45988.0</v>
      </c>
      <c r="C45" s="7" t="str">
        <f t="shared" si="1"/>
        <v>jueves</v>
      </c>
      <c r="D45" s="9">
        <v>12.69</v>
      </c>
      <c r="E45" s="9">
        <v>0.0</v>
      </c>
      <c r="F45" s="25"/>
      <c r="G45" s="10"/>
    </row>
    <row r="46">
      <c r="A46" s="5" t="s">
        <v>23</v>
      </c>
      <c r="B46" s="6">
        <v>45989.0</v>
      </c>
      <c r="C46" s="7" t="str">
        <f t="shared" si="1"/>
        <v>viernes</v>
      </c>
      <c r="D46" s="9">
        <v>0.55</v>
      </c>
      <c r="E46" s="9">
        <v>0.0</v>
      </c>
      <c r="F46" s="25"/>
      <c r="G46" s="10"/>
    </row>
    <row r="47">
      <c r="A47" s="5" t="s">
        <v>23</v>
      </c>
      <c r="B47" s="6">
        <v>45990.0</v>
      </c>
      <c r="C47" s="7" t="str">
        <f t="shared" si="1"/>
        <v>sábado</v>
      </c>
      <c r="D47" s="9">
        <v>0.15</v>
      </c>
      <c r="E47" s="9">
        <v>0.0</v>
      </c>
      <c r="F47" s="25"/>
      <c r="G47" s="10"/>
    </row>
    <row r="48">
      <c r="A48" s="5" t="s">
        <v>23</v>
      </c>
      <c r="B48" s="6">
        <v>45991.0</v>
      </c>
      <c r="C48" s="7" t="str">
        <f t="shared" si="1"/>
        <v>domingo</v>
      </c>
      <c r="D48" s="9">
        <v>0.48</v>
      </c>
      <c r="E48" s="9">
        <v>0.0</v>
      </c>
      <c r="F48" s="25"/>
      <c r="G48" s="10"/>
    </row>
    <row r="49">
      <c r="A49" s="5" t="s">
        <v>23</v>
      </c>
      <c r="B49" s="6">
        <v>45992.0</v>
      </c>
      <c r="C49" s="7" t="str">
        <f t="shared" si="1"/>
        <v>lunes</v>
      </c>
      <c r="D49" s="9">
        <v>0.7</v>
      </c>
      <c r="E49" s="9">
        <v>0.0</v>
      </c>
      <c r="F49" s="25"/>
      <c r="G49" s="10"/>
    </row>
    <row r="50">
      <c r="A50" s="5" t="s">
        <v>23</v>
      </c>
      <c r="B50" s="6">
        <v>45993.0</v>
      </c>
      <c r="C50" s="7" t="str">
        <f t="shared" si="1"/>
        <v>martes</v>
      </c>
      <c r="D50" s="9">
        <v>0.79</v>
      </c>
      <c r="E50" s="9">
        <v>0.0</v>
      </c>
      <c r="F50" s="25"/>
      <c r="G50" s="10"/>
    </row>
    <row r="51">
      <c r="A51" s="5" t="s">
        <v>23</v>
      </c>
      <c r="B51" s="6">
        <v>45994.0</v>
      </c>
      <c r="C51" s="7" t="str">
        <f t="shared" si="1"/>
        <v>miércoles</v>
      </c>
      <c r="D51" s="9">
        <v>0.45</v>
      </c>
      <c r="E51" s="9">
        <v>0.0</v>
      </c>
      <c r="F51" s="25"/>
      <c r="G51" s="10"/>
    </row>
    <row r="52">
      <c r="A52" s="5" t="s">
        <v>23</v>
      </c>
      <c r="B52" s="6">
        <v>45995.0</v>
      </c>
      <c r="C52" s="7" t="str">
        <f t="shared" si="1"/>
        <v>jueves</v>
      </c>
      <c r="D52" s="9">
        <v>0.66</v>
      </c>
      <c r="E52" s="9">
        <v>0.0</v>
      </c>
      <c r="F52" s="25"/>
      <c r="G52" s="10"/>
    </row>
    <row r="53">
      <c r="A53" s="5" t="s">
        <v>23</v>
      </c>
      <c r="B53" s="6">
        <v>45996.0</v>
      </c>
      <c r="C53" s="7" t="str">
        <f t="shared" si="1"/>
        <v>viernes</v>
      </c>
      <c r="D53" s="9">
        <v>0.89</v>
      </c>
      <c r="E53" s="9">
        <v>0.0</v>
      </c>
      <c r="F53" s="25"/>
      <c r="G53" s="10"/>
    </row>
    <row r="54">
      <c r="A54" s="5" t="s">
        <v>23</v>
      </c>
      <c r="B54" s="6">
        <v>45997.0</v>
      </c>
      <c r="C54" s="7" t="str">
        <f t="shared" si="1"/>
        <v>sábado</v>
      </c>
      <c r="D54" s="9">
        <v>0.3</v>
      </c>
      <c r="E54" s="9">
        <v>0.0</v>
      </c>
      <c r="F54" s="25"/>
      <c r="G54" s="10"/>
    </row>
    <row r="55">
      <c r="A55" s="5" t="s">
        <v>23</v>
      </c>
      <c r="B55" s="6">
        <v>45998.0</v>
      </c>
      <c r="C55" s="7" t="str">
        <f t="shared" si="1"/>
        <v>domingo</v>
      </c>
      <c r="D55" s="9">
        <v>0.69</v>
      </c>
      <c r="E55" s="9">
        <v>0.0</v>
      </c>
      <c r="F55" s="25"/>
      <c r="G55" s="10"/>
    </row>
    <row r="56">
      <c r="A56" s="5" t="s">
        <v>23</v>
      </c>
      <c r="B56" s="6">
        <v>45999.0</v>
      </c>
      <c r="C56" s="7" t="str">
        <f t="shared" si="1"/>
        <v>lunes</v>
      </c>
      <c r="D56" s="9">
        <v>0.88</v>
      </c>
      <c r="E56" s="9">
        <v>0.0</v>
      </c>
      <c r="F56" s="25"/>
      <c r="G56" s="10"/>
    </row>
    <row r="57">
      <c r="A57" s="5" t="s">
        <v>23</v>
      </c>
      <c r="B57" s="6">
        <v>46000.0</v>
      </c>
      <c r="C57" s="7" t="str">
        <f t="shared" si="1"/>
        <v>martes</v>
      </c>
      <c r="D57" s="9">
        <v>0.61</v>
      </c>
      <c r="E57" s="9">
        <v>0.0</v>
      </c>
      <c r="F57" s="25"/>
      <c r="G57" s="10"/>
    </row>
    <row r="58">
      <c r="A58" s="5" t="s">
        <v>23</v>
      </c>
      <c r="B58" s="6">
        <v>46001.0</v>
      </c>
      <c r="C58" s="7" t="str">
        <f t="shared" si="1"/>
        <v>miércoles</v>
      </c>
      <c r="D58" s="9">
        <v>1.03</v>
      </c>
      <c r="E58" s="9">
        <v>0.0</v>
      </c>
      <c r="F58" s="25"/>
      <c r="G58" s="10"/>
    </row>
    <row r="59">
      <c r="A59" s="5" t="s">
        <v>23</v>
      </c>
      <c r="B59" s="6">
        <v>46002.0</v>
      </c>
      <c r="C59" s="7" t="str">
        <f t="shared" si="1"/>
        <v>jueves</v>
      </c>
      <c r="D59" s="9">
        <v>0.52</v>
      </c>
      <c r="E59" s="9">
        <v>0.0</v>
      </c>
      <c r="F59" s="23">
        <v>46002.916666666664</v>
      </c>
      <c r="G59" s="24">
        <v>11.0</v>
      </c>
    </row>
    <row r="60">
      <c r="A60" s="5" t="s">
        <v>23</v>
      </c>
      <c r="B60" s="6">
        <v>46003.0</v>
      </c>
      <c r="C60" s="7" t="str">
        <f t="shared" si="1"/>
        <v>viernes</v>
      </c>
      <c r="D60" s="9">
        <v>1.72</v>
      </c>
      <c r="E60" s="9">
        <v>0.0</v>
      </c>
      <c r="F60" s="25"/>
      <c r="G60" s="10"/>
    </row>
    <row r="61">
      <c r="A61" s="5" t="s">
        <v>23</v>
      </c>
      <c r="B61" s="6">
        <v>46004.0</v>
      </c>
      <c r="C61" s="7" t="str">
        <f t="shared" si="1"/>
        <v>sábado</v>
      </c>
      <c r="D61" s="9">
        <v>0.55</v>
      </c>
      <c r="E61" s="9">
        <v>0.0</v>
      </c>
      <c r="F61" s="25"/>
      <c r="G61" s="10"/>
    </row>
    <row r="62">
      <c r="A62" s="5" t="s">
        <v>23</v>
      </c>
      <c r="B62" s="6">
        <v>46005.0</v>
      </c>
      <c r="C62" s="7" t="str">
        <f t="shared" si="1"/>
        <v>domingo</v>
      </c>
      <c r="D62" s="9">
        <v>0.16</v>
      </c>
      <c r="E62" s="9">
        <v>0.0</v>
      </c>
      <c r="F62" s="25"/>
      <c r="G62" s="10"/>
    </row>
    <row r="63">
      <c r="A63" s="5" t="s">
        <v>23</v>
      </c>
      <c r="B63" s="6">
        <v>46006.0</v>
      </c>
      <c r="C63" s="7" t="str">
        <f t="shared" si="1"/>
        <v>lunes</v>
      </c>
      <c r="D63" s="9">
        <v>1.16</v>
      </c>
      <c r="E63" s="9">
        <v>0.0</v>
      </c>
      <c r="F63" s="25"/>
      <c r="G63" s="10"/>
    </row>
    <row r="64">
      <c r="A64" s="5" t="s">
        <v>23</v>
      </c>
      <c r="B64" s="6">
        <v>46007.0</v>
      </c>
      <c r="C64" s="7" t="str">
        <f t="shared" si="1"/>
        <v>martes</v>
      </c>
      <c r="D64" s="9">
        <v>1.2</v>
      </c>
      <c r="E64" s="9">
        <v>0.0</v>
      </c>
      <c r="F64" s="23">
        <v>46007.75</v>
      </c>
      <c r="G64" s="24">
        <v>41.0</v>
      </c>
    </row>
    <row r="65">
      <c r="A65" s="5" t="s">
        <v>23</v>
      </c>
      <c r="B65" s="6">
        <v>46008.0</v>
      </c>
      <c r="C65" s="7" t="str">
        <f t="shared" si="1"/>
        <v>miércoles</v>
      </c>
      <c r="D65" s="9">
        <v>1.42</v>
      </c>
      <c r="E65" s="9">
        <v>0.0</v>
      </c>
      <c r="F65" s="25"/>
      <c r="G65" s="10"/>
    </row>
    <row r="66">
      <c r="A66" s="5" t="s">
        <v>23</v>
      </c>
      <c r="B66" s="6">
        <v>46009.0</v>
      </c>
      <c r="C66" s="7" t="str">
        <f t="shared" si="1"/>
        <v>jueves</v>
      </c>
      <c r="D66" s="9">
        <v>1.35</v>
      </c>
      <c r="E66" s="9">
        <v>0.0</v>
      </c>
      <c r="F66" s="23">
        <v>46009.875</v>
      </c>
      <c r="G66" s="24">
        <v>11.0</v>
      </c>
    </row>
    <row r="67">
      <c r="A67" s="5" t="s">
        <v>23</v>
      </c>
      <c r="B67" s="6">
        <v>46010.0</v>
      </c>
      <c r="C67" s="7" t="str">
        <f t="shared" si="1"/>
        <v>viernes</v>
      </c>
      <c r="D67" s="9">
        <v>0.57</v>
      </c>
      <c r="E67" s="9">
        <v>0.0</v>
      </c>
      <c r="F67" s="25"/>
      <c r="G67" s="10"/>
    </row>
    <row r="68">
      <c r="A68" s="5" t="s">
        <v>23</v>
      </c>
      <c r="B68" s="6">
        <v>46011.0</v>
      </c>
      <c r="C68" s="7" t="str">
        <f t="shared" si="1"/>
        <v>sábado</v>
      </c>
      <c r="D68" s="9">
        <v>0.3</v>
      </c>
      <c r="E68" s="9">
        <v>0.0</v>
      </c>
      <c r="F68" s="25"/>
      <c r="G68" s="10"/>
    </row>
    <row r="69">
      <c r="A69" s="5" t="s">
        <v>23</v>
      </c>
      <c r="B69" s="6">
        <v>46012.0</v>
      </c>
      <c r="C69" s="7" t="str">
        <f t="shared" si="1"/>
        <v>domingo</v>
      </c>
      <c r="D69" s="9">
        <v>0.65</v>
      </c>
      <c r="E69" s="9">
        <v>0.0</v>
      </c>
      <c r="F69" s="25"/>
      <c r="G69" s="10"/>
    </row>
    <row r="70">
      <c r="A70" s="5" t="s">
        <v>23</v>
      </c>
      <c r="B70" s="6">
        <v>46013.0</v>
      </c>
      <c r="C70" s="7" t="str">
        <f t="shared" si="1"/>
        <v>lunes</v>
      </c>
      <c r="D70" s="9">
        <v>2.98</v>
      </c>
      <c r="E70" s="9">
        <v>0.0</v>
      </c>
      <c r="F70" s="25"/>
      <c r="G70" s="10"/>
    </row>
    <row r="71">
      <c r="A71" s="5" t="s">
        <v>23</v>
      </c>
      <c r="B71" s="6">
        <v>46014.0</v>
      </c>
      <c r="C71" s="7" t="str">
        <f t="shared" si="1"/>
        <v>martes</v>
      </c>
      <c r="D71" s="9">
        <v>3.36</v>
      </c>
      <c r="E71" s="9">
        <v>0.0</v>
      </c>
      <c r="F71" s="23">
        <v>46014.958333333336</v>
      </c>
      <c r="G71" s="24">
        <v>11.0</v>
      </c>
    </row>
    <row r="72">
      <c r="A72" s="5" t="s">
        <v>23</v>
      </c>
      <c r="B72" s="6">
        <v>46015.0</v>
      </c>
      <c r="C72" s="7" t="str">
        <f t="shared" si="1"/>
        <v>miércoles</v>
      </c>
      <c r="D72" s="9">
        <v>28.35</v>
      </c>
      <c r="E72" s="9">
        <v>0.0</v>
      </c>
      <c r="F72" s="25"/>
      <c r="G72" s="10"/>
    </row>
    <row r="73">
      <c r="A73" s="5" t="s">
        <v>23</v>
      </c>
      <c r="B73" s="16">
        <v>46016.0</v>
      </c>
      <c r="C73" s="7" t="str">
        <f t="shared" si="1"/>
        <v>jueves</v>
      </c>
      <c r="D73" s="28">
        <v>0.64</v>
      </c>
      <c r="E73" s="9">
        <v>0.0</v>
      </c>
      <c r="F73" s="25"/>
      <c r="G73" s="10"/>
    </row>
    <row r="74">
      <c r="B74" s="16">
        <v>46017.0</v>
      </c>
      <c r="C74" s="7" t="str">
        <f t="shared" si="1"/>
        <v>viernes</v>
      </c>
      <c r="D74" s="28">
        <v>1.24</v>
      </c>
    </row>
    <row r="75">
      <c r="B75" s="16">
        <v>46018.0</v>
      </c>
      <c r="C75" s="7" t="str">
        <f t="shared" si="1"/>
        <v>sábado</v>
      </c>
      <c r="D75" s="28">
        <v>0.47</v>
      </c>
    </row>
    <row r="76">
      <c r="B76" s="16">
        <v>46019.0</v>
      </c>
      <c r="C76" s="7" t="str">
        <f t="shared" si="1"/>
        <v>domingo</v>
      </c>
      <c r="D76" s="28">
        <v>0.4</v>
      </c>
    </row>
    <row r="77">
      <c r="B77" s="16">
        <v>46020.0</v>
      </c>
      <c r="C77" s="7" t="str">
        <f t="shared" si="1"/>
        <v>lunes</v>
      </c>
      <c r="D77" s="28">
        <v>2.88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5" max="5" width="15.25"/>
    <col customWidth="1" min="6" max="6" width="21.0"/>
  </cols>
  <sheetData>
    <row r="1">
      <c r="A1" s="22" t="s">
        <v>0</v>
      </c>
      <c r="B1" s="22" t="s">
        <v>1</v>
      </c>
      <c r="C1" s="2" t="s">
        <v>2</v>
      </c>
      <c r="D1" s="22" t="s">
        <v>22</v>
      </c>
      <c r="E1" s="22" t="s">
        <v>4</v>
      </c>
      <c r="F1" s="22" t="s">
        <v>5</v>
      </c>
      <c r="G1" s="22" t="s">
        <v>6</v>
      </c>
    </row>
    <row r="2">
      <c r="A2" s="5" t="s">
        <v>24</v>
      </c>
      <c r="B2" s="6">
        <v>45945.0</v>
      </c>
      <c r="C2" s="7" t="str">
        <f t="shared" ref="C2:C77" si="1">TEXT(B2,"dddd")</f>
        <v>miércoles</v>
      </c>
      <c r="D2" s="29">
        <v>32.0</v>
      </c>
      <c r="E2" s="9">
        <v>0.0</v>
      </c>
      <c r="F2" s="23">
        <v>45945.875</v>
      </c>
      <c r="G2" s="24">
        <v>1001.0</v>
      </c>
      <c r="J2" s="7" t="s">
        <v>8</v>
      </c>
      <c r="L2" s="11"/>
      <c r="M2" s="12" t="s">
        <v>9</v>
      </c>
    </row>
    <row r="3">
      <c r="A3" s="5" t="s">
        <v>24</v>
      </c>
      <c r="B3" s="6">
        <v>45946.0</v>
      </c>
      <c r="C3" s="7" t="str">
        <f t="shared" si="1"/>
        <v>jueves</v>
      </c>
      <c r="D3" s="9">
        <v>27.0</v>
      </c>
      <c r="E3" s="9">
        <v>0.0</v>
      </c>
      <c r="F3" s="23">
        <v>45946.5</v>
      </c>
      <c r="G3" s="24">
        <v>1001.0</v>
      </c>
      <c r="I3" s="13" t="s">
        <v>10</v>
      </c>
      <c r="J3" s="13">
        <f t="shared" ref="J3:J9" si="2">SUMIF($C$2:$C$77,I3,$D$2:$D$77)</f>
        <v>563</v>
      </c>
      <c r="L3" s="13" t="s">
        <v>10</v>
      </c>
      <c r="M3" s="14">
        <f t="shared" ref="M3:M9" si="3">AVERAGEIF($C$2:$C$77,L3,$D$2:$D$77)</f>
        <v>51.18181818</v>
      </c>
    </row>
    <row r="4">
      <c r="A4" s="5" t="s">
        <v>24</v>
      </c>
      <c r="B4" s="6">
        <v>45947.0</v>
      </c>
      <c r="C4" s="7" t="str">
        <f t="shared" si="1"/>
        <v>viernes</v>
      </c>
      <c r="D4" s="9">
        <v>31.0</v>
      </c>
      <c r="E4" s="9">
        <v>0.0</v>
      </c>
      <c r="F4" s="23">
        <v>45947.041666666664</v>
      </c>
      <c r="G4" s="24">
        <v>1001.0</v>
      </c>
      <c r="I4" s="15" t="s">
        <v>11</v>
      </c>
      <c r="J4" s="13">
        <f t="shared" si="2"/>
        <v>571</v>
      </c>
      <c r="L4" s="15" t="s">
        <v>11</v>
      </c>
      <c r="M4" s="14">
        <f t="shared" si="3"/>
        <v>57.1</v>
      </c>
    </row>
    <row r="5">
      <c r="A5" s="5" t="s">
        <v>24</v>
      </c>
      <c r="B5" s="6">
        <v>45948.0</v>
      </c>
      <c r="C5" s="7" t="str">
        <f t="shared" si="1"/>
        <v>sábado</v>
      </c>
      <c r="D5" s="9">
        <v>18.0</v>
      </c>
      <c r="E5" s="9">
        <v>0.0</v>
      </c>
      <c r="F5" s="10"/>
      <c r="G5" s="10"/>
      <c r="I5" s="7" t="s">
        <v>12</v>
      </c>
      <c r="J5" s="13">
        <f t="shared" si="2"/>
        <v>710</v>
      </c>
      <c r="L5" s="7" t="s">
        <v>12</v>
      </c>
      <c r="M5" s="14">
        <f t="shared" si="3"/>
        <v>64.54545455</v>
      </c>
    </row>
    <row r="6">
      <c r="A6" s="5" t="s">
        <v>24</v>
      </c>
      <c r="B6" s="6">
        <v>45949.0</v>
      </c>
      <c r="C6" s="7" t="str">
        <f t="shared" si="1"/>
        <v>domingo</v>
      </c>
      <c r="D6" s="9">
        <v>25.0</v>
      </c>
      <c r="E6" s="9">
        <v>0.0</v>
      </c>
      <c r="F6" s="10"/>
      <c r="G6" s="10"/>
      <c r="I6" s="13" t="s">
        <v>13</v>
      </c>
      <c r="J6" s="13">
        <f t="shared" si="2"/>
        <v>665</v>
      </c>
      <c r="L6" s="13" t="s">
        <v>13</v>
      </c>
      <c r="M6" s="14">
        <f t="shared" si="3"/>
        <v>60.45454545</v>
      </c>
    </row>
    <row r="7">
      <c r="A7" s="5" t="s">
        <v>24</v>
      </c>
      <c r="B7" s="6">
        <v>45950.0</v>
      </c>
      <c r="C7" s="7" t="str">
        <f t="shared" si="1"/>
        <v>lunes</v>
      </c>
      <c r="D7" s="9">
        <v>64.0</v>
      </c>
      <c r="E7" s="9">
        <v>0.0</v>
      </c>
      <c r="F7" s="10"/>
      <c r="G7" s="10"/>
      <c r="I7" s="13" t="s">
        <v>14</v>
      </c>
      <c r="J7" s="13">
        <f t="shared" si="2"/>
        <v>684</v>
      </c>
      <c r="L7" s="13" t="s">
        <v>14</v>
      </c>
      <c r="M7" s="14">
        <f t="shared" si="3"/>
        <v>62.18181818</v>
      </c>
    </row>
    <row r="8">
      <c r="A8" s="5" t="s">
        <v>24</v>
      </c>
      <c r="B8" s="6">
        <v>45951.0</v>
      </c>
      <c r="C8" s="7" t="str">
        <f t="shared" si="1"/>
        <v>martes</v>
      </c>
      <c r="D8" s="9">
        <v>20.0</v>
      </c>
      <c r="E8" s="9">
        <v>0.0</v>
      </c>
      <c r="F8" s="23">
        <v>45951.208333333336</v>
      </c>
      <c r="G8" s="24">
        <v>1001.0</v>
      </c>
      <c r="I8" s="13" t="s">
        <v>15</v>
      </c>
      <c r="J8" s="13">
        <f t="shared" si="2"/>
        <v>499</v>
      </c>
      <c r="L8" s="13" t="s">
        <v>15</v>
      </c>
      <c r="M8" s="14">
        <f t="shared" si="3"/>
        <v>45.36363636</v>
      </c>
    </row>
    <row r="9">
      <c r="A9" s="5" t="s">
        <v>24</v>
      </c>
      <c r="B9" s="6">
        <v>45952.0</v>
      </c>
      <c r="C9" s="7" t="str">
        <f t="shared" si="1"/>
        <v>miércoles</v>
      </c>
      <c r="D9" s="9">
        <v>31.0</v>
      </c>
      <c r="E9" s="9">
        <v>0.0</v>
      </c>
      <c r="F9" s="23">
        <v>45952.875</v>
      </c>
      <c r="G9" s="24">
        <v>1001.0</v>
      </c>
      <c r="I9" s="7" t="s">
        <v>16</v>
      </c>
      <c r="J9" s="13">
        <f t="shared" si="2"/>
        <v>434</v>
      </c>
      <c r="L9" s="7" t="s">
        <v>16</v>
      </c>
      <c r="M9" s="14">
        <f t="shared" si="3"/>
        <v>39.45454545</v>
      </c>
    </row>
    <row r="10">
      <c r="A10" s="5" t="s">
        <v>24</v>
      </c>
      <c r="B10" s="6">
        <v>45953.0</v>
      </c>
      <c r="C10" s="7" t="str">
        <f t="shared" si="1"/>
        <v>jueves</v>
      </c>
      <c r="D10" s="9">
        <v>28.0</v>
      </c>
      <c r="E10" s="9">
        <v>0.0</v>
      </c>
      <c r="F10" s="23">
        <v>45953.5</v>
      </c>
      <c r="G10" s="24">
        <v>1001.0</v>
      </c>
    </row>
    <row r="11">
      <c r="A11" s="5" t="s">
        <v>24</v>
      </c>
      <c r="B11" s="6">
        <v>45954.0</v>
      </c>
      <c r="C11" s="7" t="str">
        <f t="shared" si="1"/>
        <v>viernes</v>
      </c>
      <c r="D11" s="9">
        <v>40.0</v>
      </c>
      <c r="E11" s="9">
        <v>0.0</v>
      </c>
      <c r="F11" s="10"/>
      <c r="G11" s="10"/>
      <c r="I11" s="7" t="s">
        <v>17</v>
      </c>
      <c r="J11" s="14">
        <f>SUM($D$2:$D$77)</f>
        <v>4126</v>
      </c>
    </row>
    <row r="12">
      <c r="A12" s="5" t="s">
        <v>24</v>
      </c>
      <c r="B12" s="6">
        <v>45955.0</v>
      </c>
      <c r="C12" s="7" t="str">
        <f t="shared" si="1"/>
        <v>sábado</v>
      </c>
      <c r="D12" s="9">
        <v>15.0</v>
      </c>
      <c r="E12" s="9">
        <v>0.0</v>
      </c>
      <c r="F12" s="23">
        <v>45955.916666666664</v>
      </c>
      <c r="G12" s="24">
        <v>1001.0</v>
      </c>
      <c r="I12" s="7" t="s">
        <v>18</v>
      </c>
      <c r="J12" s="14">
        <f>AVERAGE($D$2:$D$77)</f>
        <v>54.28947368</v>
      </c>
    </row>
    <row r="13">
      <c r="A13" s="5" t="s">
        <v>24</v>
      </c>
      <c r="B13" s="6">
        <v>45956.0</v>
      </c>
      <c r="C13" s="7" t="str">
        <f t="shared" si="1"/>
        <v>domingo</v>
      </c>
      <c r="D13" s="9">
        <v>16.0</v>
      </c>
      <c r="E13" s="9">
        <v>0.0</v>
      </c>
      <c r="F13" s="23">
        <v>45956.791666666664</v>
      </c>
      <c r="G13" s="24">
        <v>1001.0</v>
      </c>
      <c r="I13" s="7" t="s">
        <v>19</v>
      </c>
      <c r="J13" s="14">
        <f>MAX($D$2:$D$77)</f>
        <v>119</v>
      </c>
    </row>
    <row r="14">
      <c r="A14" s="5" t="s">
        <v>24</v>
      </c>
      <c r="B14" s="6">
        <v>45957.0</v>
      </c>
      <c r="C14" s="7" t="str">
        <f t="shared" si="1"/>
        <v>lunes</v>
      </c>
      <c r="D14" s="9">
        <v>58.0</v>
      </c>
      <c r="E14" s="9">
        <v>0.0</v>
      </c>
      <c r="F14" s="10"/>
      <c r="G14" s="10"/>
      <c r="I14" s="7" t="s">
        <v>20</v>
      </c>
      <c r="J14" s="14">
        <f>MIN($D$2:$D$77)</f>
        <v>15</v>
      </c>
    </row>
    <row r="15">
      <c r="A15" s="5" t="s">
        <v>24</v>
      </c>
      <c r="B15" s="6">
        <v>45958.0</v>
      </c>
      <c r="C15" s="7" t="str">
        <f t="shared" si="1"/>
        <v>martes</v>
      </c>
      <c r="D15" s="9">
        <v>21.0</v>
      </c>
      <c r="E15" s="9">
        <v>0.0</v>
      </c>
      <c r="F15" s="23">
        <v>45958.083333333336</v>
      </c>
      <c r="G15" s="24">
        <v>1001.0</v>
      </c>
    </row>
    <row r="16">
      <c r="A16" s="5" t="s">
        <v>24</v>
      </c>
      <c r="B16" s="6">
        <v>45959.0</v>
      </c>
      <c r="C16" s="7" t="str">
        <f t="shared" si="1"/>
        <v>miércoles</v>
      </c>
      <c r="D16" s="9">
        <v>60.0</v>
      </c>
      <c r="E16" s="9">
        <v>0.0</v>
      </c>
      <c r="F16" s="23">
        <v>45959.458333333336</v>
      </c>
      <c r="G16" s="24">
        <v>1001.0</v>
      </c>
    </row>
    <row r="17">
      <c r="A17" s="5" t="s">
        <v>24</v>
      </c>
      <c r="B17" s="6">
        <v>45960.0</v>
      </c>
      <c r="C17" s="7" t="str">
        <f t="shared" si="1"/>
        <v>jueves</v>
      </c>
      <c r="D17" s="9">
        <v>59.0</v>
      </c>
      <c r="E17" s="9">
        <v>0.0</v>
      </c>
      <c r="F17" s="10"/>
      <c r="G17" s="10"/>
    </row>
    <row r="18">
      <c r="A18" s="5" t="s">
        <v>24</v>
      </c>
      <c r="B18" s="6">
        <v>45961.0</v>
      </c>
      <c r="C18" s="7" t="str">
        <f t="shared" si="1"/>
        <v>viernes</v>
      </c>
      <c r="D18" s="9">
        <v>24.0</v>
      </c>
      <c r="E18" s="9">
        <v>0.0</v>
      </c>
      <c r="F18" s="23">
        <v>45961.208333333336</v>
      </c>
      <c r="G18" s="24">
        <v>1001.0</v>
      </c>
    </row>
    <row r="19">
      <c r="A19" s="5" t="s">
        <v>24</v>
      </c>
      <c r="B19" s="6">
        <v>45962.0</v>
      </c>
      <c r="C19" s="7" t="str">
        <f t="shared" si="1"/>
        <v>sábado</v>
      </c>
      <c r="D19" s="9">
        <v>40.0</v>
      </c>
      <c r="E19" s="9">
        <v>0.0</v>
      </c>
      <c r="F19" s="27">
        <v>45962.166666666664</v>
      </c>
      <c r="G19" s="24">
        <v>1001.0</v>
      </c>
    </row>
    <row r="20">
      <c r="A20" s="5" t="s">
        <v>24</v>
      </c>
      <c r="B20" s="6">
        <v>45963.0</v>
      </c>
      <c r="C20" s="7" t="str">
        <f t="shared" si="1"/>
        <v>domingo</v>
      </c>
      <c r="D20" s="9">
        <v>30.0</v>
      </c>
      <c r="E20" s="9">
        <v>0.0</v>
      </c>
      <c r="F20" s="10"/>
      <c r="G20" s="10"/>
    </row>
    <row r="21">
      <c r="A21" s="5" t="s">
        <v>24</v>
      </c>
      <c r="B21" s="6">
        <v>45964.0</v>
      </c>
      <c r="C21" s="7" t="str">
        <f t="shared" si="1"/>
        <v>lunes</v>
      </c>
      <c r="D21" s="9">
        <v>35.0</v>
      </c>
      <c r="E21" s="9">
        <v>0.0</v>
      </c>
      <c r="F21" s="27">
        <v>45964.375</v>
      </c>
      <c r="G21" s="24">
        <v>1001.0</v>
      </c>
    </row>
    <row r="22">
      <c r="A22" s="5" t="s">
        <v>24</v>
      </c>
      <c r="B22" s="6">
        <v>45965.0</v>
      </c>
      <c r="C22" s="7" t="str">
        <f t="shared" si="1"/>
        <v>martes</v>
      </c>
      <c r="D22" s="9">
        <v>40.0</v>
      </c>
      <c r="E22" s="9">
        <v>0.0</v>
      </c>
      <c r="F22" s="10"/>
      <c r="G22" s="10"/>
    </row>
    <row r="23">
      <c r="A23" s="5" t="s">
        <v>24</v>
      </c>
      <c r="B23" s="6">
        <v>45966.0</v>
      </c>
      <c r="C23" s="7" t="str">
        <f t="shared" si="1"/>
        <v>miércoles</v>
      </c>
      <c r="D23" s="9">
        <v>80.0</v>
      </c>
      <c r="E23" s="9">
        <v>0.0</v>
      </c>
      <c r="F23" s="27">
        <v>45966.208333333336</v>
      </c>
      <c r="G23" s="24">
        <v>1001.0</v>
      </c>
    </row>
    <row r="24">
      <c r="A24" s="5" t="s">
        <v>24</v>
      </c>
      <c r="B24" s="6">
        <v>45967.0</v>
      </c>
      <c r="C24" s="7" t="str">
        <f t="shared" si="1"/>
        <v>jueves</v>
      </c>
      <c r="D24" s="9">
        <v>39.0</v>
      </c>
      <c r="E24" s="9">
        <v>0.0</v>
      </c>
      <c r="F24" s="27">
        <v>45967.416666666664</v>
      </c>
      <c r="G24" s="24">
        <v>1001.0</v>
      </c>
    </row>
    <row r="25">
      <c r="A25" s="5" t="s">
        <v>24</v>
      </c>
      <c r="B25" s="6">
        <v>45968.0</v>
      </c>
      <c r="C25" s="7" t="str">
        <f t="shared" si="1"/>
        <v>viernes</v>
      </c>
      <c r="D25" s="9">
        <v>99.0</v>
      </c>
      <c r="E25" s="9">
        <v>0.0</v>
      </c>
      <c r="F25" s="10"/>
      <c r="G25" s="10"/>
    </row>
    <row r="26">
      <c r="A26" s="5" t="s">
        <v>24</v>
      </c>
      <c r="B26" s="6">
        <v>45969.0</v>
      </c>
      <c r="C26" s="7" t="str">
        <f t="shared" si="1"/>
        <v>sábado</v>
      </c>
      <c r="D26" s="9">
        <v>26.0</v>
      </c>
      <c r="E26" s="9">
        <v>0.0</v>
      </c>
      <c r="F26" s="27">
        <v>45969.416666666664</v>
      </c>
      <c r="G26" s="24">
        <v>1001.0</v>
      </c>
    </row>
    <row r="27">
      <c r="A27" s="5" t="s">
        <v>24</v>
      </c>
      <c r="B27" s="6">
        <v>45970.0</v>
      </c>
      <c r="C27" s="7" t="str">
        <f t="shared" si="1"/>
        <v>domingo</v>
      </c>
      <c r="D27" s="9">
        <v>25.0</v>
      </c>
      <c r="E27" s="9">
        <v>0.0</v>
      </c>
      <c r="F27" s="27">
        <v>45970.75</v>
      </c>
      <c r="G27" s="24">
        <v>1001.0</v>
      </c>
    </row>
    <row r="28">
      <c r="A28" s="5" t="s">
        <v>24</v>
      </c>
      <c r="B28" s="6">
        <v>45971.0</v>
      </c>
      <c r="C28" s="7" t="str">
        <f t="shared" si="1"/>
        <v>lunes</v>
      </c>
      <c r="D28" s="9">
        <v>48.0</v>
      </c>
      <c r="E28" s="9">
        <v>0.0</v>
      </c>
      <c r="F28" s="23">
        <v>45971.333333333336</v>
      </c>
      <c r="G28" s="24">
        <v>1001.0</v>
      </c>
    </row>
    <row r="29">
      <c r="A29" s="5" t="s">
        <v>24</v>
      </c>
      <c r="B29" s="6">
        <v>45972.0</v>
      </c>
      <c r="C29" s="7" t="str">
        <f t="shared" si="1"/>
        <v>martes</v>
      </c>
      <c r="D29" s="9">
        <v>48.0</v>
      </c>
      <c r="E29" s="9">
        <v>0.0</v>
      </c>
      <c r="F29" s="23">
        <v>45972.416666666664</v>
      </c>
      <c r="G29" s="24">
        <v>1001.0</v>
      </c>
    </row>
    <row r="30">
      <c r="A30" s="5" t="s">
        <v>24</v>
      </c>
      <c r="B30" s="6">
        <v>45973.0</v>
      </c>
      <c r="C30" s="7" t="str">
        <f t="shared" si="1"/>
        <v>miércoles</v>
      </c>
      <c r="D30" s="9">
        <v>59.0</v>
      </c>
      <c r="E30" s="9">
        <v>0.0</v>
      </c>
      <c r="F30" s="10"/>
      <c r="G30" s="10"/>
    </row>
    <row r="31">
      <c r="A31" s="5" t="s">
        <v>24</v>
      </c>
      <c r="B31" s="6">
        <v>45974.0</v>
      </c>
      <c r="C31" s="7" t="str">
        <f t="shared" si="1"/>
        <v>jueves</v>
      </c>
      <c r="D31" s="9">
        <v>55.0</v>
      </c>
      <c r="E31" s="9">
        <v>0.0</v>
      </c>
      <c r="F31" s="23">
        <v>45974.166666666664</v>
      </c>
      <c r="G31" s="24">
        <v>1001.0</v>
      </c>
    </row>
    <row r="32">
      <c r="A32" s="5" t="s">
        <v>24</v>
      </c>
      <c r="B32" s="6">
        <v>45975.0</v>
      </c>
      <c r="C32" s="7" t="str">
        <f t="shared" si="1"/>
        <v>viernes</v>
      </c>
      <c r="D32" s="9">
        <v>38.0</v>
      </c>
      <c r="E32" s="9">
        <v>0.0</v>
      </c>
      <c r="F32" s="10"/>
      <c r="G32" s="10"/>
    </row>
    <row r="33">
      <c r="A33" s="5" t="s">
        <v>24</v>
      </c>
      <c r="B33" s="6">
        <v>45976.0</v>
      </c>
      <c r="C33" s="7" t="str">
        <f t="shared" si="1"/>
        <v>sábado</v>
      </c>
      <c r="D33" s="9">
        <v>42.0</v>
      </c>
      <c r="E33" s="9">
        <v>0.0</v>
      </c>
      <c r="F33" s="10"/>
      <c r="G33" s="10"/>
    </row>
    <row r="34">
      <c r="A34" s="5" t="s">
        <v>24</v>
      </c>
      <c r="B34" s="6">
        <v>45977.0</v>
      </c>
      <c r="C34" s="7" t="str">
        <f t="shared" si="1"/>
        <v>domingo</v>
      </c>
      <c r="D34" s="9">
        <v>71.0</v>
      </c>
      <c r="E34" s="9">
        <v>0.0</v>
      </c>
      <c r="F34" s="23">
        <v>45977.958333333336</v>
      </c>
      <c r="G34" s="24">
        <v>1001.0</v>
      </c>
    </row>
    <row r="35">
      <c r="A35" s="5" t="s">
        <v>24</v>
      </c>
      <c r="B35" s="6">
        <v>45978.0</v>
      </c>
      <c r="C35" s="7" t="str">
        <f t="shared" si="1"/>
        <v>lunes</v>
      </c>
      <c r="D35" s="9">
        <v>26.0</v>
      </c>
      <c r="E35" s="9">
        <v>0.0</v>
      </c>
      <c r="F35" s="23">
        <v>45978.5</v>
      </c>
      <c r="G35" s="24">
        <v>1001.0</v>
      </c>
    </row>
    <row r="36">
      <c r="A36" s="5" t="s">
        <v>24</v>
      </c>
      <c r="B36" s="6">
        <v>45979.0</v>
      </c>
      <c r="C36" s="7" t="str">
        <f t="shared" si="1"/>
        <v>martes</v>
      </c>
      <c r="D36" s="9">
        <v>65.0</v>
      </c>
      <c r="E36" s="9">
        <v>0.0</v>
      </c>
      <c r="F36" s="23">
        <v>45979.833333333336</v>
      </c>
      <c r="G36" s="24">
        <v>1001.0</v>
      </c>
    </row>
    <row r="37">
      <c r="A37" s="5" t="s">
        <v>24</v>
      </c>
      <c r="B37" s="6">
        <v>45980.0</v>
      </c>
      <c r="C37" s="7" t="str">
        <f t="shared" si="1"/>
        <v>miércoles</v>
      </c>
      <c r="D37" s="9">
        <v>59.0</v>
      </c>
      <c r="E37" s="9">
        <v>0.0</v>
      </c>
      <c r="F37" s="23">
        <v>45980.375</v>
      </c>
      <c r="G37" s="24">
        <v>1001.0</v>
      </c>
    </row>
    <row r="38">
      <c r="A38" s="5" t="s">
        <v>24</v>
      </c>
      <c r="B38" s="6">
        <v>45981.0</v>
      </c>
      <c r="C38" s="7" t="str">
        <f t="shared" si="1"/>
        <v>jueves</v>
      </c>
      <c r="D38" s="9">
        <v>58.0</v>
      </c>
      <c r="E38" s="9">
        <v>0.0</v>
      </c>
      <c r="F38" s="23">
        <v>45981.458333333336</v>
      </c>
      <c r="G38" s="24">
        <v>1001.0</v>
      </c>
    </row>
    <row r="39">
      <c r="A39" s="5" t="s">
        <v>24</v>
      </c>
      <c r="B39" s="6">
        <v>45982.0</v>
      </c>
      <c r="C39" s="7" t="str">
        <f t="shared" si="1"/>
        <v>viernes</v>
      </c>
      <c r="D39" s="9">
        <v>38.0</v>
      </c>
      <c r="E39" s="9">
        <v>0.0</v>
      </c>
      <c r="F39" s="10"/>
      <c r="G39" s="10"/>
    </row>
    <row r="40">
      <c r="A40" s="5" t="s">
        <v>24</v>
      </c>
      <c r="B40" s="6">
        <v>45983.0</v>
      </c>
      <c r="C40" s="7" t="str">
        <f t="shared" si="1"/>
        <v>sábado</v>
      </c>
      <c r="D40" s="9">
        <v>37.0</v>
      </c>
      <c r="E40" s="9">
        <v>0.0</v>
      </c>
      <c r="F40" s="23">
        <v>45983.208333333336</v>
      </c>
      <c r="G40" s="24">
        <v>1001.0</v>
      </c>
    </row>
    <row r="41">
      <c r="A41" s="5" t="s">
        <v>24</v>
      </c>
      <c r="B41" s="6">
        <v>45984.0</v>
      </c>
      <c r="C41" s="7" t="str">
        <f t="shared" si="1"/>
        <v>domingo</v>
      </c>
      <c r="D41" s="9">
        <v>18.0</v>
      </c>
      <c r="E41" s="9">
        <v>0.0</v>
      </c>
      <c r="F41" s="23">
        <v>45984.541666666664</v>
      </c>
      <c r="G41" s="24">
        <v>1001.0</v>
      </c>
    </row>
    <row r="42">
      <c r="A42" s="5" t="s">
        <v>24</v>
      </c>
      <c r="B42" s="6">
        <v>45985.0</v>
      </c>
      <c r="C42" s="7" t="str">
        <f t="shared" si="1"/>
        <v>lunes</v>
      </c>
      <c r="D42" s="9">
        <v>49.0</v>
      </c>
      <c r="E42" s="9">
        <v>0.0</v>
      </c>
      <c r="F42" s="10"/>
      <c r="G42" s="10"/>
    </row>
    <row r="43">
      <c r="A43" s="5" t="s">
        <v>24</v>
      </c>
      <c r="B43" s="6">
        <v>45986.0</v>
      </c>
      <c r="C43" s="7" t="str">
        <f t="shared" si="1"/>
        <v>martes</v>
      </c>
      <c r="D43" s="9">
        <v>34.0</v>
      </c>
      <c r="E43" s="9">
        <v>0.0</v>
      </c>
      <c r="F43" s="23">
        <v>45986.791666666664</v>
      </c>
      <c r="G43" s="24">
        <v>1001.0</v>
      </c>
    </row>
    <row r="44">
      <c r="A44" s="5" t="s">
        <v>24</v>
      </c>
      <c r="B44" s="6">
        <v>45987.0</v>
      </c>
      <c r="C44" s="7" t="str">
        <f t="shared" si="1"/>
        <v>miércoles</v>
      </c>
      <c r="D44" s="9">
        <v>88.0</v>
      </c>
      <c r="E44" s="9">
        <v>0.0</v>
      </c>
      <c r="F44" s="10"/>
      <c r="G44" s="10"/>
    </row>
    <row r="45">
      <c r="A45" s="5" t="s">
        <v>24</v>
      </c>
      <c r="B45" s="6">
        <v>45988.0</v>
      </c>
      <c r="C45" s="7" t="str">
        <f t="shared" si="1"/>
        <v>jueves</v>
      </c>
      <c r="D45" s="9">
        <v>100.0</v>
      </c>
      <c r="E45" s="9">
        <v>0.0</v>
      </c>
      <c r="F45" s="10"/>
      <c r="G45" s="10"/>
    </row>
    <row r="46">
      <c r="A46" s="5" t="s">
        <v>24</v>
      </c>
      <c r="B46" s="6">
        <v>45989.0</v>
      </c>
      <c r="C46" s="7" t="str">
        <f t="shared" si="1"/>
        <v>viernes</v>
      </c>
      <c r="D46" s="9">
        <v>105.0</v>
      </c>
      <c r="E46" s="9">
        <v>0.0</v>
      </c>
      <c r="F46" s="10"/>
      <c r="G46" s="10"/>
    </row>
    <row r="47">
      <c r="A47" s="5" t="s">
        <v>24</v>
      </c>
      <c r="B47" s="6">
        <v>45990.0</v>
      </c>
      <c r="C47" s="7" t="str">
        <f t="shared" si="1"/>
        <v>sábado</v>
      </c>
      <c r="D47" s="9">
        <v>105.0</v>
      </c>
      <c r="E47" s="9">
        <v>0.0</v>
      </c>
      <c r="F47" s="10"/>
      <c r="G47" s="10"/>
    </row>
    <row r="48">
      <c r="A48" s="5" t="s">
        <v>24</v>
      </c>
      <c r="B48" s="6">
        <v>45991.0</v>
      </c>
      <c r="C48" s="7" t="str">
        <f t="shared" si="1"/>
        <v>domingo</v>
      </c>
      <c r="D48" s="9">
        <v>100.0</v>
      </c>
      <c r="E48" s="9">
        <v>0.0</v>
      </c>
      <c r="F48" s="10"/>
      <c r="G48" s="10"/>
    </row>
    <row r="49">
      <c r="A49" s="5" t="s">
        <v>24</v>
      </c>
      <c r="B49" s="6">
        <v>45992.0</v>
      </c>
      <c r="C49" s="7" t="str">
        <f t="shared" si="1"/>
        <v>lunes</v>
      </c>
      <c r="D49" s="9">
        <v>102.0</v>
      </c>
      <c r="E49" s="9">
        <v>0.0</v>
      </c>
      <c r="F49" s="10"/>
      <c r="G49" s="10"/>
    </row>
    <row r="50">
      <c r="A50" s="5" t="s">
        <v>24</v>
      </c>
      <c r="B50" s="6">
        <v>45993.0</v>
      </c>
      <c r="C50" s="7" t="str">
        <f t="shared" si="1"/>
        <v>martes</v>
      </c>
      <c r="D50" s="9">
        <v>99.0</v>
      </c>
      <c r="E50" s="9">
        <v>0.0</v>
      </c>
      <c r="F50" s="10"/>
      <c r="G50" s="10"/>
    </row>
    <row r="51">
      <c r="A51" s="5" t="s">
        <v>24</v>
      </c>
      <c r="B51" s="6">
        <v>45994.0</v>
      </c>
      <c r="C51" s="7" t="str">
        <f t="shared" si="1"/>
        <v>miércoles</v>
      </c>
      <c r="D51" s="9">
        <v>96.0</v>
      </c>
      <c r="E51" s="9">
        <v>0.0</v>
      </c>
      <c r="F51" s="10"/>
      <c r="G51" s="10"/>
    </row>
    <row r="52">
      <c r="A52" s="5" t="s">
        <v>24</v>
      </c>
      <c r="B52" s="6">
        <v>45995.0</v>
      </c>
      <c r="C52" s="7" t="str">
        <f t="shared" si="1"/>
        <v>jueves</v>
      </c>
      <c r="D52" s="9">
        <v>111.0</v>
      </c>
      <c r="E52" s="9">
        <v>0.0</v>
      </c>
      <c r="F52" s="10"/>
      <c r="G52" s="10"/>
    </row>
    <row r="53">
      <c r="A53" s="5" t="s">
        <v>24</v>
      </c>
      <c r="B53" s="6">
        <v>45996.0</v>
      </c>
      <c r="C53" s="7" t="str">
        <f t="shared" si="1"/>
        <v>viernes</v>
      </c>
      <c r="D53" s="9">
        <v>90.0</v>
      </c>
      <c r="E53" s="9">
        <v>0.0</v>
      </c>
      <c r="F53" s="10"/>
      <c r="G53" s="10"/>
    </row>
    <row r="54">
      <c r="A54" s="5" t="s">
        <v>24</v>
      </c>
      <c r="B54" s="6">
        <v>45997.0</v>
      </c>
      <c r="C54" s="7" t="str">
        <f t="shared" si="1"/>
        <v>sábado</v>
      </c>
      <c r="D54" s="9">
        <v>71.0</v>
      </c>
      <c r="E54" s="9">
        <v>0.0</v>
      </c>
      <c r="F54" s="10"/>
      <c r="G54" s="10"/>
    </row>
    <row r="55">
      <c r="A55" s="5" t="s">
        <v>24</v>
      </c>
      <c r="B55" s="6">
        <v>45998.0</v>
      </c>
      <c r="C55" s="7" t="str">
        <f t="shared" si="1"/>
        <v>domingo</v>
      </c>
      <c r="D55" s="9">
        <v>64.0</v>
      </c>
      <c r="E55" s="9">
        <v>0.0</v>
      </c>
      <c r="F55" s="10"/>
      <c r="G55" s="10"/>
    </row>
    <row r="56">
      <c r="A56" s="5" t="s">
        <v>24</v>
      </c>
      <c r="B56" s="6">
        <v>45999.0</v>
      </c>
      <c r="C56" s="7" t="str">
        <f t="shared" si="1"/>
        <v>lunes</v>
      </c>
      <c r="D56" s="9">
        <v>34.0</v>
      </c>
      <c r="E56" s="9">
        <v>0.0</v>
      </c>
      <c r="F56" s="10"/>
      <c r="G56" s="10"/>
    </row>
    <row r="57">
      <c r="A57" s="5" t="s">
        <v>24</v>
      </c>
      <c r="B57" s="6">
        <v>46000.0</v>
      </c>
      <c r="C57" s="7" t="str">
        <f t="shared" si="1"/>
        <v>martes</v>
      </c>
      <c r="D57" s="9">
        <v>119.0</v>
      </c>
      <c r="E57" s="9">
        <v>0.0</v>
      </c>
      <c r="F57" s="10"/>
      <c r="G57" s="10"/>
    </row>
    <row r="58">
      <c r="A58" s="5" t="s">
        <v>24</v>
      </c>
      <c r="B58" s="6">
        <v>46001.0</v>
      </c>
      <c r="C58" s="7" t="str">
        <f t="shared" si="1"/>
        <v>miércoles</v>
      </c>
      <c r="D58" s="9">
        <v>107.0</v>
      </c>
      <c r="E58" s="9">
        <v>0.0</v>
      </c>
      <c r="F58" s="10"/>
      <c r="G58" s="10"/>
    </row>
    <row r="59">
      <c r="A59" s="5" t="s">
        <v>24</v>
      </c>
      <c r="B59" s="6">
        <v>46002.0</v>
      </c>
      <c r="C59" s="7" t="str">
        <f t="shared" si="1"/>
        <v>jueves</v>
      </c>
      <c r="D59" s="9">
        <v>86.0</v>
      </c>
      <c r="E59" s="9">
        <v>0.0</v>
      </c>
      <c r="F59" s="10"/>
      <c r="G59" s="10"/>
    </row>
    <row r="60">
      <c r="A60" s="5" t="s">
        <v>24</v>
      </c>
      <c r="B60" s="6">
        <v>46003.0</v>
      </c>
      <c r="C60" s="7" t="str">
        <f t="shared" si="1"/>
        <v>viernes</v>
      </c>
      <c r="D60" s="9">
        <v>93.0</v>
      </c>
      <c r="E60" s="9">
        <v>0.0</v>
      </c>
      <c r="F60" s="10"/>
      <c r="G60" s="10"/>
    </row>
    <row r="61">
      <c r="A61" s="5" t="s">
        <v>24</v>
      </c>
      <c r="B61" s="6">
        <v>46004.0</v>
      </c>
      <c r="C61" s="7" t="str">
        <f t="shared" si="1"/>
        <v>sábado</v>
      </c>
      <c r="D61" s="30">
        <v>57.0</v>
      </c>
      <c r="E61" s="9">
        <v>0.0</v>
      </c>
      <c r="F61" s="10"/>
      <c r="G61" s="10"/>
    </row>
    <row r="62">
      <c r="A62" s="5" t="s">
        <v>24</v>
      </c>
      <c r="B62" s="6">
        <v>46005.0</v>
      </c>
      <c r="C62" s="7" t="str">
        <f t="shared" si="1"/>
        <v>domingo</v>
      </c>
      <c r="D62" s="9">
        <v>23.0</v>
      </c>
      <c r="E62" s="9">
        <v>0.0</v>
      </c>
      <c r="F62" s="23">
        <v>46005.291666666664</v>
      </c>
      <c r="G62" s="24">
        <v>1001.0</v>
      </c>
    </row>
    <row r="63">
      <c r="A63" s="5" t="s">
        <v>24</v>
      </c>
      <c r="B63" s="6">
        <v>46006.0</v>
      </c>
      <c r="C63" s="7" t="str">
        <f t="shared" si="1"/>
        <v>lunes</v>
      </c>
      <c r="D63" s="9">
        <v>34.0</v>
      </c>
      <c r="E63" s="9">
        <v>0.0</v>
      </c>
      <c r="F63" s="10"/>
      <c r="G63" s="10"/>
    </row>
    <row r="64">
      <c r="A64" s="5" t="s">
        <v>24</v>
      </c>
      <c r="B64" s="6">
        <v>46007.0</v>
      </c>
      <c r="C64" s="7" t="str">
        <f t="shared" si="1"/>
        <v>martes</v>
      </c>
      <c r="D64" s="9">
        <v>69.0</v>
      </c>
      <c r="E64" s="9">
        <v>0.0</v>
      </c>
      <c r="F64" s="10"/>
      <c r="G64" s="10"/>
    </row>
    <row r="65">
      <c r="A65" s="5" t="s">
        <v>24</v>
      </c>
      <c r="B65" s="6">
        <v>46008.0</v>
      </c>
      <c r="C65" s="7" t="str">
        <f t="shared" si="1"/>
        <v>miércoles</v>
      </c>
      <c r="D65" s="9">
        <v>66.0</v>
      </c>
      <c r="E65" s="9">
        <v>0.0</v>
      </c>
      <c r="F65" s="23">
        <v>46008.708333333336</v>
      </c>
      <c r="G65" s="24">
        <v>1001.0</v>
      </c>
    </row>
    <row r="66">
      <c r="A66" s="5" t="s">
        <v>24</v>
      </c>
      <c r="B66" s="6">
        <v>46009.0</v>
      </c>
      <c r="C66" s="7" t="str">
        <f t="shared" si="1"/>
        <v>jueves</v>
      </c>
      <c r="D66" s="9">
        <v>64.0</v>
      </c>
      <c r="E66" s="9">
        <v>0.0</v>
      </c>
      <c r="F66" s="23">
        <v>46009.75</v>
      </c>
      <c r="G66" s="24">
        <v>1001.0</v>
      </c>
    </row>
    <row r="67">
      <c r="A67" s="5" t="s">
        <v>24</v>
      </c>
      <c r="B67" s="6">
        <v>46010.0</v>
      </c>
      <c r="C67" s="7" t="str">
        <f t="shared" si="1"/>
        <v>viernes</v>
      </c>
      <c r="D67" s="9">
        <v>70.0</v>
      </c>
      <c r="E67" s="9">
        <v>0.0</v>
      </c>
      <c r="F67" s="10"/>
      <c r="G67" s="10"/>
    </row>
    <row r="68">
      <c r="A68" s="5" t="s">
        <v>24</v>
      </c>
      <c r="B68" s="6">
        <v>46011.0</v>
      </c>
      <c r="C68" s="7" t="str">
        <f t="shared" si="1"/>
        <v>sábado</v>
      </c>
      <c r="D68" s="9">
        <v>42.0</v>
      </c>
      <c r="E68" s="9">
        <v>0.0</v>
      </c>
      <c r="F68" s="23">
        <v>46011.458333333336</v>
      </c>
      <c r="G68" s="24">
        <v>1001.0</v>
      </c>
    </row>
    <row r="69">
      <c r="A69" s="5" t="s">
        <v>24</v>
      </c>
      <c r="B69" s="6">
        <v>46012.0</v>
      </c>
      <c r="C69" s="7" t="str">
        <f t="shared" si="1"/>
        <v>domingo</v>
      </c>
      <c r="D69" s="9">
        <v>47.0</v>
      </c>
      <c r="E69" s="9">
        <v>0.0</v>
      </c>
      <c r="F69" s="10"/>
      <c r="G69" s="10"/>
    </row>
    <row r="70">
      <c r="A70" s="5" t="s">
        <v>24</v>
      </c>
      <c r="B70" s="6">
        <v>46013.0</v>
      </c>
      <c r="C70" s="7" t="str">
        <f t="shared" si="1"/>
        <v>lunes</v>
      </c>
      <c r="D70" s="9">
        <v>59.0</v>
      </c>
      <c r="E70" s="9">
        <v>0.0</v>
      </c>
      <c r="F70" s="23">
        <v>46013.875</v>
      </c>
      <c r="G70" s="24">
        <v>2001.0</v>
      </c>
    </row>
    <row r="71">
      <c r="A71" s="5" t="s">
        <v>24</v>
      </c>
      <c r="B71" s="6">
        <v>46014.0</v>
      </c>
      <c r="C71" s="7" t="str">
        <f t="shared" si="1"/>
        <v>martes</v>
      </c>
      <c r="D71" s="9">
        <v>56.0</v>
      </c>
      <c r="E71" s="9">
        <v>0.0</v>
      </c>
      <c r="F71" s="10"/>
      <c r="G71" s="10"/>
    </row>
    <row r="72">
      <c r="A72" s="5" t="s">
        <v>24</v>
      </c>
      <c r="B72" s="6">
        <v>46015.0</v>
      </c>
      <c r="C72" s="7" t="str">
        <f t="shared" si="1"/>
        <v>miércoles</v>
      </c>
      <c r="D72" s="9">
        <v>32.0</v>
      </c>
      <c r="E72" s="9">
        <v>0.0</v>
      </c>
      <c r="F72" s="23">
        <v>46015.416666666664</v>
      </c>
      <c r="G72" s="24">
        <v>1001.0</v>
      </c>
    </row>
    <row r="73">
      <c r="A73" s="5" t="s">
        <v>24</v>
      </c>
      <c r="B73" s="6">
        <v>46016.0</v>
      </c>
      <c r="C73" s="7" t="str">
        <f t="shared" si="1"/>
        <v>jueves</v>
      </c>
      <c r="D73" s="9">
        <v>38.0</v>
      </c>
      <c r="E73" s="9">
        <v>0.0</v>
      </c>
      <c r="F73" s="23">
        <v>46016.333333333336</v>
      </c>
      <c r="G73" s="24">
        <v>1001.0</v>
      </c>
    </row>
    <row r="74">
      <c r="B74" s="6">
        <v>46017.0</v>
      </c>
      <c r="C74" s="7" t="str">
        <f t="shared" si="1"/>
        <v>viernes</v>
      </c>
      <c r="D74" s="9">
        <v>56.0</v>
      </c>
    </row>
    <row r="75">
      <c r="B75" s="6">
        <v>46018.0</v>
      </c>
      <c r="C75" s="7" t="str">
        <f t="shared" si="1"/>
        <v>sábado</v>
      </c>
      <c r="D75" s="9">
        <v>46.0</v>
      </c>
    </row>
    <row r="76">
      <c r="B76" s="6">
        <v>46019.0</v>
      </c>
      <c r="C76" s="7" t="str">
        <f t="shared" si="1"/>
        <v>domingo</v>
      </c>
      <c r="D76" s="9">
        <v>15.0</v>
      </c>
    </row>
    <row r="77">
      <c r="B77" s="6">
        <v>46020.0</v>
      </c>
      <c r="C77" s="7" t="str">
        <f t="shared" si="1"/>
        <v>lunes</v>
      </c>
      <c r="D77" s="9">
        <v>54.0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4.63"/>
    <col customWidth="1" min="6" max="6" width="21.25"/>
  </cols>
  <sheetData>
    <row r="1">
      <c r="A1" s="22" t="s">
        <v>0</v>
      </c>
      <c r="B1" s="22" t="s">
        <v>1</v>
      </c>
      <c r="C1" s="2" t="s">
        <v>2</v>
      </c>
      <c r="D1" s="22" t="s">
        <v>22</v>
      </c>
      <c r="E1" s="22" t="s">
        <v>4</v>
      </c>
      <c r="F1" s="22" t="s">
        <v>5</v>
      </c>
      <c r="G1" s="22" t="s">
        <v>6</v>
      </c>
    </row>
    <row r="2">
      <c r="A2" s="5" t="s">
        <v>25</v>
      </c>
      <c r="B2" s="6">
        <v>45945.0</v>
      </c>
      <c r="C2" s="7" t="str">
        <f t="shared" ref="C2:C77" si="1">TEXT(B2,"dddd")</f>
        <v>miércoles</v>
      </c>
      <c r="D2" s="9">
        <v>89.96</v>
      </c>
      <c r="E2" s="9">
        <v>0.0</v>
      </c>
      <c r="F2" s="10"/>
      <c r="G2" s="10"/>
      <c r="J2" s="7" t="s">
        <v>8</v>
      </c>
      <c r="L2" s="11"/>
      <c r="M2" s="12" t="s">
        <v>9</v>
      </c>
    </row>
    <row r="3">
      <c r="A3" s="5" t="s">
        <v>25</v>
      </c>
      <c r="B3" s="6">
        <v>45946.0</v>
      </c>
      <c r="C3" s="7" t="str">
        <f t="shared" si="1"/>
        <v>jueves</v>
      </c>
      <c r="D3" s="9">
        <v>84.73</v>
      </c>
      <c r="E3" s="9">
        <v>0.0</v>
      </c>
      <c r="F3" s="10"/>
      <c r="G3" s="10"/>
      <c r="I3" s="13" t="s">
        <v>10</v>
      </c>
      <c r="J3" s="14">
        <f t="shared" ref="J3:J9" si="2">SUMIF($C$2:$C$77,I3,$D$2:$D$77)</f>
        <v>1131.39</v>
      </c>
      <c r="L3" s="14" t="s">
        <v>10</v>
      </c>
      <c r="M3" s="14">
        <f t="shared" ref="M3:M9" si="3">AVERAGEIF($C$2:$C$77,L3,$D$2:$D$77)</f>
        <v>102.8536364</v>
      </c>
    </row>
    <row r="4">
      <c r="A4" s="5" t="s">
        <v>25</v>
      </c>
      <c r="B4" s="6">
        <v>45947.0</v>
      </c>
      <c r="C4" s="7" t="str">
        <f t="shared" si="1"/>
        <v>viernes</v>
      </c>
      <c r="D4" s="9">
        <v>102.66</v>
      </c>
      <c r="E4" s="9">
        <v>0.0</v>
      </c>
      <c r="F4" s="10"/>
      <c r="G4" s="10"/>
      <c r="I4" s="15" t="s">
        <v>11</v>
      </c>
      <c r="J4" s="14">
        <f t="shared" si="2"/>
        <v>995.38</v>
      </c>
      <c r="L4" s="31" t="s">
        <v>11</v>
      </c>
      <c r="M4" s="14">
        <f t="shared" si="3"/>
        <v>99.538</v>
      </c>
    </row>
    <row r="5">
      <c r="A5" s="5" t="s">
        <v>25</v>
      </c>
      <c r="B5" s="6">
        <v>45948.0</v>
      </c>
      <c r="C5" s="7" t="str">
        <f t="shared" si="1"/>
        <v>sábado</v>
      </c>
      <c r="D5" s="9">
        <v>96.04</v>
      </c>
      <c r="E5" s="9">
        <v>0.0</v>
      </c>
      <c r="F5" s="10"/>
      <c r="G5" s="10"/>
      <c r="I5" s="7" t="s">
        <v>12</v>
      </c>
      <c r="J5" s="14">
        <f t="shared" si="2"/>
        <v>1021.62</v>
      </c>
      <c r="L5" s="7" t="s">
        <v>12</v>
      </c>
      <c r="M5" s="14">
        <f t="shared" si="3"/>
        <v>92.87454545</v>
      </c>
    </row>
    <row r="6">
      <c r="A6" s="5" t="s">
        <v>25</v>
      </c>
      <c r="B6" s="6">
        <v>45949.0</v>
      </c>
      <c r="C6" s="7" t="str">
        <f t="shared" si="1"/>
        <v>domingo</v>
      </c>
      <c r="D6" s="9">
        <v>88.31</v>
      </c>
      <c r="E6" s="9">
        <v>0.0</v>
      </c>
      <c r="F6" s="10"/>
      <c r="G6" s="10"/>
      <c r="I6" s="13" t="s">
        <v>13</v>
      </c>
      <c r="J6" s="14">
        <f t="shared" si="2"/>
        <v>1072.35</v>
      </c>
      <c r="L6" s="14" t="s">
        <v>13</v>
      </c>
      <c r="M6" s="14">
        <f t="shared" si="3"/>
        <v>97.48636364</v>
      </c>
    </row>
    <row r="7">
      <c r="A7" s="5" t="s">
        <v>25</v>
      </c>
      <c r="B7" s="6">
        <v>45950.0</v>
      </c>
      <c r="C7" s="7" t="str">
        <f t="shared" si="1"/>
        <v>lunes</v>
      </c>
      <c r="D7" s="9">
        <v>94.09</v>
      </c>
      <c r="E7" s="9">
        <v>0.0</v>
      </c>
      <c r="F7" s="10"/>
      <c r="G7" s="10"/>
      <c r="I7" s="13" t="s">
        <v>14</v>
      </c>
      <c r="J7" s="14">
        <f t="shared" si="2"/>
        <v>1092.09</v>
      </c>
      <c r="L7" s="14" t="s">
        <v>14</v>
      </c>
      <c r="M7" s="14">
        <f t="shared" si="3"/>
        <v>99.28090909</v>
      </c>
    </row>
    <row r="8">
      <c r="A8" s="5" t="s">
        <v>25</v>
      </c>
      <c r="B8" s="6">
        <v>45951.0</v>
      </c>
      <c r="C8" s="7" t="str">
        <f t="shared" si="1"/>
        <v>martes</v>
      </c>
      <c r="D8" s="9">
        <v>108.58</v>
      </c>
      <c r="E8" s="9">
        <v>0.0</v>
      </c>
      <c r="F8" s="10"/>
      <c r="G8" s="10"/>
      <c r="I8" s="13" t="s">
        <v>15</v>
      </c>
      <c r="J8" s="14">
        <f t="shared" si="2"/>
        <v>925.08</v>
      </c>
      <c r="L8" s="14" t="s">
        <v>15</v>
      </c>
      <c r="M8" s="14">
        <f t="shared" si="3"/>
        <v>84.09818182</v>
      </c>
    </row>
    <row r="9">
      <c r="A9" s="5" t="s">
        <v>25</v>
      </c>
      <c r="B9" s="6">
        <v>45952.0</v>
      </c>
      <c r="C9" s="7" t="str">
        <f t="shared" si="1"/>
        <v>miércoles</v>
      </c>
      <c r="D9" s="9">
        <v>97.57</v>
      </c>
      <c r="E9" s="9">
        <v>0.0</v>
      </c>
      <c r="F9" s="10"/>
      <c r="G9" s="10"/>
      <c r="I9" s="7" t="s">
        <v>16</v>
      </c>
      <c r="J9" s="14">
        <f t="shared" si="2"/>
        <v>918.72</v>
      </c>
      <c r="L9" s="31" t="s">
        <v>16</v>
      </c>
      <c r="M9" s="14">
        <f t="shared" si="3"/>
        <v>83.52</v>
      </c>
    </row>
    <row r="10">
      <c r="A10" s="5" t="s">
        <v>25</v>
      </c>
      <c r="B10" s="6">
        <v>45953.0</v>
      </c>
      <c r="C10" s="7" t="str">
        <f t="shared" si="1"/>
        <v>jueves</v>
      </c>
      <c r="D10" s="9">
        <v>77.06</v>
      </c>
      <c r="E10" s="9">
        <v>0.0</v>
      </c>
      <c r="F10" s="10"/>
      <c r="G10" s="10"/>
    </row>
    <row r="11">
      <c r="A11" s="5" t="s">
        <v>25</v>
      </c>
      <c r="B11" s="6">
        <v>45954.0</v>
      </c>
      <c r="C11" s="7" t="str">
        <f t="shared" si="1"/>
        <v>viernes</v>
      </c>
      <c r="D11" s="9">
        <v>82.49</v>
      </c>
      <c r="E11" s="9">
        <v>0.0</v>
      </c>
      <c r="F11" s="10"/>
      <c r="G11" s="10"/>
      <c r="I11" s="7" t="s">
        <v>17</v>
      </c>
      <c r="J11" s="13">
        <f>SUM($D$2:$D$77)</f>
        <v>7156.63</v>
      </c>
    </row>
    <row r="12">
      <c r="A12" s="5" t="s">
        <v>25</v>
      </c>
      <c r="B12" s="6">
        <v>45955.0</v>
      </c>
      <c r="C12" s="7" t="str">
        <f t="shared" si="1"/>
        <v>sábado</v>
      </c>
      <c r="D12" s="9">
        <v>88.94</v>
      </c>
      <c r="E12" s="9">
        <v>0.0</v>
      </c>
      <c r="F12" s="10"/>
      <c r="G12" s="10"/>
      <c r="I12" s="7" t="s">
        <v>18</v>
      </c>
      <c r="J12" s="32">
        <f>AVERAGE($D$2:$D$77)</f>
        <v>94.16618421</v>
      </c>
    </row>
    <row r="13">
      <c r="A13" s="5" t="s">
        <v>25</v>
      </c>
      <c r="B13" s="6">
        <v>45956.0</v>
      </c>
      <c r="C13" s="7" t="str">
        <f t="shared" si="1"/>
        <v>domingo</v>
      </c>
      <c r="D13" s="9">
        <v>73.78</v>
      </c>
      <c r="E13" s="9">
        <v>0.0</v>
      </c>
      <c r="F13" s="23">
        <v>45956.208333333336</v>
      </c>
      <c r="G13" s="24">
        <v>121.0</v>
      </c>
      <c r="I13" s="7" t="s">
        <v>19</v>
      </c>
      <c r="J13" s="14">
        <f>MAX($D$2:$D$77)</f>
        <v>154.91</v>
      </c>
    </row>
    <row r="14">
      <c r="A14" s="5" t="s">
        <v>25</v>
      </c>
      <c r="B14" s="6">
        <v>45957.0</v>
      </c>
      <c r="C14" s="7" t="str">
        <f t="shared" si="1"/>
        <v>lunes</v>
      </c>
      <c r="D14" s="9">
        <v>84.85</v>
      </c>
      <c r="E14" s="9">
        <v>0.0</v>
      </c>
      <c r="F14" s="10"/>
      <c r="G14" s="10"/>
      <c r="I14" s="7" t="s">
        <v>20</v>
      </c>
      <c r="J14" s="14">
        <f>MIN($D$2:$D$77)</f>
        <v>62.64</v>
      </c>
    </row>
    <row r="15">
      <c r="A15" s="5" t="s">
        <v>25</v>
      </c>
      <c r="B15" s="6">
        <v>45958.0</v>
      </c>
      <c r="C15" s="7" t="str">
        <f t="shared" si="1"/>
        <v>martes</v>
      </c>
      <c r="D15" s="9">
        <v>91.48</v>
      </c>
      <c r="E15" s="9">
        <v>0.0</v>
      </c>
      <c r="F15" s="10"/>
      <c r="G15" s="10"/>
    </row>
    <row r="16">
      <c r="A16" s="5" t="s">
        <v>25</v>
      </c>
      <c r="B16" s="6">
        <v>45959.0</v>
      </c>
      <c r="C16" s="7" t="str">
        <f t="shared" si="1"/>
        <v>miércoles</v>
      </c>
      <c r="D16" s="9">
        <v>91.14</v>
      </c>
      <c r="E16" s="9">
        <v>0.0</v>
      </c>
      <c r="F16" s="10"/>
      <c r="G16" s="10"/>
    </row>
    <row r="17">
      <c r="A17" s="5" t="s">
        <v>25</v>
      </c>
      <c r="B17" s="6">
        <v>45960.0</v>
      </c>
      <c r="C17" s="7" t="str">
        <f t="shared" si="1"/>
        <v>jueves</v>
      </c>
      <c r="D17" s="9">
        <v>88.01</v>
      </c>
      <c r="E17" s="9">
        <v>0.0</v>
      </c>
      <c r="F17" s="10"/>
      <c r="G17" s="10"/>
    </row>
    <row r="18">
      <c r="A18" s="5" t="s">
        <v>25</v>
      </c>
      <c r="B18" s="6">
        <v>45961.0</v>
      </c>
      <c r="C18" s="7" t="str">
        <f t="shared" si="1"/>
        <v>viernes</v>
      </c>
      <c r="D18" s="9">
        <v>75.11</v>
      </c>
      <c r="E18" s="9">
        <v>0.0</v>
      </c>
      <c r="F18" s="10"/>
      <c r="G18" s="10"/>
    </row>
    <row r="19">
      <c r="A19" s="5" t="s">
        <v>25</v>
      </c>
      <c r="B19" s="6">
        <v>45962.0</v>
      </c>
      <c r="C19" s="7" t="str">
        <f t="shared" si="1"/>
        <v>sábado</v>
      </c>
      <c r="D19" s="9">
        <v>75.13</v>
      </c>
      <c r="E19" s="9">
        <v>0.0</v>
      </c>
      <c r="F19" s="10"/>
      <c r="G19" s="10"/>
    </row>
    <row r="20">
      <c r="A20" s="5" t="s">
        <v>25</v>
      </c>
      <c r="B20" s="6">
        <v>45963.0</v>
      </c>
      <c r="C20" s="7" t="str">
        <f t="shared" si="1"/>
        <v>domingo</v>
      </c>
      <c r="D20" s="9">
        <v>97.76</v>
      </c>
      <c r="E20" s="9">
        <v>0.0</v>
      </c>
      <c r="F20" s="10"/>
      <c r="G20" s="10"/>
    </row>
    <row r="21">
      <c r="A21" s="5" t="s">
        <v>25</v>
      </c>
      <c r="B21" s="6">
        <v>45964.0</v>
      </c>
      <c r="C21" s="7" t="str">
        <f t="shared" si="1"/>
        <v>lunes</v>
      </c>
      <c r="D21" s="9">
        <v>82.53</v>
      </c>
      <c r="E21" s="9">
        <v>0.0</v>
      </c>
      <c r="F21" s="10"/>
      <c r="G21" s="10"/>
    </row>
    <row r="22">
      <c r="A22" s="5" t="s">
        <v>25</v>
      </c>
      <c r="B22" s="6">
        <v>45965.0</v>
      </c>
      <c r="C22" s="7" t="str">
        <f t="shared" si="1"/>
        <v>martes</v>
      </c>
      <c r="D22" s="9">
        <v>87.71</v>
      </c>
      <c r="E22" s="9">
        <v>0.0</v>
      </c>
      <c r="F22" s="10"/>
      <c r="G22" s="10"/>
    </row>
    <row r="23">
      <c r="A23" s="5" t="s">
        <v>25</v>
      </c>
      <c r="B23" s="6">
        <v>45966.0</v>
      </c>
      <c r="C23" s="7" t="str">
        <f t="shared" si="1"/>
        <v>miércoles</v>
      </c>
      <c r="D23" s="9">
        <v>82.55</v>
      </c>
      <c r="E23" s="9">
        <v>0.0</v>
      </c>
      <c r="F23" s="10"/>
      <c r="G23" s="10"/>
    </row>
    <row r="24">
      <c r="A24" s="5" t="s">
        <v>25</v>
      </c>
      <c r="B24" s="6">
        <v>45967.0</v>
      </c>
      <c r="C24" s="7" t="str">
        <f t="shared" si="1"/>
        <v>jueves</v>
      </c>
      <c r="D24" s="9">
        <v>64.4</v>
      </c>
      <c r="E24" s="9">
        <v>0.0</v>
      </c>
      <c r="F24" s="10"/>
      <c r="G24" s="10"/>
    </row>
    <row r="25">
      <c r="A25" s="5" t="s">
        <v>25</v>
      </c>
      <c r="B25" s="6">
        <v>45968.0</v>
      </c>
      <c r="C25" s="7" t="str">
        <f t="shared" si="1"/>
        <v>viernes</v>
      </c>
      <c r="D25" s="9">
        <v>74.64</v>
      </c>
      <c r="E25" s="9">
        <v>0.0</v>
      </c>
      <c r="F25" s="10"/>
      <c r="G25" s="10"/>
    </row>
    <row r="26">
      <c r="A26" s="5" t="s">
        <v>25</v>
      </c>
      <c r="B26" s="6">
        <v>45969.0</v>
      </c>
      <c r="C26" s="7" t="str">
        <f t="shared" si="1"/>
        <v>sábado</v>
      </c>
      <c r="D26" s="9">
        <v>64.72</v>
      </c>
      <c r="E26" s="9">
        <v>0.0</v>
      </c>
      <c r="F26" s="10"/>
      <c r="G26" s="10"/>
    </row>
    <row r="27">
      <c r="A27" s="5" t="s">
        <v>25</v>
      </c>
      <c r="B27" s="6">
        <v>45970.0</v>
      </c>
      <c r="C27" s="7" t="str">
        <f t="shared" si="1"/>
        <v>domingo</v>
      </c>
      <c r="D27" s="9">
        <v>64.12</v>
      </c>
      <c r="E27" s="9">
        <v>0.0</v>
      </c>
      <c r="F27" s="10"/>
      <c r="G27" s="10"/>
    </row>
    <row r="28">
      <c r="A28" s="5" t="s">
        <v>25</v>
      </c>
      <c r="B28" s="6">
        <v>45971.0</v>
      </c>
      <c r="C28" s="7" t="str">
        <f t="shared" si="1"/>
        <v>lunes</v>
      </c>
      <c r="D28" s="9">
        <v>74.76</v>
      </c>
      <c r="E28" s="9">
        <v>0.0</v>
      </c>
      <c r="F28" s="23">
        <v>45971.125</v>
      </c>
      <c r="G28" s="24">
        <v>91.0</v>
      </c>
    </row>
    <row r="29">
      <c r="A29" s="5" t="s">
        <v>25</v>
      </c>
      <c r="B29" s="6">
        <v>45972.0</v>
      </c>
      <c r="C29" s="7" t="str">
        <f t="shared" si="1"/>
        <v>martes</v>
      </c>
      <c r="D29" s="9">
        <v>79.37</v>
      </c>
      <c r="E29" s="9">
        <v>0.0</v>
      </c>
      <c r="F29" s="10"/>
      <c r="G29" s="10"/>
    </row>
    <row r="30">
      <c r="A30" s="5" t="s">
        <v>25</v>
      </c>
      <c r="B30" s="6">
        <v>45973.0</v>
      </c>
      <c r="C30" s="7" t="str">
        <f t="shared" si="1"/>
        <v>miércoles</v>
      </c>
      <c r="D30" s="9">
        <v>88.11</v>
      </c>
      <c r="E30" s="9">
        <v>0.0</v>
      </c>
      <c r="F30" s="10"/>
      <c r="G30" s="10"/>
    </row>
    <row r="31">
      <c r="A31" s="5" t="s">
        <v>25</v>
      </c>
      <c r="B31" s="6">
        <v>45974.0</v>
      </c>
      <c r="C31" s="7" t="str">
        <f t="shared" si="1"/>
        <v>jueves</v>
      </c>
      <c r="D31" s="9">
        <v>86.91</v>
      </c>
      <c r="E31" s="9">
        <v>0.0</v>
      </c>
      <c r="F31" s="10"/>
      <c r="G31" s="10"/>
    </row>
    <row r="32">
      <c r="A32" s="5" t="s">
        <v>25</v>
      </c>
      <c r="B32" s="6">
        <v>45975.0</v>
      </c>
      <c r="C32" s="7" t="str">
        <f t="shared" si="1"/>
        <v>viernes</v>
      </c>
      <c r="D32" s="9">
        <v>94.66</v>
      </c>
      <c r="E32" s="9">
        <v>0.0</v>
      </c>
      <c r="F32" s="10"/>
      <c r="G32" s="10"/>
    </row>
    <row r="33">
      <c r="A33" s="5" t="s">
        <v>25</v>
      </c>
      <c r="B33" s="6">
        <v>45976.0</v>
      </c>
      <c r="C33" s="7" t="str">
        <f t="shared" si="1"/>
        <v>sábado</v>
      </c>
      <c r="D33" s="9">
        <v>67.97</v>
      </c>
      <c r="E33" s="9">
        <v>0.0</v>
      </c>
      <c r="F33" s="10"/>
      <c r="G33" s="10"/>
    </row>
    <row r="34">
      <c r="A34" s="5" t="s">
        <v>25</v>
      </c>
      <c r="B34" s="6">
        <v>45977.0</v>
      </c>
      <c r="C34" s="7" t="str">
        <f t="shared" si="1"/>
        <v>domingo</v>
      </c>
      <c r="D34" s="9">
        <v>65.24</v>
      </c>
      <c r="E34" s="9">
        <v>0.0</v>
      </c>
      <c r="F34" s="10"/>
      <c r="G34" s="10"/>
    </row>
    <row r="35">
      <c r="A35" s="5" t="s">
        <v>25</v>
      </c>
      <c r="B35" s="6">
        <v>45978.0</v>
      </c>
      <c r="C35" s="7" t="str">
        <f t="shared" si="1"/>
        <v>lunes</v>
      </c>
      <c r="D35" s="9">
        <v>103.03</v>
      </c>
      <c r="E35" s="9">
        <v>0.0</v>
      </c>
      <c r="F35" s="10"/>
      <c r="G35" s="10"/>
    </row>
    <row r="36">
      <c r="A36" s="5" t="s">
        <v>25</v>
      </c>
      <c r="B36" s="6">
        <v>45979.0</v>
      </c>
      <c r="C36" s="7" t="str">
        <f t="shared" si="1"/>
        <v>martes</v>
      </c>
      <c r="D36" s="9">
        <v>108.65</v>
      </c>
      <c r="E36" s="9">
        <v>0.0</v>
      </c>
      <c r="F36" s="10"/>
      <c r="G36" s="10"/>
    </row>
    <row r="37">
      <c r="A37" s="5" t="s">
        <v>25</v>
      </c>
      <c r="B37" s="6">
        <v>45980.0</v>
      </c>
      <c r="C37" s="7" t="str">
        <f t="shared" si="1"/>
        <v>miércoles</v>
      </c>
      <c r="D37" s="9">
        <v>123.94</v>
      </c>
      <c r="E37" s="9">
        <v>0.0</v>
      </c>
      <c r="F37" s="10"/>
      <c r="G37" s="10"/>
    </row>
    <row r="38">
      <c r="A38" s="5" t="s">
        <v>25</v>
      </c>
      <c r="B38" s="6">
        <v>45981.0</v>
      </c>
      <c r="C38" s="7" t="str">
        <f t="shared" si="1"/>
        <v>jueves</v>
      </c>
      <c r="D38" s="9">
        <v>95.93</v>
      </c>
      <c r="E38" s="9">
        <v>0.0</v>
      </c>
      <c r="F38" s="10"/>
      <c r="G38" s="10"/>
    </row>
    <row r="39">
      <c r="A39" s="5" t="s">
        <v>25</v>
      </c>
      <c r="B39" s="6">
        <v>45982.0</v>
      </c>
      <c r="C39" s="7" t="str">
        <f t="shared" si="1"/>
        <v>viernes</v>
      </c>
      <c r="D39" s="9">
        <v>98.33</v>
      </c>
      <c r="E39" s="9">
        <v>0.0</v>
      </c>
      <c r="F39" s="10"/>
      <c r="G39" s="10"/>
    </row>
    <row r="40">
      <c r="A40" s="5" t="s">
        <v>25</v>
      </c>
      <c r="B40" s="6">
        <v>45983.0</v>
      </c>
      <c r="C40" s="7" t="str">
        <f t="shared" si="1"/>
        <v>sábado</v>
      </c>
      <c r="D40" s="9">
        <v>86.9</v>
      </c>
      <c r="E40" s="9">
        <v>0.0</v>
      </c>
      <c r="F40" s="10"/>
      <c r="G40" s="10"/>
    </row>
    <row r="41">
      <c r="A41" s="5" t="s">
        <v>25</v>
      </c>
      <c r="B41" s="6">
        <v>45984.0</v>
      </c>
      <c r="C41" s="7" t="str">
        <f t="shared" si="1"/>
        <v>domingo</v>
      </c>
      <c r="D41" s="9">
        <v>82.3</v>
      </c>
      <c r="E41" s="9">
        <v>0.0</v>
      </c>
      <c r="F41" s="10"/>
      <c r="G41" s="10"/>
    </row>
    <row r="42">
      <c r="A42" s="5" t="s">
        <v>25</v>
      </c>
      <c r="B42" s="6">
        <v>45985.0</v>
      </c>
      <c r="C42" s="7" t="str">
        <f t="shared" si="1"/>
        <v>lunes</v>
      </c>
      <c r="D42" s="9">
        <v>151.63</v>
      </c>
      <c r="E42" s="9">
        <v>0.0</v>
      </c>
      <c r="F42" s="10"/>
      <c r="G42" s="10"/>
    </row>
    <row r="43">
      <c r="A43" s="5" t="s">
        <v>25</v>
      </c>
      <c r="B43" s="6">
        <v>45986.0</v>
      </c>
      <c r="C43" s="7" t="str">
        <f t="shared" si="1"/>
        <v>martes</v>
      </c>
      <c r="D43" s="9">
        <v>93.43</v>
      </c>
      <c r="E43" s="9">
        <v>0.0</v>
      </c>
      <c r="F43" s="10"/>
      <c r="G43" s="10"/>
    </row>
    <row r="44">
      <c r="A44" s="5" t="s">
        <v>25</v>
      </c>
      <c r="B44" s="6">
        <v>45987.0</v>
      </c>
      <c r="C44" s="7" t="str">
        <f t="shared" si="1"/>
        <v>miércoles</v>
      </c>
      <c r="D44" s="9">
        <v>70.29</v>
      </c>
      <c r="E44" s="9">
        <v>0.0</v>
      </c>
      <c r="F44" s="10"/>
      <c r="G44" s="10"/>
    </row>
    <row r="45">
      <c r="A45" s="5" t="s">
        <v>25</v>
      </c>
      <c r="B45" s="6">
        <v>45988.0</v>
      </c>
      <c r="C45" s="7" t="str">
        <f t="shared" si="1"/>
        <v>jueves</v>
      </c>
      <c r="D45" s="9">
        <v>83.95</v>
      </c>
      <c r="E45" s="9">
        <v>0.0</v>
      </c>
      <c r="F45" s="10"/>
      <c r="G45" s="10"/>
    </row>
    <row r="46">
      <c r="A46" s="5" t="s">
        <v>25</v>
      </c>
      <c r="B46" s="6">
        <v>45989.0</v>
      </c>
      <c r="C46" s="7" t="str">
        <f t="shared" si="1"/>
        <v>viernes</v>
      </c>
      <c r="D46" s="9">
        <v>80.06</v>
      </c>
      <c r="E46" s="9">
        <v>0.0</v>
      </c>
      <c r="F46" s="10"/>
      <c r="G46" s="10"/>
    </row>
    <row r="47">
      <c r="A47" s="5" t="s">
        <v>25</v>
      </c>
      <c r="B47" s="6">
        <v>45990.0</v>
      </c>
      <c r="C47" s="7" t="str">
        <f t="shared" si="1"/>
        <v>sábado</v>
      </c>
      <c r="D47" s="9">
        <v>63.07</v>
      </c>
      <c r="E47" s="9">
        <v>0.0</v>
      </c>
      <c r="F47" s="10"/>
      <c r="G47" s="10"/>
    </row>
    <row r="48">
      <c r="A48" s="5" t="s">
        <v>25</v>
      </c>
      <c r="B48" s="6">
        <v>45991.0</v>
      </c>
      <c r="C48" s="7" t="str">
        <f t="shared" si="1"/>
        <v>domingo</v>
      </c>
      <c r="D48" s="9">
        <v>65.1</v>
      </c>
      <c r="E48" s="9">
        <v>0.0</v>
      </c>
      <c r="F48" s="10"/>
      <c r="G48" s="10"/>
    </row>
    <row r="49">
      <c r="A49" s="5" t="s">
        <v>25</v>
      </c>
      <c r="B49" s="6">
        <v>45992.0</v>
      </c>
      <c r="C49" s="7" t="str">
        <f t="shared" si="1"/>
        <v>lunes</v>
      </c>
      <c r="D49" s="9">
        <v>82.75</v>
      </c>
      <c r="E49" s="9">
        <v>0.0</v>
      </c>
      <c r="F49" s="27">
        <v>45992.083333333336</v>
      </c>
      <c r="G49" s="24">
        <v>51.0</v>
      </c>
    </row>
    <row r="50">
      <c r="A50" s="5" t="s">
        <v>25</v>
      </c>
      <c r="B50" s="6">
        <v>45993.0</v>
      </c>
      <c r="C50" s="7" t="str">
        <f t="shared" si="1"/>
        <v>martes</v>
      </c>
      <c r="D50" s="9">
        <v>88.59</v>
      </c>
      <c r="E50" s="9">
        <v>0.0</v>
      </c>
      <c r="F50" s="10"/>
      <c r="G50" s="10"/>
    </row>
    <row r="51">
      <c r="A51" s="5" t="s">
        <v>25</v>
      </c>
      <c r="B51" s="6">
        <v>45994.0</v>
      </c>
      <c r="C51" s="7" t="str">
        <f t="shared" si="1"/>
        <v>miércoles</v>
      </c>
      <c r="D51" s="9">
        <v>99.19</v>
      </c>
      <c r="E51" s="9">
        <v>0.0</v>
      </c>
      <c r="F51" s="10"/>
      <c r="G51" s="10"/>
    </row>
    <row r="52">
      <c r="A52" s="5" t="s">
        <v>25</v>
      </c>
      <c r="B52" s="6">
        <v>45995.0</v>
      </c>
      <c r="C52" s="7" t="str">
        <f t="shared" si="1"/>
        <v>jueves</v>
      </c>
      <c r="D52" s="9">
        <v>154.91</v>
      </c>
      <c r="E52" s="9">
        <v>0.0</v>
      </c>
      <c r="F52" s="10"/>
      <c r="G52" s="10"/>
    </row>
    <row r="53">
      <c r="A53" s="5" t="s">
        <v>25</v>
      </c>
      <c r="B53" s="6">
        <v>45996.0</v>
      </c>
      <c r="C53" s="7" t="str">
        <f t="shared" si="1"/>
        <v>viernes</v>
      </c>
      <c r="D53" s="9">
        <v>132.62</v>
      </c>
      <c r="E53" s="9">
        <v>0.0</v>
      </c>
      <c r="F53" s="10"/>
      <c r="G53" s="10"/>
    </row>
    <row r="54">
      <c r="A54" s="5" t="s">
        <v>25</v>
      </c>
      <c r="B54" s="6">
        <v>45997.0</v>
      </c>
      <c r="C54" s="7" t="str">
        <f t="shared" si="1"/>
        <v>sábado</v>
      </c>
      <c r="D54" s="9">
        <v>90.29</v>
      </c>
      <c r="E54" s="9">
        <v>0.0</v>
      </c>
      <c r="F54" s="10"/>
      <c r="G54" s="10"/>
    </row>
    <row r="55">
      <c r="A55" s="5" t="s">
        <v>25</v>
      </c>
      <c r="B55" s="6">
        <v>45998.0</v>
      </c>
      <c r="C55" s="7" t="str">
        <f t="shared" si="1"/>
        <v>domingo</v>
      </c>
      <c r="D55" s="9">
        <v>82.7</v>
      </c>
      <c r="E55" s="9">
        <v>0.0</v>
      </c>
      <c r="F55" s="10"/>
      <c r="G55" s="10"/>
    </row>
    <row r="56">
      <c r="A56" s="5" t="s">
        <v>25</v>
      </c>
      <c r="B56" s="6">
        <v>45999.0</v>
      </c>
      <c r="C56" s="7" t="str">
        <f t="shared" si="1"/>
        <v>lunes</v>
      </c>
      <c r="D56" s="9">
        <v>83.21</v>
      </c>
      <c r="E56" s="9">
        <v>0.0</v>
      </c>
      <c r="F56" s="10"/>
      <c r="G56" s="10"/>
    </row>
    <row r="57">
      <c r="A57" s="5" t="s">
        <v>25</v>
      </c>
      <c r="B57" s="6">
        <v>46000.0</v>
      </c>
      <c r="C57" s="7" t="str">
        <f t="shared" si="1"/>
        <v>martes</v>
      </c>
      <c r="D57" s="9">
        <v>115.35</v>
      </c>
      <c r="E57" s="9">
        <v>0.0</v>
      </c>
      <c r="F57" s="10"/>
      <c r="G57" s="10"/>
    </row>
    <row r="58">
      <c r="A58" s="5" t="s">
        <v>25</v>
      </c>
      <c r="B58" s="6">
        <v>46001.0</v>
      </c>
      <c r="C58" s="7" t="str">
        <f t="shared" si="1"/>
        <v>miércoles</v>
      </c>
      <c r="D58" s="9">
        <v>94.71</v>
      </c>
      <c r="E58" s="9">
        <v>0.0</v>
      </c>
      <c r="F58" s="23">
        <v>46001.125</v>
      </c>
      <c r="G58" s="9">
        <v>2.56</v>
      </c>
    </row>
    <row r="59">
      <c r="A59" s="5" t="s">
        <v>25</v>
      </c>
      <c r="B59" s="6">
        <v>46002.0</v>
      </c>
      <c r="C59" s="7" t="str">
        <f t="shared" si="1"/>
        <v>jueves</v>
      </c>
      <c r="D59" s="9">
        <v>87.45</v>
      </c>
      <c r="E59" s="9">
        <v>0.0</v>
      </c>
      <c r="F59" s="10"/>
      <c r="G59" s="10"/>
    </row>
    <row r="60">
      <c r="A60" s="5" t="s">
        <v>25</v>
      </c>
      <c r="B60" s="6">
        <v>46003.0</v>
      </c>
      <c r="C60" s="7" t="str">
        <f t="shared" si="1"/>
        <v>viernes</v>
      </c>
      <c r="D60" s="9">
        <v>103.5</v>
      </c>
      <c r="E60" s="9">
        <v>0.0</v>
      </c>
      <c r="F60" s="10"/>
      <c r="G60" s="10"/>
    </row>
    <row r="61">
      <c r="A61" s="5" t="s">
        <v>25</v>
      </c>
      <c r="B61" s="6">
        <v>46004.0</v>
      </c>
      <c r="C61" s="7" t="str">
        <f t="shared" si="1"/>
        <v>sábado</v>
      </c>
      <c r="D61" s="9">
        <v>83.95</v>
      </c>
      <c r="E61" s="9">
        <v>0.0</v>
      </c>
      <c r="F61" s="10"/>
      <c r="G61" s="10"/>
    </row>
    <row r="62">
      <c r="A62" s="5" t="s">
        <v>25</v>
      </c>
      <c r="B62" s="6">
        <v>46005.0</v>
      </c>
      <c r="C62" s="7" t="str">
        <f t="shared" si="1"/>
        <v>domingo</v>
      </c>
      <c r="D62" s="9">
        <v>87.92</v>
      </c>
      <c r="E62" s="9">
        <v>0.0</v>
      </c>
      <c r="F62" s="10"/>
      <c r="G62" s="10"/>
    </row>
    <row r="63">
      <c r="A63" s="5" t="s">
        <v>25</v>
      </c>
      <c r="B63" s="6">
        <v>46006.0</v>
      </c>
      <c r="C63" s="7" t="str">
        <f t="shared" si="1"/>
        <v>lunes</v>
      </c>
      <c r="D63" s="9">
        <v>118.8</v>
      </c>
      <c r="E63" s="9">
        <v>0.0</v>
      </c>
      <c r="F63" s="23">
        <v>46006.041666666664</v>
      </c>
      <c r="G63" s="9">
        <v>3.25</v>
      </c>
    </row>
    <row r="64">
      <c r="A64" s="5" t="s">
        <v>25</v>
      </c>
      <c r="B64" s="6">
        <v>46007.0</v>
      </c>
      <c r="C64" s="7" t="str">
        <f t="shared" si="1"/>
        <v>martes</v>
      </c>
      <c r="D64" s="9">
        <v>116.4</v>
      </c>
      <c r="E64" s="9">
        <v>0.0</v>
      </c>
      <c r="F64" s="10"/>
      <c r="G64" s="10"/>
    </row>
    <row r="65">
      <c r="A65" s="5" t="s">
        <v>25</v>
      </c>
      <c r="B65" s="6">
        <v>46008.0</v>
      </c>
      <c r="C65" s="7" t="str">
        <f t="shared" si="1"/>
        <v>miércoles</v>
      </c>
      <c r="D65" s="9">
        <v>121.52</v>
      </c>
      <c r="E65" s="9">
        <v>0.0</v>
      </c>
      <c r="F65" s="10"/>
      <c r="G65" s="10"/>
    </row>
    <row r="66">
      <c r="A66" s="5" t="s">
        <v>25</v>
      </c>
      <c r="B66" s="6">
        <v>46009.0</v>
      </c>
      <c r="C66" s="7" t="str">
        <f t="shared" si="1"/>
        <v>jueves</v>
      </c>
      <c r="D66" s="9">
        <v>126.02</v>
      </c>
      <c r="E66" s="9">
        <v>0.0</v>
      </c>
      <c r="F66" s="10"/>
      <c r="G66" s="10"/>
    </row>
    <row r="67">
      <c r="A67" s="5" t="s">
        <v>25</v>
      </c>
      <c r="B67" s="6">
        <v>46010.0</v>
      </c>
      <c r="C67" s="7" t="str">
        <f t="shared" si="1"/>
        <v>viernes</v>
      </c>
      <c r="D67" s="9">
        <v>122.95</v>
      </c>
      <c r="E67" s="9">
        <v>0.0</v>
      </c>
      <c r="F67" s="10"/>
      <c r="G67" s="10"/>
    </row>
    <row r="68">
      <c r="A68" s="5" t="s">
        <v>25</v>
      </c>
      <c r="B68" s="6">
        <v>46011.0</v>
      </c>
      <c r="C68" s="7" t="str">
        <f t="shared" si="1"/>
        <v>sábado</v>
      </c>
      <c r="D68" s="9">
        <v>100.41</v>
      </c>
      <c r="E68" s="9">
        <v>0.0</v>
      </c>
      <c r="F68" s="10"/>
      <c r="G68" s="10"/>
    </row>
    <row r="69">
      <c r="A69" s="5" t="s">
        <v>25</v>
      </c>
      <c r="B69" s="6">
        <v>46012.0</v>
      </c>
      <c r="C69" s="7" t="str">
        <f t="shared" si="1"/>
        <v>domingo</v>
      </c>
      <c r="D69" s="9">
        <v>98.98</v>
      </c>
      <c r="E69" s="9">
        <v>0.0</v>
      </c>
      <c r="F69" s="10"/>
      <c r="G69" s="10"/>
    </row>
    <row r="70">
      <c r="A70" s="5" t="s">
        <v>25</v>
      </c>
      <c r="B70" s="6">
        <v>46013.0</v>
      </c>
      <c r="C70" s="7" t="str">
        <f t="shared" si="1"/>
        <v>lunes</v>
      </c>
      <c r="D70" s="9">
        <v>125.61</v>
      </c>
      <c r="E70" s="9">
        <v>0.0</v>
      </c>
      <c r="F70" s="10"/>
      <c r="G70" s="10"/>
    </row>
    <row r="71">
      <c r="A71" s="5" t="s">
        <v>25</v>
      </c>
      <c r="B71" s="6">
        <v>46014.0</v>
      </c>
      <c r="C71" s="7" t="str">
        <f t="shared" si="1"/>
        <v>martes</v>
      </c>
      <c r="D71" s="9">
        <v>105.82</v>
      </c>
      <c r="E71" s="9">
        <v>0.0</v>
      </c>
      <c r="F71" s="10"/>
      <c r="G71" s="10"/>
    </row>
    <row r="72">
      <c r="A72" s="5" t="s">
        <v>25</v>
      </c>
      <c r="B72" s="6">
        <v>46015.0</v>
      </c>
      <c r="C72" s="7" t="str">
        <f t="shared" si="1"/>
        <v>miércoles</v>
      </c>
      <c r="D72" s="9">
        <v>62.64</v>
      </c>
      <c r="E72" s="9">
        <v>0.0</v>
      </c>
      <c r="F72" s="10"/>
      <c r="G72" s="10"/>
    </row>
    <row r="73">
      <c r="A73" s="5" t="s">
        <v>25</v>
      </c>
      <c r="B73" s="33">
        <v>46016.0</v>
      </c>
      <c r="C73" s="7" t="str">
        <f t="shared" si="1"/>
        <v>jueves</v>
      </c>
      <c r="D73" s="28">
        <v>122.98</v>
      </c>
      <c r="E73" s="9">
        <v>0.0</v>
      </c>
      <c r="F73" s="10"/>
      <c r="G73" s="10"/>
    </row>
    <row r="74">
      <c r="B74" s="6">
        <v>46017.0</v>
      </c>
      <c r="C74" s="7" t="str">
        <f t="shared" si="1"/>
        <v>viernes</v>
      </c>
      <c r="D74" s="28">
        <v>125.07</v>
      </c>
    </row>
    <row r="75">
      <c r="B75" s="33">
        <v>46018.0</v>
      </c>
      <c r="C75" s="7" t="str">
        <f t="shared" si="1"/>
        <v>sábado</v>
      </c>
      <c r="D75" s="28">
        <v>107.66</v>
      </c>
    </row>
    <row r="76">
      <c r="B76" s="6">
        <v>46019.0</v>
      </c>
      <c r="C76" s="7" t="str">
        <f t="shared" si="1"/>
        <v>domingo</v>
      </c>
      <c r="D76" s="28">
        <v>112.51</v>
      </c>
    </row>
    <row r="77">
      <c r="B77" s="33">
        <v>46020.0</v>
      </c>
      <c r="C77" s="7" t="str">
        <f t="shared" si="1"/>
        <v>lunes</v>
      </c>
      <c r="D77" s="28">
        <v>130.13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</cols>
  <sheetData>
    <row r="1">
      <c r="A1" s="22" t="s">
        <v>0</v>
      </c>
      <c r="B1" s="22" t="s">
        <v>1</v>
      </c>
      <c r="C1" s="2" t="s">
        <v>2</v>
      </c>
      <c r="D1" s="22" t="s">
        <v>22</v>
      </c>
      <c r="E1" s="22" t="s">
        <v>4</v>
      </c>
      <c r="F1" s="22" t="s">
        <v>5</v>
      </c>
      <c r="G1" s="22" t="s">
        <v>6</v>
      </c>
    </row>
    <row r="2">
      <c r="A2" s="5" t="s">
        <v>26</v>
      </c>
      <c r="B2" s="6">
        <v>45945.0</v>
      </c>
      <c r="C2" s="7" t="str">
        <f t="shared" ref="C2:C77" si="1">TEXT(B2,"dddd")</f>
        <v>miércoles</v>
      </c>
      <c r="D2" s="9">
        <v>3.19</v>
      </c>
      <c r="E2" s="9">
        <v>0.0</v>
      </c>
      <c r="F2" s="10"/>
      <c r="G2" s="10"/>
      <c r="J2" s="7" t="s">
        <v>8</v>
      </c>
      <c r="L2" s="11"/>
      <c r="M2" s="12" t="s">
        <v>9</v>
      </c>
    </row>
    <row r="3">
      <c r="A3" s="5" t="s">
        <v>26</v>
      </c>
      <c r="B3" s="6">
        <v>45946.0</v>
      </c>
      <c r="C3" s="7" t="str">
        <f t="shared" si="1"/>
        <v>jueves</v>
      </c>
      <c r="D3" s="9">
        <v>2.57</v>
      </c>
      <c r="E3" s="9">
        <v>0.0</v>
      </c>
      <c r="F3" s="23">
        <v>45946.833333333336</v>
      </c>
      <c r="G3" s="24">
        <v>11.0</v>
      </c>
      <c r="I3" s="13" t="s">
        <v>10</v>
      </c>
      <c r="J3" s="13">
        <f t="shared" ref="J3:J9" si="2">SUMIF($C$2:$C$77,I3,$D$2:$D$77)</f>
        <v>42.88</v>
      </c>
      <c r="L3" s="26" t="s">
        <v>10</v>
      </c>
      <c r="M3" s="14">
        <f t="shared" ref="M3:M9" si="3">AVERAGEIF($C$2:$C$77,L3,$D$2:$D$77)</f>
        <v>3.898181818</v>
      </c>
    </row>
    <row r="4">
      <c r="A4" s="5" t="s">
        <v>26</v>
      </c>
      <c r="B4" s="6">
        <v>45947.0</v>
      </c>
      <c r="C4" s="7" t="str">
        <f t="shared" si="1"/>
        <v>viernes</v>
      </c>
      <c r="D4" s="9">
        <v>4.08</v>
      </c>
      <c r="E4" s="9">
        <v>0.0</v>
      </c>
      <c r="F4" s="10"/>
      <c r="G4" s="10"/>
      <c r="I4" s="15" t="s">
        <v>11</v>
      </c>
      <c r="J4" s="13">
        <f t="shared" si="2"/>
        <v>38.95</v>
      </c>
      <c r="L4" s="12" t="s">
        <v>11</v>
      </c>
      <c r="M4" s="14">
        <f t="shared" si="3"/>
        <v>3.895</v>
      </c>
    </row>
    <row r="5">
      <c r="A5" s="5" t="s">
        <v>26</v>
      </c>
      <c r="B5" s="6">
        <v>45948.0</v>
      </c>
      <c r="C5" s="7" t="str">
        <f t="shared" si="1"/>
        <v>sábado</v>
      </c>
      <c r="D5" s="9">
        <v>0.39</v>
      </c>
      <c r="E5" s="9">
        <v>0.0</v>
      </c>
      <c r="F5" s="23">
        <v>45948.791666666664</v>
      </c>
      <c r="G5" s="24">
        <v>11.0</v>
      </c>
      <c r="I5" s="7" t="s">
        <v>12</v>
      </c>
      <c r="J5" s="13">
        <f t="shared" si="2"/>
        <v>36.85</v>
      </c>
      <c r="L5" s="7" t="s">
        <v>12</v>
      </c>
      <c r="M5" s="14">
        <f t="shared" si="3"/>
        <v>3.35</v>
      </c>
    </row>
    <row r="6">
      <c r="A6" s="5" t="s">
        <v>26</v>
      </c>
      <c r="B6" s="6">
        <v>45949.0</v>
      </c>
      <c r="C6" s="7" t="str">
        <f t="shared" si="1"/>
        <v>domingo</v>
      </c>
      <c r="D6" s="9">
        <v>0.01</v>
      </c>
      <c r="E6" s="9">
        <v>0.0</v>
      </c>
      <c r="F6" s="10"/>
      <c r="G6" s="10"/>
      <c r="I6" s="13" t="s">
        <v>13</v>
      </c>
      <c r="J6" s="13">
        <f t="shared" si="2"/>
        <v>34.13</v>
      </c>
      <c r="L6" s="26" t="s">
        <v>13</v>
      </c>
      <c r="M6" s="14">
        <f t="shared" si="3"/>
        <v>3.102727273</v>
      </c>
    </row>
    <row r="7">
      <c r="A7" s="5" t="s">
        <v>26</v>
      </c>
      <c r="B7" s="6">
        <v>45950.0</v>
      </c>
      <c r="C7" s="7" t="str">
        <f t="shared" si="1"/>
        <v>lunes</v>
      </c>
      <c r="D7" s="9">
        <v>4.46</v>
      </c>
      <c r="E7" s="9">
        <v>0.0</v>
      </c>
      <c r="F7" s="10"/>
      <c r="G7" s="10"/>
      <c r="I7" s="13" t="s">
        <v>14</v>
      </c>
      <c r="J7" s="13">
        <f t="shared" si="2"/>
        <v>25.85</v>
      </c>
      <c r="L7" s="26" t="s">
        <v>14</v>
      </c>
      <c r="M7" s="14">
        <f t="shared" si="3"/>
        <v>2.35</v>
      </c>
    </row>
    <row r="8">
      <c r="A8" s="5" t="s">
        <v>26</v>
      </c>
      <c r="B8" s="6">
        <v>45951.0</v>
      </c>
      <c r="C8" s="7" t="str">
        <f t="shared" si="1"/>
        <v>martes</v>
      </c>
      <c r="D8" s="9">
        <v>3.58</v>
      </c>
      <c r="E8" s="9">
        <v>0.0</v>
      </c>
      <c r="F8" s="10"/>
      <c r="G8" s="10"/>
      <c r="I8" s="13" t="s">
        <v>15</v>
      </c>
      <c r="J8" s="13">
        <f t="shared" si="2"/>
        <v>3.65</v>
      </c>
      <c r="L8" s="26" t="s">
        <v>15</v>
      </c>
      <c r="M8" s="14">
        <f t="shared" si="3"/>
        <v>0.3318181818</v>
      </c>
    </row>
    <row r="9">
      <c r="A9" s="5" t="s">
        <v>26</v>
      </c>
      <c r="B9" s="6">
        <v>45952.0</v>
      </c>
      <c r="C9" s="7" t="str">
        <f t="shared" si="1"/>
        <v>miércoles</v>
      </c>
      <c r="D9" s="9">
        <v>3.86</v>
      </c>
      <c r="E9" s="9">
        <v>0.0</v>
      </c>
      <c r="F9" s="10"/>
      <c r="G9" s="10"/>
      <c r="I9" s="7" t="s">
        <v>16</v>
      </c>
      <c r="J9" s="13">
        <f t="shared" si="2"/>
        <v>0.22</v>
      </c>
      <c r="L9" s="12" t="s">
        <v>16</v>
      </c>
      <c r="M9" s="14">
        <f t="shared" si="3"/>
        <v>0.02</v>
      </c>
    </row>
    <row r="10">
      <c r="A10" s="5" t="s">
        <v>26</v>
      </c>
      <c r="B10" s="6">
        <v>45953.0</v>
      </c>
      <c r="C10" s="7" t="str">
        <f t="shared" si="1"/>
        <v>jueves</v>
      </c>
      <c r="D10" s="9">
        <v>3.22</v>
      </c>
      <c r="E10" s="9">
        <v>0.0</v>
      </c>
      <c r="F10" s="10"/>
      <c r="G10" s="10"/>
    </row>
    <row r="11">
      <c r="A11" s="5" t="s">
        <v>26</v>
      </c>
      <c r="B11" s="6">
        <v>45954.0</v>
      </c>
      <c r="C11" s="7" t="str">
        <f t="shared" si="1"/>
        <v>viernes</v>
      </c>
      <c r="D11" s="9">
        <v>4.6</v>
      </c>
      <c r="E11" s="9">
        <v>0.0</v>
      </c>
      <c r="F11" s="10"/>
      <c r="G11" s="10"/>
      <c r="I11" s="7" t="s">
        <v>17</v>
      </c>
      <c r="J11" s="13">
        <f>SUM($D$2:$D$77)</f>
        <v>182.53</v>
      </c>
    </row>
    <row r="12">
      <c r="A12" s="5" t="s">
        <v>26</v>
      </c>
      <c r="B12" s="6">
        <v>45955.0</v>
      </c>
      <c r="C12" s="7" t="str">
        <f t="shared" si="1"/>
        <v>sábado</v>
      </c>
      <c r="D12" s="9">
        <v>0.63</v>
      </c>
      <c r="E12" s="9">
        <v>0.0</v>
      </c>
      <c r="F12" s="23">
        <v>45955.541666666664</v>
      </c>
      <c r="G12" s="24">
        <v>41.0</v>
      </c>
      <c r="I12" s="7" t="s">
        <v>18</v>
      </c>
      <c r="J12" s="26">
        <f>AVERAGE($D$2:$D$77)</f>
        <v>2.401710526</v>
      </c>
    </row>
    <row r="13">
      <c r="A13" s="5" t="s">
        <v>26</v>
      </c>
      <c r="B13" s="6">
        <v>45956.0</v>
      </c>
      <c r="C13" s="7" t="str">
        <f t="shared" si="1"/>
        <v>domingo</v>
      </c>
      <c r="D13" s="9">
        <v>0.14</v>
      </c>
      <c r="E13" s="9">
        <v>0.0</v>
      </c>
      <c r="F13" s="23">
        <v>45956.458333333336</v>
      </c>
      <c r="G13" s="24">
        <v>21.0</v>
      </c>
      <c r="I13" s="7" t="s">
        <v>19</v>
      </c>
      <c r="J13" s="14">
        <f>MAX($D$2:$D$77)</f>
        <v>6.29</v>
      </c>
    </row>
    <row r="14">
      <c r="A14" s="5" t="s">
        <v>26</v>
      </c>
      <c r="B14" s="6">
        <v>45957.0</v>
      </c>
      <c r="C14" s="7" t="str">
        <f t="shared" si="1"/>
        <v>lunes</v>
      </c>
      <c r="D14" s="9">
        <v>4.35</v>
      </c>
      <c r="E14" s="9">
        <v>0.0</v>
      </c>
      <c r="F14" s="10"/>
      <c r="G14" s="10"/>
      <c r="I14" s="7" t="s">
        <v>20</v>
      </c>
      <c r="J14" s="26">
        <f>MIN($D$2:$D$77)</f>
        <v>0</v>
      </c>
    </row>
    <row r="15">
      <c r="A15" s="5" t="s">
        <v>26</v>
      </c>
      <c r="B15" s="6">
        <v>45958.0</v>
      </c>
      <c r="C15" s="7" t="str">
        <f t="shared" si="1"/>
        <v>martes</v>
      </c>
      <c r="D15" s="9">
        <v>5.3</v>
      </c>
      <c r="E15" s="9">
        <v>0.0</v>
      </c>
      <c r="F15" s="10"/>
      <c r="G15" s="10"/>
    </row>
    <row r="16">
      <c r="A16" s="5" t="s">
        <v>26</v>
      </c>
      <c r="B16" s="6">
        <v>45959.0</v>
      </c>
      <c r="C16" s="7" t="str">
        <f t="shared" si="1"/>
        <v>miércoles</v>
      </c>
      <c r="D16" s="9">
        <v>3.8</v>
      </c>
      <c r="E16" s="9">
        <v>0.0</v>
      </c>
      <c r="F16" s="10"/>
      <c r="G16" s="10"/>
    </row>
    <row r="17">
      <c r="A17" s="5" t="s">
        <v>26</v>
      </c>
      <c r="B17" s="6">
        <v>45960.0</v>
      </c>
      <c r="C17" s="7" t="str">
        <f t="shared" si="1"/>
        <v>jueves</v>
      </c>
      <c r="D17" s="9">
        <v>2.68</v>
      </c>
      <c r="E17" s="9">
        <v>0.0</v>
      </c>
      <c r="F17" s="23">
        <v>45960.833333333336</v>
      </c>
      <c r="G17" s="24">
        <v>11.0</v>
      </c>
    </row>
    <row r="18">
      <c r="A18" s="5" t="s">
        <v>26</v>
      </c>
      <c r="B18" s="6">
        <v>45961.0</v>
      </c>
      <c r="C18" s="7" t="str">
        <f t="shared" si="1"/>
        <v>viernes</v>
      </c>
      <c r="D18" s="9">
        <v>0.23</v>
      </c>
      <c r="E18" s="9">
        <v>0.0</v>
      </c>
      <c r="F18" s="23">
        <v>45961.916666666664</v>
      </c>
      <c r="G18" s="24">
        <v>21.0</v>
      </c>
    </row>
    <row r="19">
      <c r="A19" s="5" t="s">
        <v>26</v>
      </c>
      <c r="B19" s="6">
        <v>45962.0</v>
      </c>
      <c r="C19" s="7" t="str">
        <f t="shared" si="1"/>
        <v>sábado</v>
      </c>
      <c r="D19" s="9">
        <v>0.29</v>
      </c>
      <c r="E19" s="9">
        <v>0.0</v>
      </c>
      <c r="F19" s="27">
        <v>45962.333333333336</v>
      </c>
      <c r="G19" s="24">
        <v>11.0</v>
      </c>
    </row>
    <row r="20">
      <c r="A20" s="5" t="s">
        <v>26</v>
      </c>
      <c r="B20" s="6">
        <v>45963.0</v>
      </c>
      <c r="C20" s="7" t="str">
        <f t="shared" si="1"/>
        <v>domingo</v>
      </c>
      <c r="D20" s="9">
        <v>0.01</v>
      </c>
      <c r="E20" s="9">
        <v>0.0</v>
      </c>
      <c r="F20" s="10"/>
      <c r="G20" s="10"/>
    </row>
    <row r="21">
      <c r="A21" s="5" t="s">
        <v>26</v>
      </c>
      <c r="B21" s="6">
        <v>45964.0</v>
      </c>
      <c r="C21" s="7" t="str">
        <f t="shared" si="1"/>
        <v>lunes</v>
      </c>
      <c r="D21" s="9">
        <v>5.73</v>
      </c>
      <c r="E21" s="9">
        <v>0.0</v>
      </c>
      <c r="F21" s="10"/>
      <c r="G21" s="10"/>
    </row>
    <row r="22">
      <c r="A22" s="5" t="s">
        <v>26</v>
      </c>
      <c r="B22" s="6">
        <v>45965.0</v>
      </c>
      <c r="C22" s="7" t="str">
        <f t="shared" si="1"/>
        <v>martes</v>
      </c>
      <c r="D22" s="9">
        <v>4.08</v>
      </c>
      <c r="E22" s="9">
        <v>0.0</v>
      </c>
      <c r="F22" s="10"/>
      <c r="G22" s="10"/>
    </row>
    <row r="23">
      <c r="A23" s="5" t="s">
        <v>26</v>
      </c>
      <c r="B23" s="6">
        <v>45966.0</v>
      </c>
      <c r="C23" s="7" t="str">
        <f t="shared" si="1"/>
        <v>miércoles</v>
      </c>
      <c r="D23" s="9">
        <v>6.29</v>
      </c>
      <c r="E23" s="9">
        <v>0.0</v>
      </c>
      <c r="F23" s="10"/>
      <c r="G23" s="10"/>
    </row>
    <row r="24">
      <c r="A24" s="5" t="s">
        <v>26</v>
      </c>
      <c r="B24" s="6">
        <v>45967.0</v>
      </c>
      <c r="C24" s="7" t="str">
        <f t="shared" si="1"/>
        <v>jueves</v>
      </c>
      <c r="D24" s="9">
        <v>3.75</v>
      </c>
      <c r="E24" s="9">
        <v>0.0</v>
      </c>
      <c r="F24" s="10"/>
      <c r="G24" s="10"/>
    </row>
    <row r="25">
      <c r="A25" s="5" t="s">
        <v>26</v>
      </c>
      <c r="B25" s="6">
        <v>45968.0</v>
      </c>
      <c r="C25" s="7" t="str">
        <f t="shared" si="1"/>
        <v>viernes</v>
      </c>
      <c r="D25" s="9">
        <v>2.03</v>
      </c>
      <c r="E25" s="9">
        <v>0.0</v>
      </c>
      <c r="F25" s="27">
        <v>45968.416666666664</v>
      </c>
      <c r="G25" s="24">
        <v>51.0</v>
      </c>
    </row>
    <row r="26">
      <c r="A26" s="5" t="s">
        <v>26</v>
      </c>
      <c r="B26" s="6">
        <v>45969.0</v>
      </c>
      <c r="C26" s="7" t="str">
        <f t="shared" si="1"/>
        <v>sábado</v>
      </c>
      <c r="D26" s="9">
        <v>0.14</v>
      </c>
      <c r="E26" s="9">
        <v>0.0</v>
      </c>
      <c r="F26" s="27">
        <v>45969.625</v>
      </c>
      <c r="G26" s="24">
        <v>11.0</v>
      </c>
    </row>
    <row r="27">
      <c r="A27" s="5" t="s">
        <v>26</v>
      </c>
      <c r="B27" s="6">
        <v>45970.0</v>
      </c>
      <c r="C27" s="7" t="str">
        <f t="shared" si="1"/>
        <v>domingo</v>
      </c>
      <c r="D27" s="9">
        <v>0.0</v>
      </c>
      <c r="E27" s="9">
        <v>0.0</v>
      </c>
      <c r="F27" s="10"/>
      <c r="G27" s="10"/>
    </row>
    <row r="28">
      <c r="A28" s="5" t="s">
        <v>26</v>
      </c>
      <c r="B28" s="6">
        <v>45971.0</v>
      </c>
      <c r="C28" s="7" t="str">
        <f t="shared" si="1"/>
        <v>lunes</v>
      </c>
      <c r="D28" s="9">
        <v>4.8</v>
      </c>
      <c r="E28" s="9">
        <v>0.0</v>
      </c>
      <c r="F28" s="10"/>
      <c r="G28" s="10"/>
    </row>
    <row r="29">
      <c r="A29" s="5" t="s">
        <v>26</v>
      </c>
      <c r="B29" s="6">
        <v>45972.0</v>
      </c>
      <c r="C29" s="7" t="str">
        <f t="shared" si="1"/>
        <v>martes</v>
      </c>
      <c r="D29" s="9">
        <v>4.2</v>
      </c>
      <c r="E29" s="9">
        <v>0.0</v>
      </c>
      <c r="F29" s="10"/>
      <c r="G29" s="10"/>
    </row>
    <row r="30">
      <c r="A30" s="5" t="s">
        <v>26</v>
      </c>
      <c r="B30" s="6">
        <v>45973.0</v>
      </c>
      <c r="C30" s="7" t="str">
        <f t="shared" si="1"/>
        <v>miércoles</v>
      </c>
      <c r="D30" s="9">
        <v>4.48</v>
      </c>
      <c r="E30" s="9">
        <v>0.0</v>
      </c>
      <c r="F30" s="10"/>
      <c r="G30" s="10"/>
    </row>
    <row r="31">
      <c r="A31" s="5" t="s">
        <v>26</v>
      </c>
      <c r="B31" s="6">
        <v>45974.0</v>
      </c>
      <c r="C31" s="7" t="str">
        <f t="shared" si="1"/>
        <v>jueves</v>
      </c>
      <c r="D31" s="9">
        <v>4.13</v>
      </c>
      <c r="E31" s="9">
        <v>0.0</v>
      </c>
      <c r="F31" s="10"/>
      <c r="G31" s="10"/>
    </row>
    <row r="32">
      <c r="A32" s="5" t="s">
        <v>26</v>
      </c>
      <c r="B32" s="6">
        <v>45975.0</v>
      </c>
      <c r="C32" s="7" t="str">
        <f t="shared" si="1"/>
        <v>viernes</v>
      </c>
      <c r="D32" s="9">
        <v>2.41</v>
      </c>
      <c r="E32" s="9">
        <v>0.0</v>
      </c>
      <c r="F32" s="10"/>
      <c r="G32" s="10"/>
    </row>
    <row r="33">
      <c r="A33" s="5" t="s">
        <v>26</v>
      </c>
      <c r="B33" s="6">
        <v>45976.0</v>
      </c>
      <c r="C33" s="7" t="str">
        <f t="shared" si="1"/>
        <v>sábado</v>
      </c>
      <c r="D33" s="9">
        <v>0.22</v>
      </c>
      <c r="E33" s="9">
        <v>0.0</v>
      </c>
      <c r="F33" s="10"/>
      <c r="G33" s="10"/>
    </row>
    <row r="34">
      <c r="A34" s="5" t="s">
        <v>26</v>
      </c>
      <c r="B34" s="6">
        <v>45977.0</v>
      </c>
      <c r="C34" s="7" t="str">
        <f t="shared" si="1"/>
        <v>domingo</v>
      </c>
      <c r="D34" s="9">
        <v>0.0</v>
      </c>
      <c r="E34" s="9">
        <v>0.0</v>
      </c>
      <c r="F34" s="10"/>
      <c r="G34" s="10"/>
    </row>
    <row r="35">
      <c r="A35" s="5" t="s">
        <v>26</v>
      </c>
      <c r="B35" s="6">
        <v>45978.0</v>
      </c>
      <c r="C35" s="7" t="str">
        <f t="shared" si="1"/>
        <v>lunes</v>
      </c>
      <c r="D35" s="9">
        <v>4.95</v>
      </c>
      <c r="E35" s="9">
        <v>0.0</v>
      </c>
      <c r="F35" s="23">
        <v>45978.416666666664</v>
      </c>
      <c r="G35" s="24">
        <v>21.0</v>
      </c>
    </row>
    <row r="36">
      <c r="A36" s="5" t="s">
        <v>26</v>
      </c>
      <c r="B36" s="6">
        <v>45979.0</v>
      </c>
      <c r="C36" s="7" t="str">
        <f t="shared" si="1"/>
        <v>martes</v>
      </c>
      <c r="D36" s="9">
        <v>4.37</v>
      </c>
      <c r="E36" s="9">
        <v>0.0</v>
      </c>
      <c r="F36" s="10"/>
      <c r="G36" s="10"/>
    </row>
    <row r="37">
      <c r="A37" s="5" t="s">
        <v>26</v>
      </c>
      <c r="B37" s="6">
        <v>45980.0</v>
      </c>
      <c r="C37" s="7" t="str">
        <f t="shared" si="1"/>
        <v>miércoles</v>
      </c>
      <c r="D37" s="9">
        <v>2.47</v>
      </c>
      <c r="E37" s="9">
        <v>0.0</v>
      </c>
      <c r="F37" s="10"/>
      <c r="G37" s="10"/>
    </row>
    <row r="38">
      <c r="A38" s="5" t="s">
        <v>26</v>
      </c>
      <c r="B38" s="6">
        <v>45981.0</v>
      </c>
      <c r="C38" s="7" t="str">
        <f t="shared" si="1"/>
        <v>jueves</v>
      </c>
      <c r="D38" s="9">
        <v>3.6</v>
      </c>
      <c r="E38" s="9">
        <v>0.0</v>
      </c>
      <c r="F38" s="10"/>
      <c r="G38" s="10"/>
    </row>
    <row r="39">
      <c r="A39" s="5" t="s">
        <v>26</v>
      </c>
      <c r="B39" s="6">
        <v>45982.0</v>
      </c>
      <c r="C39" s="7" t="str">
        <f t="shared" si="1"/>
        <v>viernes</v>
      </c>
      <c r="D39" s="9">
        <v>2.39</v>
      </c>
      <c r="E39" s="9">
        <v>0.0</v>
      </c>
      <c r="F39" s="23">
        <v>45982.416666666664</v>
      </c>
      <c r="G39" s="9">
        <v>0.06</v>
      </c>
    </row>
    <row r="40">
      <c r="A40" s="5" t="s">
        <v>26</v>
      </c>
      <c r="B40" s="6">
        <v>45983.0</v>
      </c>
      <c r="C40" s="7" t="str">
        <f t="shared" si="1"/>
        <v>sábado</v>
      </c>
      <c r="D40" s="9">
        <v>0.22</v>
      </c>
      <c r="E40" s="9">
        <v>0.0</v>
      </c>
      <c r="F40" s="23">
        <v>45983.583333333336</v>
      </c>
      <c r="G40" s="24">
        <v>11.0</v>
      </c>
    </row>
    <row r="41">
      <c r="A41" s="5" t="s">
        <v>26</v>
      </c>
      <c r="B41" s="6">
        <v>45984.0</v>
      </c>
      <c r="C41" s="7" t="str">
        <f t="shared" si="1"/>
        <v>domingo</v>
      </c>
      <c r="D41" s="9">
        <v>0.02</v>
      </c>
      <c r="E41" s="9">
        <v>0.0</v>
      </c>
      <c r="F41" s="23">
        <v>45984.791666666664</v>
      </c>
      <c r="G41" s="24">
        <v>11.0</v>
      </c>
    </row>
    <row r="42">
      <c r="A42" s="5" t="s">
        <v>26</v>
      </c>
      <c r="B42" s="6">
        <v>45985.0</v>
      </c>
      <c r="C42" s="7" t="str">
        <f t="shared" si="1"/>
        <v>lunes</v>
      </c>
      <c r="D42" s="9">
        <v>4.11</v>
      </c>
      <c r="E42" s="9">
        <v>0.0</v>
      </c>
      <c r="F42" s="10"/>
      <c r="G42" s="10"/>
    </row>
    <row r="43">
      <c r="A43" s="5" t="s">
        <v>26</v>
      </c>
      <c r="B43" s="6">
        <v>45986.0</v>
      </c>
      <c r="C43" s="7" t="str">
        <f t="shared" si="1"/>
        <v>martes</v>
      </c>
      <c r="D43" s="9">
        <v>2.71</v>
      </c>
      <c r="E43" s="9">
        <v>0.0</v>
      </c>
      <c r="F43" s="10"/>
      <c r="G43" s="10"/>
    </row>
    <row r="44">
      <c r="A44" s="5" t="s">
        <v>26</v>
      </c>
      <c r="B44" s="6">
        <v>45987.0</v>
      </c>
      <c r="C44" s="7" t="str">
        <f t="shared" si="1"/>
        <v>miércoles</v>
      </c>
      <c r="D44" s="9">
        <v>2.48</v>
      </c>
      <c r="E44" s="9">
        <v>0.0</v>
      </c>
      <c r="F44" s="10"/>
      <c r="G44" s="10"/>
    </row>
    <row r="45">
      <c r="A45" s="5" t="s">
        <v>26</v>
      </c>
      <c r="B45" s="6">
        <v>45988.0</v>
      </c>
      <c r="C45" s="7" t="str">
        <f t="shared" si="1"/>
        <v>jueves</v>
      </c>
      <c r="D45" s="9">
        <v>4.04</v>
      </c>
      <c r="E45" s="9">
        <v>0.0</v>
      </c>
      <c r="F45" s="10"/>
      <c r="G45" s="10"/>
    </row>
    <row r="46">
      <c r="A46" s="5" t="s">
        <v>26</v>
      </c>
      <c r="B46" s="6">
        <v>45989.0</v>
      </c>
      <c r="C46" s="7" t="str">
        <f t="shared" si="1"/>
        <v>viernes</v>
      </c>
      <c r="D46" s="9">
        <v>2.26</v>
      </c>
      <c r="E46" s="9">
        <v>0.0</v>
      </c>
      <c r="F46" s="10"/>
      <c r="G46" s="10"/>
    </row>
    <row r="47">
      <c r="A47" s="5" t="s">
        <v>26</v>
      </c>
      <c r="B47" s="6">
        <v>45990.0</v>
      </c>
      <c r="C47" s="7" t="str">
        <f t="shared" si="1"/>
        <v>sábado</v>
      </c>
      <c r="D47" s="9">
        <v>0.23</v>
      </c>
      <c r="E47" s="9">
        <v>0.0</v>
      </c>
      <c r="F47" s="10"/>
      <c r="G47" s="10"/>
    </row>
    <row r="48">
      <c r="A48" s="5" t="s">
        <v>26</v>
      </c>
      <c r="B48" s="6">
        <v>45991.0</v>
      </c>
      <c r="C48" s="7" t="str">
        <f t="shared" si="1"/>
        <v>domingo</v>
      </c>
      <c r="D48" s="9">
        <v>0.02</v>
      </c>
      <c r="E48" s="9">
        <v>0.0</v>
      </c>
      <c r="F48" s="10"/>
      <c r="G48" s="10"/>
    </row>
    <row r="49">
      <c r="A49" s="5" t="s">
        <v>26</v>
      </c>
      <c r="B49" s="6">
        <v>45992.0</v>
      </c>
      <c r="C49" s="7" t="str">
        <f t="shared" si="1"/>
        <v>lunes</v>
      </c>
      <c r="D49" s="9">
        <v>3.87</v>
      </c>
      <c r="E49" s="9">
        <v>0.0</v>
      </c>
      <c r="F49" s="10"/>
      <c r="G49" s="10"/>
    </row>
    <row r="50">
      <c r="A50" s="5" t="s">
        <v>26</v>
      </c>
      <c r="B50" s="6">
        <v>45993.0</v>
      </c>
      <c r="C50" s="7" t="str">
        <f t="shared" si="1"/>
        <v>martes</v>
      </c>
      <c r="D50" s="9">
        <v>3.33</v>
      </c>
      <c r="E50" s="9">
        <v>0.0</v>
      </c>
      <c r="F50" s="10"/>
      <c r="G50" s="10"/>
    </row>
    <row r="51">
      <c r="A51" s="5" t="s">
        <v>26</v>
      </c>
      <c r="B51" s="6">
        <v>45994.0</v>
      </c>
      <c r="C51" s="7" t="str">
        <f t="shared" si="1"/>
        <v>miércoles</v>
      </c>
      <c r="D51" s="9">
        <v>3.36</v>
      </c>
      <c r="E51" s="9">
        <v>0.0</v>
      </c>
      <c r="F51" s="10"/>
      <c r="G51" s="10"/>
    </row>
    <row r="52">
      <c r="A52" s="5" t="s">
        <v>26</v>
      </c>
      <c r="B52" s="6">
        <v>45995.0</v>
      </c>
      <c r="C52" s="7" t="str">
        <f t="shared" si="1"/>
        <v>jueves</v>
      </c>
      <c r="D52" s="9">
        <v>3.24</v>
      </c>
      <c r="E52" s="9">
        <v>0.0</v>
      </c>
      <c r="F52" s="10"/>
      <c r="G52" s="10"/>
    </row>
    <row r="53">
      <c r="A53" s="5" t="s">
        <v>26</v>
      </c>
      <c r="B53" s="6">
        <v>45996.0</v>
      </c>
      <c r="C53" s="7" t="str">
        <f t="shared" si="1"/>
        <v>viernes</v>
      </c>
      <c r="D53" s="9">
        <v>2.2</v>
      </c>
      <c r="E53" s="9">
        <v>0.0</v>
      </c>
      <c r="F53" s="10"/>
      <c r="G53" s="10"/>
    </row>
    <row r="54">
      <c r="A54" s="5" t="s">
        <v>26</v>
      </c>
      <c r="B54" s="6">
        <v>45997.0</v>
      </c>
      <c r="C54" s="7" t="str">
        <f t="shared" si="1"/>
        <v>sábado</v>
      </c>
      <c r="D54" s="9">
        <v>1.09</v>
      </c>
      <c r="E54" s="9">
        <v>0.0</v>
      </c>
      <c r="F54" s="10"/>
      <c r="G54" s="10"/>
    </row>
    <row r="55">
      <c r="A55" s="5" t="s">
        <v>26</v>
      </c>
      <c r="B55" s="6">
        <v>45998.0</v>
      </c>
      <c r="C55" s="7" t="str">
        <f t="shared" si="1"/>
        <v>domingo</v>
      </c>
      <c r="D55" s="9">
        <v>0.02</v>
      </c>
      <c r="E55" s="9">
        <v>0.0</v>
      </c>
      <c r="F55" s="10"/>
      <c r="G55" s="10"/>
    </row>
    <row r="56">
      <c r="A56" s="5" t="s">
        <v>26</v>
      </c>
      <c r="B56" s="6">
        <v>45999.0</v>
      </c>
      <c r="C56" s="7" t="str">
        <f t="shared" si="1"/>
        <v>lunes</v>
      </c>
      <c r="D56" s="9">
        <v>0.03</v>
      </c>
      <c r="E56" s="9">
        <v>0.0</v>
      </c>
      <c r="F56" s="10"/>
      <c r="G56" s="10"/>
    </row>
    <row r="57">
      <c r="A57" s="5" t="s">
        <v>26</v>
      </c>
      <c r="B57" s="6">
        <v>46000.0</v>
      </c>
      <c r="C57" s="7" t="str">
        <f t="shared" si="1"/>
        <v>martes</v>
      </c>
      <c r="D57" s="9">
        <v>2.71</v>
      </c>
      <c r="E57" s="9">
        <v>0.0</v>
      </c>
      <c r="F57" s="10"/>
      <c r="G57" s="10"/>
    </row>
    <row r="58">
      <c r="A58" s="5" t="s">
        <v>26</v>
      </c>
      <c r="B58" s="6">
        <v>46001.0</v>
      </c>
      <c r="C58" s="7" t="str">
        <f t="shared" si="1"/>
        <v>miércoles</v>
      </c>
      <c r="D58" s="9">
        <v>1.16</v>
      </c>
      <c r="E58" s="9">
        <v>0.0</v>
      </c>
      <c r="F58" s="10"/>
      <c r="G58" s="10"/>
    </row>
    <row r="59">
      <c r="A59" s="5" t="s">
        <v>26</v>
      </c>
      <c r="B59" s="6">
        <v>46002.0</v>
      </c>
      <c r="C59" s="7" t="str">
        <f t="shared" si="1"/>
        <v>jueves</v>
      </c>
      <c r="D59" s="9">
        <v>4.3</v>
      </c>
      <c r="E59" s="9">
        <v>0.0</v>
      </c>
      <c r="F59" s="10"/>
      <c r="G59" s="10"/>
    </row>
    <row r="60">
      <c r="A60" s="5" t="s">
        <v>26</v>
      </c>
      <c r="B60" s="6">
        <v>46003.0</v>
      </c>
      <c r="C60" s="7" t="str">
        <f t="shared" si="1"/>
        <v>viernes</v>
      </c>
      <c r="D60" s="9">
        <v>2.03</v>
      </c>
      <c r="E60" s="9">
        <v>0.0</v>
      </c>
      <c r="F60" s="10"/>
      <c r="G60" s="10"/>
    </row>
    <row r="61">
      <c r="A61" s="5" t="s">
        <v>26</v>
      </c>
      <c r="B61" s="6">
        <v>46004.0</v>
      </c>
      <c r="C61" s="7" t="str">
        <f t="shared" si="1"/>
        <v>sábado</v>
      </c>
      <c r="D61" s="9">
        <v>0.26</v>
      </c>
      <c r="E61" s="9">
        <v>0.0</v>
      </c>
      <c r="F61" s="10"/>
      <c r="G61" s="10"/>
    </row>
    <row r="62">
      <c r="A62" s="5" t="s">
        <v>26</v>
      </c>
      <c r="B62" s="6">
        <v>46005.0</v>
      </c>
      <c r="C62" s="7" t="str">
        <f t="shared" si="1"/>
        <v>domingo</v>
      </c>
      <c r="D62" s="9">
        <v>0.0</v>
      </c>
      <c r="E62" s="9">
        <v>0.0</v>
      </c>
      <c r="F62" s="10"/>
      <c r="G62" s="10"/>
    </row>
    <row r="63">
      <c r="A63" s="5" t="s">
        <v>26</v>
      </c>
      <c r="B63" s="6">
        <v>46006.0</v>
      </c>
      <c r="C63" s="7" t="str">
        <f t="shared" si="1"/>
        <v>lunes</v>
      </c>
      <c r="D63" s="9">
        <v>2.97</v>
      </c>
      <c r="E63" s="9">
        <v>0.0</v>
      </c>
      <c r="F63" s="10"/>
      <c r="G63" s="10"/>
    </row>
    <row r="64">
      <c r="A64" s="5" t="s">
        <v>26</v>
      </c>
      <c r="B64" s="6">
        <v>46007.0</v>
      </c>
      <c r="C64" s="7" t="str">
        <f t="shared" si="1"/>
        <v>martes</v>
      </c>
      <c r="D64" s="9">
        <v>5.71</v>
      </c>
      <c r="E64" s="9">
        <v>0.0</v>
      </c>
      <c r="F64" s="10"/>
      <c r="G64" s="10"/>
    </row>
    <row r="65">
      <c r="A65" s="5" t="s">
        <v>26</v>
      </c>
      <c r="B65" s="6">
        <v>46008.0</v>
      </c>
      <c r="C65" s="7" t="str">
        <f t="shared" si="1"/>
        <v>miércoles</v>
      </c>
      <c r="D65" s="9">
        <v>2.76</v>
      </c>
      <c r="E65" s="9">
        <v>0.0</v>
      </c>
      <c r="F65" s="10"/>
      <c r="G65" s="10"/>
    </row>
    <row r="66">
      <c r="A66" s="5" t="s">
        <v>26</v>
      </c>
      <c r="B66" s="6">
        <v>46009.0</v>
      </c>
      <c r="C66" s="7" t="str">
        <f t="shared" si="1"/>
        <v>jueves</v>
      </c>
      <c r="D66" s="9">
        <v>2.52</v>
      </c>
      <c r="E66" s="9">
        <v>0.0</v>
      </c>
      <c r="F66" s="10"/>
      <c r="G66" s="10"/>
    </row>
    <row r="67">
      <c r="A67" s="5" t="s">
        <v>26</v>
      </c>
      <c r="B67" s="6">
        <v>46010.0</v>
      </c>
      <c r="C67" s="7" t="str">
        <f t="shared" si="1"/>
        <v>viernes</v>
      </c>
      <c r="D67" s="9">
        <v>2.33</v>
      </c>
      <c r="E67" s="9">
        <v>0.0</v>
      </c>
      <c r="F67" s="10"/>
      <c r="G67" s="10"/>
    </row>
    <row r="68">
      <c r="A68" s="5" t="s">
        <v>26</v>
      </c>
      <c r="B68" s="6">
        <v>46011.0</v>
      </c>
      <c r="C68" s="7" t="str">
        <f t="shared" si="1"/>
        <v>sábado</v>
      </c>
      <c r="D68" s="9">
        <v>0.1</v>
      </c>
      <c r="E68" s="9">
        <v>0.0</v>
      </c>
      <c r="F68" s="10"/>
      <c r="G68" s="10"/>
    </row>
    <row r="69">
      <c r="A69" s="5" t="s">
        <v>26</v>
      </c>
      <c r="B69" s="6">
        <v>46012.0</v>
      </c>
      <c r="C69" s="7" t="str">
        <f t="shared" si="1"/>
        <v>domingo</v>
      </c>
      <c r="D69" s="9">
        <v>0.0</v>
      </c>
      <c r="E69" s="9">
        <v>0.0</v>
      </c>
      <c r="F69" s="10"/>
      <c r="G69" s="10"/>
    </row>
    <row r="70">
      <c r="A70" s="5" t="s">
        <v>26</v>
      </c>
      <c r="B70" s="6">
        <v>46013.0</v>
      </c>
      <c r="C70" s="7" t="str">
        <f t="shared" si="1"/>
        <v>lunes</v>
      </c>
      <c r="D70" s="9">
        <v>3.79</v>
      </c>
      <c r="E70" s="9">
        <v>0.0</v>
      </c>
      <c r="F70" s="10"/>
      <c r="G70" s="10"/>
    </row>
    <row r="71">
      <c r="A71" s="5" t="s">
        <v>26</v>
      </c>
      <c r="B71" s="6">
        <v>46014.0</v>
      </c>
      <c r="C71" s="7" t="str">
        <f t="shared" si="1"/>
        <v>martes</v>
      </c>
      <c r="D71" s="9">
        <v>2.96</v>
      </c>
      <c r="E71" s="9">
        <v>0.0</v>
      </c>
      <c r="F71" s="10"/>
      <c r="G71" s="10"/>
    </row>
    <row r="72">
      <c r="A72" s="5" t="s">
        <v>26</v>
      </c>
      <c r="B72" s="6">
        <v>46015.0</v>
      </c>
      <c r="C72" s="7" t="str">
        <f t="shared" si="1"/>
        <v>miércoles</v>
      </c>
      <c r="D72" s="9">
        <v>3.0</v>
      </c>
      <c r="E72" s="9">
        <v>0.0</v>
      </c>
      <c r="F72" s="10"/>
      <c r="G72" s="10"/>
    </row>
    <row r="73">
      <c r="A73" s="5" t="s">
        <v>26</v>
      </c>
      <c r="B73" s="6">
        <v>46016.0</v>
      </c>
      <c r="C73" s="7" t="str">
        <f t="shared" si="1"/>
        <v>jueves</v>
      </c>
      <c r="D73" s="28">
        <v>0.08</v>
      </c>
      <c r="E73" s="9">
        <v>0.0</v>
      </c>
      <c r="F73" s="23">
        <v>46016.208333333336</v>
      </c>
      <c r="G73" s="24">
        <v>11.0</v>
      </c>
    </row>
    <row r="74">
      <c r="A74" s="5" t="s">
        <v>26</v>
      </c>
      <c r="B74" s="6">
        <v>46017.0</v>
      </c>
      <c r="C74" s="7" t="str">
        <f t="shared" si="1"/>
        <v>viernes</v>
      </c>
      <c r="D74" s="28">
        <v>1.29</v>
      </c>
    </row>
    <row r="75">
      <c r="A75" s="5" t="s">
        <v>26</v>
      </c>
      <c r="B75" s="6">
        <v>46018.0</v>
      </c>
      <c r="C75" s="7" t="str">
        <f t="shared" si="1"/>
        <v>sábado</v>
      </c>
      <c r="D75" s="28">
        <v>0.08</v>
      </c>
    </row>
    <row r="76">
      <c r="A76" s="5" t="s">
        <v>26</v>
      </c>
      <c r="B76" s="6">
        <v>46019.0</v>
      </c>
      <c r="C76" s="7" t="str">
        <f t="shared" si="1"/>
        <v>domingo</v>
      </c>
      <c r="D76" s="28">
        <v>0.0</v>
      </c>
    </row>
    <row r="77">
      <c r="A77" s="5" t="s">
        <v>26</v>
      </c>
      <c r="B77" s="6">
        <v>46020.0</v>
      </c>
      <c r="C77" s="7" t="str">
        <f t="shared" si="1"/>
        <v>lunes</v>
      </c>
      <c r="D77" s="28">
        <v>3.82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13"/>
  </cols>
  <sheetData>
    <row r="1">
      <c r="A1" s="22" t="s">
        <v>0</v>
      </c>
      <c r="B1" s="22" t="s">
        <v>1</v>
      </c>
      <c r="C1" s="2" t="s">
        <v>2</v>
      </c>
      <c r="D1" s="22" t="s">
        <v>22</v>
      </c>
      <c r="E1" s="22" t="s">
        <v>4</v>
      </c>
      <c r="F1" s="22" t="s">
        <v>5</v>
      </c>
      <c r="G1" s="22" t="s">
        <v>6</v>
      </c>
    </row>
    <row r="2">
      <c r="A2" s="5" t="s">
        <v>27</v>
      </c>
      <c r="B2" s="6">
        <v>45945.0</v>
      </c>
      <c r="C2" s="7" t="str">
        <f t="shared" ref="C2:C77" si="1">TEXT(B2,"dddd")</f>
        <v>miércoles</v>
      </c>
      <c r="D2" s="9">
        <v>51.98</v>
      </c>
      <c r="E2" s="9">
        <v>0.0</v>
      </c>
      <c r="F2" s="10"/>
      <c r="G2" s="10"/>
      <c r="J2" s="7" t="s">
        <v>8</v>
      </c>
      <c r="L2" s="11"/>
      <c r="M2" s="12" t="s">
        <v>9</v>
      </c>
    </row>
    <row r="3">
      <c r="A3" s="5" t="s">
        <v>27</v>
      </c>
      <c r="B3" s="6">
        <v>45946.0</v>
      </c>
      <c r="C3" s="7" t="str">
        <f t="shared" si="1"/>
        <v>jueves</v>
      </c>
      <c r="D3" s="9">
        <v>51.07</v>
      </c>
      <c r="E3" s="9">
        <v>0.0</v>
      </c>
      <c r="F3" s="10"/>
      <c r="G3" s="10"/>
      <c r="I3" s="14" t="s">
        <v>10</v>
      </c>
      <c r="J3" s="14">
        <f t="shared" ref="J3:J9" si="2">SUMIF($C$2:$C$77,I3,$D$2:$D$77)</f>
        <v>564.08</v>
      </c>
      <c r="L3" s="14" t="s">
        <v>10</v>
      </c>
      <c r="M3" s="14">
        <f t="shared" ref="M3:M9" si="3">AVERAGEIF($C$2:$C$77,L3,$D$2:$D$77)</f>
        <v>51.28</v>
      </c>
    </row>
    <row r="4">
      <c r="A4" s="5" t="s">
        <v>27</v>
      </c>
      <c r="B4" s="6">
        <v>45947.0</v>
      </c>
      <c r="C4" s="7" t="str">
        <f t="shared" si="1"/>
        <v>viernes</v>
      </c>
      <c r="D4" s="9">
        <v>58.79</v>
      </c>
      <c r="E4" s="9">
        <v>0.0</v>
      </c>
      <c r="F4" s="10"/>
      <c r="G4" s="10"/>
      <c r="I4" s="31" t="s">
        <v>11</v>
      </c>
      <c r="J4" s="14">
        <f t="shared" si="2"/>
        <v>537.42</v>
      </c>
      <c r="L4" s="31" t="s">
        <v>11</v>
      </c>
      <c r="M4" s="14">
        <f t="shared" si="3"/>
        <v>53.742</v>
      </c>
    </row>
    <row r="5">
      <c r="A5" s="5" t="s">
        <v>27</v>
      </c>
      <c r="B5" s="6">
        <v>45948.0</v>
      </c>
      <c r="C5" s="7" t="str">
        <f t="shared" si="1"/>
        <v>sábado</v>
      </c>
      <c r="D5" s="9">
        <v>48.01</v>
      </c>
      <c r="E5" s="9">
        <v>0.0</v>
      </c>
      <c r="F5" s="10"/>
      <c r="G5" s="10"/>
      <c r="I5" s="31" t="s">
        <v>12</v>
      </c>
      <c r="J5" s="14">
        <f t="shared" si="2"/>
        <v>549.75</v>
      </c>
      <c r="L5" s="7" t="s">
        <v>12</v>
      </c>
      <c r="M5" s="14">
        <f t="shared" si="3"/>
        <v>49.97727273</v>
      </c>
    </row>
    <row r="6">
      <c r="A6" s="5" t="s">
        <v>27</v>
      </c>
      <c r="B6" s="6">
        <v>45949.0</v>
      </c>
      <c r="C6" s="7" t="str">
        <f t="shared" si="1"/>
        <v>domingo</v>
      </c>
      <c r="D6" s="9">
        <v>38.22</v>
      </c>
      <c r="E6" s="9">
        <v>0.0</v>
      </c>
      <c r="F6" s="10"/>
      <c r="G6" s="10"/>
      <c r="I6" s="14" t="s">
        <v>13</v>
      </c>
      <c r="J6" s="14">
        <f t="shared" si="2"/>
        <v>604.94</v>
      </c>
      <c r="L6" s="14" t="s">
        <v>13</v>
      </c>
      <c r="M6" s="14">
        <f t="shared" si="3"/>
        <v>54.99454545</v>
      </c>
    </row>
    <row r="7">
      <c r="A7" s="5" t="s">
        <v>27</v>
      </c>
      <c r="B7" s="6">
        <v>45950.0</v>
      </c>
      <c r="C7" s="7" t="str">
        <f t="shared" si="1"/>
        <v>lunes</v>
      </c>
      <c r="D7" s="9">
        <v>55.63</v>
      </c>
      <c r="E7" s="9">
        <v>0.0</v>
      </c>
      <c r="F7" s="10"/>
      <c r="G7" s="10"/>
      <c r="I7" s="14" t="s">
        <v>14</v>
      </c>
      <c r="J7" s="14">
        <f t="shared" si="2"/>
        <v>561.81</v>
      </c>
      <c r="L7" s="14" t="s">
        <v>14</v>
      </c>
      <c r="M7" s="14">
        <f t="shared" si="3"/>
        <v>51.07363636</v>
      </c>
    </row>
    <row r="8">
      <c r="A8" s="5" t="s">
        <v>27</v>
      </c>
      <c r="B8" s="6">
        <v>45951.0</v>
      </c>
      <c r="C8" s="7" t="str">
        <f t="shared" si="1"/>
        <v>martes</v>
      </c>
      <c r="D8" s="9">
        <v>56.63</v>
      </c>
      <c r="E8" s="9">
        <v>0.0</v>
      </c>
      <c r="F8" s="10"/>
      <c r="G8" s="10"/>
      <c r="I8" s="14" t="s">
        <v>15</v>
      </c>
      <c r="J8" s="14">
        <f t="shared" si="2"/>
        <v>478.05</v>
      </c>
      <c r="L8" s="14" t="s">
        <v>15</v>
      </c>
      <c r="M8" s="14">
        <f t="shared" si="3"/>
        <v>43.45909091</v>
      </c>
    </row>
    <row r="9">
      <c r="A9" s="5" t="s">
        <v>27</v>
      </c>
      <c r="B9" s="6">
        <v>45952.0</v>
      </c>
      <c r="C9" s="7" t="str">
        <f t="shared" si="1"/>
        <v>miércoles</v>
      </c>
      <c r="D9" s="9">
        <v>56.43</v>
      </c>
      <c r="E9" s="9">
        <v>0.0</v>
      </c>
      <c r="F9" s="10"/>
      <c r="G9" s="10"/>
      <c r="I9" s="31" t="s">
        <v>16</v>
      </c>
      <c r="J9" s="14">
        <f t="shared" si="2"/>
        <v>454.9</v>
      </c>
      <c r="L9" s="31" t="s">
        <v>16</v>
      </c>
      <c r="M9" s="14">
        <f t="shared" si="3"/>
        <v>41.35454545</v>
      </c>
    </row>
    <row r="10">
      <c r="A10" s="5" t="s">
        <v>27</v>
      </c>
      <c r="B10" s="6">
        <v>45953.0</v>
      </c>
      <c r="C10" s="7" t="str">
        <f t="shared" si="1"/>
        <v>jueves</v>
      </c>
      <c r="D10" s="9">
        <v>55.11</v>
      </c>
      <c r="E10" s="9">
        <v>0.0</v>
      </c>
      <c r="F10" s="10"/>
      <c r="G10" s="10"/>
    </row>
    <row r="11">
      <c r="A11" s="5" t="s">
        <v>27</v>
      </c>
      <c r="B11" s="6">
        <v>45954.0</v>
      </c>
      <c r="C11" s="7" t="str">
        <f t="shared" si="1"/>
        <v>viernes</v>
      </c>
      <c r="D11" s="9">
        <v>53.61</v>
      </c>
      <c r="E11" s="9">
        <v>0.0</v>
      </c>
      <c r="F11" s="10"/>
      <c r="G11" s="10"/>
      <c r="I11" s="7" t="s">
        <v>17</v>
      </c>
      <c r="J11" s="13">
        <f>SUM($D$2:$D$77)</f>
        <v>3750.95</v>
      </c>
    </row>
    <row r="12">
      <c r="A12" s="5" t="s">
        <v>27</v>
      </c>
      <c r="B12" s="6">
        <v>45955.0</v>
      </c>
      <c r="C12" s="7" t="str">
        <f t="shared" si="1"/>
        <v>sábado</v>
      </c>
      <c r="D12" s="9">
        <v>50.19</v>
      </c>
      <c r="E12" s="9">
        <v>0.0</v>
      </c>
      <c r="F12" s="10"/>
      <c r="G12" s="10"/>
      <c r="I12" s="7" t="s">
        <v>18</v>
      </c>
      <c r="J12" s="32">
        <f>AVERAGE($D$2:$D$77)</f>
        <v>49.35460526</v>
      </c>
    </row>
    <row r="13">
      <c r="A13" s="5" t="s">
        <v>27</v>
      </c>
      <c r="B13" s="6">
        <v>45956.0</v>
      </c>
      <c r="C13" s="7" t="str">
        <f t="shared" si="1"/>
        <v>domingo</v>
      </c>
      <c r="D13" s="9">
        <v>42.07</v>
      </c>
      <c r="E13" s="9">
        <v>0.0</v>
      </c>
      <c r="F13" s="10"/>
      <c r="G13" s="10"/>
      <c r="I13" s="7" t="s">
        <v>19</v>
      </c>
      <c r="J13" s="14">
        <f>MAX($D$2:$D$77)</f>
        <v>72.37</v>
      </c>
    </row>
    <row r="14">
      <c r="A14" s="5" t="s">
        <v>27</v>
      </c>
      <c r="B14" s="6">
        <v>45957.0</v>
      </c>
      <c r="C14" s="7" t="str">
        <f t="shared" si="1"/>
        <v>lunes</v>
      </c>
      <c r="D14" s="9">
        <v>51.67</v>
      </c>
      <c r="E14" s="9">
        <v>0.0</v>
      </c>
      <c r="F14" s="10"/>
      <c r="G14" s="10"/>
      <c r="I14" s="7" t="s">
        <v>20</v>
      </c>
      <c r="J14" s="26">
        <f>MIN($D$2:$D$77)</f>
        <v>30.21</v>
      </c>
    </row>
    <row r="15">
      <c r="A15" s="5" t="s">
        <v>27</v>
      </c>
      <c r="B15" s="6">
        <v>45958.0</v>
      </c>
      <c r="C15" s="7" t="str">
        <f t="shared" si="1"/>
        <v>martes</v>
      </c>
      <c r="D15" s="9">
        <v>57.74</v>
      </c>
      <c r="E15" s="9">
        <v>0.0</v>
      </c>
      <c r="F15" s="10"/>
      <c r="G15" s="10"/>
    </row>
    <row r="16">
      <c r="A16" s="5" t="s">
        <v>27</v>
      </c>
      <c r="B16" s="6">
        <v>45959.0</v>
      </c>
      <c r="C16" s="7" t="str">
        <f t="shared" si="1"/>
        <v>miércoles</v>
      </c>
      <c r="D16" s="9">
        <v>56.81</v>
      </c>
      <c r="E16" s="9">
        <v>0.0</v>
      </c>
      <c r="F16" s="10"/>
      <c r="G16" s="10"/>
    </row>
    <row r="17">
      <c r="A17" s="5" t="s">
        <v>27</v>
      </c>
      <c r="B17" s="6">
        <v>45960.0</v>
      </c>
      <c r="C17" s="7" t="str">
        <f t="shared" si="1"/>
        <v>jueves</v>
      </c>
      <c r="D17" s="9">
        <v>60.14</v>
      </c>
      <c r="E17" s="9">
        <v>0.0</v>
      </c>
      <c r="F17" s="10"/>
      <c r="G17" s="10"/>
    </row>
    <row r="18">
      <c r="A18" s="5" t="s">
        <v>27</v>
      </c>
      <c r="B18" s="6">
        <v>45961.0</v>
      </c>
      <c r="C18" s="7" t="str">
        <f t="shared" si="1"/>
        <v>viernes</v>
      </c>
      <c r="D18" s="9">
        <v>48.86</v>
      </c>
      <c r="E18" s="9">
        <v>0.0</v>
      </c>
      <c r="F18" s="10"/>
      <c r="G18" s="10"/>
    </row>
    <row r="19">
      <c r="A19" s="5" t="s">
        <v>27</v>
      </c>
      <c r="B19" s="6">
        <v>45962.0</v>
      </c>
      <c r="C19" s="7" t="str">
        <f t="shared" si="1"/>
        <v>sábado</v>
      </c>
      <c r="D19" s="9">
        <v>44.21</v>
      </c>
      <c r="E19" s="9">
        <v>0.0</v>
      </c>
      <c r="F19" s="10"/>
      <c r="G19" s="10"/>
    </row>
    <row r="20">
      <c r="A20" s="5" t="s">
        <v>27</v>
      </c>
      <c r="B20" s="6">
        <v>45963.0</v>
      </c>
      <c r="C20" s="7" t="str">
        <f t="shared" si="1"/>
        <v>domingo</v>
      </c>
      <c r="D20" s="9">
        <v>37.95</v>
      </c>
      <c r="E20" s="9">
        <v>0.0</v>
      </c>
      <c r="F20" s="10"/>
      <c r="G20" s="10"/>
    </row>
    <row r="21">
      <c r="A21" s="5" t="s">
        <v>27</v>
      </c>
      <c r="B21" s="6">
        <v>45964.0</v>
      </c>
      <c r="C21" s="7" t="str">
        <f t="shared" si="1"/>
        <v>lunes</v>
      </c>
      <c r="D21" s="9">
        <v>51.33</v>
      </c>
      <c r="E21" s="9">
        <v>0.0</v>
      </c>
      <c r="F21" s="10"/>
      <c r="G21" s="10"/>
    </row>
    <row r="22">
      <c r="A22" s="5" t="s">
        <v>27</v>
      </c>
      <c r="B22" s="6">
        <v>45965.0</v>
      </c>
      <c r="C22" s="7" t="str">
        <f t="shared" si="1"/>
        <v>martes</v>
      </c>
      <c r="D22" s="9">
        <v>58.46</v>
      </c>
      <c r="E22" s="9">
        <v>0.0</v>
      </c>
      <c r="F22" s="10"/>
      <c r="G22" s="10"/>
    </row>
    <row r="23">
      <c r="A23" s="5" t="s">
        <v>27</v>
      </c>
      <c r="B23" s="6">
        <v>45966.0</v>
      </c>
      <c r="C23" s="7" t="str">
        <f t="shared" si="1"/>
        <v>miércoles</v>
      </c>
      <c r="D23" s="9">
        <v>51.45</v>
      </c>
      <c r="E23" s="9">
        <v>0.0</v>
      </c>
      <c r="F23" s="10"/>
      <c r="G23" s="10"/>
    </row>
    <row r="24">
      <c r="A24" s="5" t="s">
        <v>27</v>
      </c>
      <c r="B24" s="6">
        <v>45967.0</v>
      </c>
      <c r="C24" s="7" t="str">
        <f t="shared" si="1"/>
        <v>jueves</v>
      </c>
      <c r="D24" s="9">
        <v>54.95</v>
      </c>
      <c r="E24" s="9">
        <v>0.0</v>
      </c>
      <c r="F24" s="10"/>
      <c r="G24" s="10"/>
    </row>
    <row r="25">
      <c r="A25" s="5" t="s">
        <v>27</v>
      </c>
      <c r="B25" s="6">
        <v>45968.0</v>
      </c>
      <c r="C25" s="7" t="str">
        <f t="shared" si="1"/>
        <v>viernes</v>
      </c>
      <c r="D25" s="9">
        <v>57.11</v>
      </c>
      <c r="E25" s="9">
        <v>0.0</v>
      </c>
      <c r="F25" s="10"/>
      <c r="G25" s="10"/>
    </row>
    <row r="26">
      <c r="A26" s="5" t="s">
        <v>27</v>
      </c>
      <c r="B26" s="6">
        <v>45969.0</v>
      </c>
      <c r="C26" s="7" t="str">
        <f t="shared" si="1"/>
        <v>sábado</v>
      </c>
      <c r="D26" s="9">
        <v>42.58</v>
      </c>
      <c r="E26" s="9">
        <v>0.0</v>
      </c>
      <c r="F26" s="10"/>
      <c r="G26" s="10"/>
    </row>
    <row r="27">
      <c r="A27" s="5" t="s">
        <v>27</v>
      </c>
      <c r="B27" s="6">
        <v>45970.0</v>
      </c>
      <c r="C27" s="7" t="str">
        <f t="shared" si="1"/>
        <v>domingo</v>
      </c>
      <c r="D27" s="9">
        <v>39.09</v>
      </c>
      <c r="E27" s="9">
        <v>0.0</v>
      </c>
      <c r="F27" s="10"/>
      <c r="G27" s="10"/>
    </row>
    <row r="28">
      <c r="A28" s="5" t="s">
        <v>27</v>
      </c>
      <c r="B28" s="6">
        <v>45971.0</v>
      </c>
      <c r="C28" s="7" t="str">
        <f t="shared" si="1"/>
        <v>lunes</v>
      </c>
      <c r="D28" s="9">
        <v>53.87</v>
      </c>
      <c r="E28" s="9">
        <v>0.0</v>
      </c>
      <c r="F28" s="10"/>
      <c r="G28" s="10"/>
    </row>
    <row r="29">
      <c r="A29" s="5" t="s">
        <v>27</v>
      </c>
      <c r="B29" s="6">
        <v>45972.0</v>
      </c>
      <c r="C29" s="7" t="str">
        <f t="shared" si="1"/>
        <v>martes</v>
      </c>
      <c r="D29" s="9">
        <v>54.11</v>
      </c>
      <c r="E29" s="9">
        <v>0.0</v>
      </c>
      <c r="F29" s="10"/>
      <c r="G29" s="10"/>
    </row>
    <row r="30">
      <c r="A30" s="5" t="s">
        <v>27</v>
      </c>
      <c r="B30" s="6">
        <v>45973.0</v>
      </c>
      <c r="C30" s="7" t="str">
        <f t="shared" si="1"/>
        <v>miércoles</v>
      </c>
      <c r="D30" s="9">
        <v>55.25</v>
      </c>
      <c r="E30" s="9">
        <v>0.0</v>
      </c>
      <c r="F30" s="10"/>
      <c r="G30" s="10"/>
    </row>
    <row r="31">
      <c r="A31" s="5" t="s">
        <v>27</v>
      </c>
      <c r="B31" s="6">
        <v>45974.0</v>
      </c>
      <c r="C31" s="7" t="str">
        <f t="shared" si="1"/>
        <v>jueves</v>
      </c>
      <c r="D31" s="9">
        <v>58.54</v>
      </c>
      <c r="E31" s="9">
        <v>0.0</v>
      </c>
      <c r="F31" s="10"/>
      <c r="G31" s="10"/>
    </row>
    <row r="32">
      <c r="A32" s="5" t="s">
        <v>27</v>
      </c>
      <c r="B32" s="6">
        <v>45975.0</v>
      </c>
      <c r="C32" s="7" t="str">
        <f t="shared" si="1"/>
        <v>viernes</v>
      </c>
      <c r="D32" s="9">
        <v>51.47</v>
      </c>
      <c r="E32" s="9">
        <v>0.0</v>
      </c>
      <c r="F32" s="10"/>
      <c r="G32" s="10"/>
    </row>
    <row r="33">
      <c r="A33" s="5" t="s">
        <v>27</v>
      </c>
      <c r="B33" s="6">
        <v>45976.0</v>
      </c>
      <c r="C33" s="7" t="str">
        <f t="shared" si="1"/>
        <v>sábado</v>
      </c>
      <c r="D33" s="9">
        <v>42.91</v>
      </c>
      <c r="E33" s="9">
        <v>0.0</v>
      </c>
      <c r="F33" s="10"/>
      <c r="G33" s="10"/>
    </row>
    <row r="34">
      <c r="A34" s="5" t="s">
        <v>27</v>
      </c>
      <c r="B34" s="6">
        <v>45977.0</v>
      </c>
      <c r="C34" s="7" t="str">
        <f t="shared" si="1"/>
        <v>domingo</v>
      </c>
      <c r="D34" s="9">
        <v>49.21</v>
      </c>
      <c r="E34" s="9">
        <v>0.0</v>
      </c>
      <c r="F34" s="10"/>
      <c r="G34" s="10"/>
    </row>
    <row r="35">
      <c r="A35" s="5" t="s">
        <v>27</v>
      </c>
      <c r="B35" s="6">
        <v>45978.0</v>
      </c>
      <c r="C35" s="7" t="str">
        <f t="shared" si="1"/>
        <v>lunes</v>
      </c>
      <c r="D35" s="9">
        <v>55.68</v>
      </c>
      <c r="E35" s="9">
        <v>0.0</v>
      </c>
      <c r="F35" s="10"/>
      <c r="G35" s="10"/>
    </row>
    <row r="36">
      <c r="A36" s="5" t="s">
        <v>27</v>
      </c>
      <c r="B36" s="6">
        <v>45979.0</v>
      </c>
      <c r="C36" s="7" t="str">
        <f t="shared" si="1"/>
        <v>martes</v>
      </c>
      <c r="D36" s="9">
        <v>52.13</v>
      </c>
      <c r="E36" s="9">
        <v>0.0</v>
      </c>
      <c r="F36" s="10"/>
      <c r="G36" s="10"/>
    </row>
    <row r="37">
      <c r="A37" s="5" t="s">
        <v>27</v>
      </c>
      <c r="B37" s="6">
        <v>45980.0</v>
      </c>
      <c r="C37" s="7" t="str">
        <f t="shared" si="1"/>
        <v>miércoles</v>
      </c>
      <c r="D37" s="9">
        <v>43.42</v>
      </c>
      <c r="E37" s="9">
        <v>0.0</v>
      </c>
      <c r="F37" s="10"/>
      <c r="G37" s="10"/>
    </row>
    <row r="38">
      <c r="A38" s="5" t="s">
        <v>27</v>
      </c>
      <c r="B38" s="6">
        <v>45981.0</v>
      </c>
      <c r="C38" s="7" t="str">
        <f t="shared" si="1"/>
        <v>jueves</v>
      </c>
      <c r="D38" s="9">
        <v>72.37</v>
      </c>
      <c r="E38" s="9">
        <v>0.0</v>
      </c>
      <c r="F38" s="10"/>
      <c r="G38" s="10"/>
    </row>
    <row r="39">
      <c r="A39" s="5" t="s">
        <v>27</v>
      </c>
      <c r="B39" s="6">
        <v>45982.0</v>
      </c>
      <c r="C39" s="7" t="str">
        <f t="shared" si="1"/>
        <v>viernes</v>
      </c>
      <c r="D39" s="9">
        <v>59.87</v>
      </c>
      <c r="E39" s="9">
        <v>0.0</v>
      </c>
      <c r="F39" s="10"/>
      <c r="G39" s="10"/>
    </row>
    <row r="40">
      <c r="A40" s="5" t="s">
        <v>27</v>
      </c>
      <c r="B40" s="6">
        <v>45983.0</v>
      </c>
      <c r="C40" s="7" t="str">
        <f t="shared" si="1"/>
        <v>sábado</v>
      </c>
      <c r="D40" s="9">
        <v>42.9</v>
      </c>
      <c r="E40" s="9">
        <v>0.0</v>
      </c>
      <c r="F40" s="10"/>
      <c r="G40" s="10"/>
    </row>
    <row r="41">
      <c r="A41" s="5" t="s">
        <v>27</v>
      </c>
      <c r="B41" s="6">
        <v>45984.0</v>
      </c>
      <c r="C41" s="7" t="str">
        <f t="shared" si="1"/>
        <v>domingo</v>
      </c>
      <c r="D41" s="9">
        <v>61.7</v>
      </c>
      <c r="E41" s="9">
        <v>0.0</v>
      </c>
      <c r="F41" s="10"/>
      <c r="G41" s="10"/>
    </row>
    <row r="42">
      <c r="A42" s="5" t="s">
        <v>27</v>
      </c>
      <c r="B42" s="6">
        <v>45985.0</v>
      </c>
      <c r="C42" s="7" t="str">
        <f t="shared" si="1"/>
        <v>lunes</v>
      </c>
      <c r="D42" s="9">
        <v>63.18</v>
      </c>
      <c r="E42" s="9">
        <v>0.0</v>
      </c>
      <c r="F42" s="10"/>
      <c r="G42" s="10"/>
    </row>
    <row r="43">
      <c r="A43" s="5" t="s">
        <v>27</v>
      </c>
      <c r="B43" s="6">
        <v>45986.0</v>
      </c>
      <c r="C43" s="7" t="str">
        <f t="shared" si="1"/>
        <v>martes</v>
      </c>
      <c r="D43" s="9">
        <v>61.49</v>
      </c>
      <c r="E43" s="9">
        <v>0.0</v>
      </c>
      <c r="F43" s="10"/>
      <c r="G43" s="10"/>
    </row>
    <row r="44">
      <c r="A44" s="5" t="s">
        <v>27</v>
      </c>
      <c r="B44" s="6">
        <v>45987.0</v>
      </c>
      <c r="C44" s="7" t="str">
        <f t="shared" si="1"/>
        <v>miércoles</v>
      </c>
      <c r="D44" s="9">
        <v>54.59</v>
      </c>
      <c r="E44" s="9">
        <v>0.0</v>
      </c>
      <c r="F44" s="10"/>
      <c r="G44" s="10"/>
    </row>
    <row r="45">
      <c r="A45" s="5" t="s">
        <v>27</v>
      </c>
      <c r="B45" s="6">
        <v>45988.0</v>
      </c>
      <c r="C45" s="7" t="str">
        <f t="shared" si="1"/>
        <v>jueves</v>
      </c>
      <c r="D45" s="9">
        <v>58.49</v>
      </c>
      <c r="E45" s="9">
        <v>0.0</v>
      </c>
      <c r="F45" s="10"/>
      <c r="G45" s="10"/>
    </row>
    <row r="46">
      <c r="A46" s="5" t="s">
        <v>27</v>
      </c>
      <c r="B46" s="6">
        <v>45989.0</v>
      </c>
      <c r="C46" s="7" t="str">
        <f t="shared" si="1"/>
        <v>viernes</v>
      </c>
      <c r="D46" s="9">
        <v>56.63</v>
      </c>
      <c r="E46" s="9">
        <v>0.0</v>
      </c>
      <c r="F46" s="10"/>
      <c r="G46" s="10"/>
    </row>
    <row r="47">
      <c r="A47" s="5" t="s">
        <v>27</v>
      </c>
      <c r="B47" s="6">
        <v>45990.0</v>
      </c>
      <c r="C47" s="7" t="str">
        <f t="shared" si="1"/>
        <v>sábado</v>
      </c>
      <c r="D47" s="9">
        <v>45.01</v>
      </c>
      <c r="E47" s="9">
        <v>0.0</v>
      </c>
      <c r="F47" s="10"/>
      <c r="G47" s="10"/>
    </row>
    <row r="48">
      <c r="A48" s="5" t="s">
        <v>27</v>
      </c>
      <c r="B48" s="6">
        <v>45991.0</v>
      </c>
      <c r="C48" s="7" t="str">
        <f t="shared" si="1"/>
        <v>domingo</v>
      </c>
      <c r="D48" s="9">
        <v>43.49</v>
      </c>
      <c r="E48" s="9">
        <v>0.0</v>
      </c>
      <c r="F48" s="10"/>
      <c r="G48" s="10"/>
    </row>
    <row r="49">
      <c r="A49" s="5" t="s">
        <v>27</v>
      </c>
      <c r="B49" s="6">
        <v>45992.0</v>
      </c>
      <c r="C49" s="7" t="str">
        <f t="shared" si="1"/>
        <v>lunes</v>
      </c>
      <c r="D49" s="9">
        <v>49.93</v>
      </c>
      <c r="E49" s="9">
        <v>0.0</v>
      </c>
      <c r="F49" s="10"/>
      <c r="G49" s="10"/>
    </row>
    <row r="50">
      <c r="A50" s="5" t="s">
        <v>27</v>
      </c>
      <c r="B50" s="6">
        <v>45993.0</v>
      </c>
      <c r="C50" s="7" t="str">
        <f t="shared" si="1"/>
        <v>martes</v>
      </c>
      <c r="D50" s="9">
        <v>50.43</v>
      </c>
      <c r="E50" s="9">
        <v>0.0</v>
      </c>
      <c r="F50" s="10"/>
      <c r="G50" s="10"/>
    </row>
    <row r="51">
      <c r="A51" s="5" t="s">
        <v>27</v>
      </c>
      <c r="B51" s="6">
        <v>45994.0</v>
      </c>
      <c r="C51" s="7" t="str">
        <f t="shared" si="1"/>
        <v>miércoles</v>
      </c>
      <c r="D51" s="9">
        <v>47.31</v>
      </c>
      <c r="E51" s="9">
        <v>0.0</v>
      </c>
      <c r="F51" s="10"/>
      <c r="G51" s="10"/>
    </row>
    <row r="52" ht="17.25" customHeight="1">
      <c r="A52" s="5" t="s">
        <v>27</v>
      </c>
      <c r="B52" s="6">
        <v>45995.0</v>
      </c>
      <c r="C52" s="7" t="str">
        <f t="shared" si="1"/>
        <v>jueves</v>
      </c>
      <c r="D52" s="9">
        <v>46.42</v>
      </c>
      <c r="E52" s="9">
        <v>0.0</v>
      </c>
      <c r="F52" s="10"/>
      <c r="G52" s="10"/>
    </row>
    <row r="53">
      <c r="A53" s="5" t="s">
        <v>27</v>
      </c>
      <c r="B53" s="6">
        <v>45996.0</v>
      </c>
      <c r="C53" s="7" t="str">
        <f t="shared" si="1"/>
        <v>viernes</v>
      </c>
      <c r="D53" s="9">
        <v>53.34</v>
      </c>
      <c r="E53" s="9">
        <v>0.0</v>
      </c>
      <c r="F53" s="10"/>
      <c r="G53" s="10"/>
    </row>
    <row r="54">
      <c r="A54" s="5" t="s">
        <v>27</v>
      </c>
      <c r="B54" s="6">
        <v>45997.0</v>
      </c>
      <c r="C54" s="7" t="str">
        <f t="shared" si="1"/>
        <v>sábado</v>
      </c>
      <c r="D54" s="9">
        <v>44.94</v>
      </c>
      <c r="E54" s="9">
        <v>0.0</v>
      </c>
      <c r="F54" s="10"/>
      <c r="G54" s="10"/>
    </row>
    <row r="55">
      <c r="A55" s="5" t="s">
        <v>27</v>
      </c>
      <c r="B55" s="6">
        <v>45998.0</v>
      </c>
      <c r="C55" s="7" t="str">
        <f t="shared" si="1"/>
        <v>domingo</v>
      </c>
      <c r="D55" s="9">
        <v>37.19</v>
      </c>
      <c r="E55" s="9">
        <v>0.0</v>
      </c>
      <c r="F55" s="10"/>
      <c r="G55" s="10"/>
    </row>
    <row r="56">
      <c r="A56" s="5" t="s">
        <v>27</v>
      </c>
      <c r="B56" s="6">
        <v>45999.0</v>
      </c>
      <c r="C56" s="7" t="str">
        <f t="shared" si="1"/>
        <v>lunes</v>
      </c>
      <c r="D56" s="9">
        <v>40.45</v>
      </c>
      <c r="E56" s="9">
        <v>0.0</v>
      </c>
      <c r="F56" s="10"/>
      <c r="G56" s="10"/>
    </row>
    <row r="57">
      <c r="A57" s="5" t="s">
        <v>27</v>
      </c>
      <c r="B57" s="6">
        <v>46000.0</v>
      </c>
      <c r="C57" s="7" t="str">
        <f t="shared" si="1"/>
        <v>martes</v>
      </c>
      <c r="D57" s="9">
        <v>52.44</v>
      </c>
      <c r="E57" s="9">
        <v>0.0</v>
      </c>
      <c r="F57" s="10"/>
      <c r="G57" s="10"/>
    </row>
    <row r="58">
      <c r="A58" s="5" t="s">
        <v>27</v>
      </c>
      <c r="B58" s="6">
        <v>46001.0</v>
      </c>
      <c r="C58" s="7" t="str">
        <f t="shared" si="1"/>
        <v>miércoles</v>
      </c>
      <c r="D58" s="9">
        <v>50.26</v>
      </c>
      <c r="E58" s="9">
        <v>0.0</v>
      </c>
      <c r="F58" s="10"/>
      <c r="G58" s="10"/>
    </row>
    <row r="59">
      <c r="A59" s="5" t="s">
        <v>27</v>
      </c>
      <c r="B59" s="6">
        <v>46002.0</v>
      </c>
      <c r="C59" s="7" t="str">
        <f t="shared" si="1"/>
        <v>jueves</v>
      </c>
      <c r="D59" s="9">
        <v>54.25</v>
      </c>
      <c r="E59" s="9">
        <v>0.0</v>
      </c>
      <c r="F59" s="10"/>
      <c r="G59" s="10"/>
    </row>
    <row r="60">
      <c r="A60" s="5" t="s">
        <v>27</v>
      </c>
      <c r="B60" s="6">
        <v>46003.0</v>
      </c>
      <c r="C60" s="7" t="str">
        <f t="shared" si="1"/>
        <v>viernes</v>
      </c>
      <c r="D60" s="9">
        <v>45.75</v>
      </c>
      <c r="E60" s="9">
        <v>0.0</v>
      </c>
      <c r="F60" s="10"/>
      <c r="G60" s="10"/>
    </row>
    <row r="61">
      <c r="A61" s="5" t="s">
        <v>27</v>
      </c>
      <c r="B61" s="6">
        <v>46004.0</v>
      </c>
      <c r="C61" s="7" t="str">
        <f t="shared" si="1"/>
        <v>sábado</v>
      </c>
      <c r="D61" s="9">
        <v>46.93</v>
      </c>
      <c r="E61" s="9">
        <v>0.0</v>
      </c>
      <c r="F61" s="10"/>
      <c r="G61" s="10"/>
    </row>
    <row r="62">
      <c r="A62" s="5" t="s">
        <v>27</v>
      </c>
      <c r="B62" s="6">
        <v>46005.0</v>
      </c>
      <c r="C62" s="7" t="str">
        <f t="shared" si="1"/>
        <v>domingo</v>
      </c>
      <c r="D62" s="9">
        <v>36.39</v>
      </c>
      <c r="E62" s="9">
        <v>0.0</v>
      </c>
      <c r="F62" s="10"/>
      <c r="G62" s="10"/>
    </row>
    <row r="63">
      <c r="A63" s="5" t="s">
        <v>27</v>
      </c>
      <c r="B63" s="6">
        <v>46006.0</v>
      </c>
      <c r="C63" s="7" t="str">
        <f t="shared" si="1"/>
        <v>lunes</v>
      </c>
      <c r="D63" s="9">
        <v>59.65</v>
      </c>
      <c r="E63" s="9">
        <v>0.0</v>
      </c>
      <c r="F63" s="23">
        <v>46006.25</v>
      </c>
      <c r="G63" s="24">
        <v>801.0</v>
      </c>
    </row>
    <row r="64">
      <c r="A64" s="5" t="s">
        <v>27</v>
      </c>
      <c r="B64" s="6">
        <v>46007.0</v>
      </c>
      <c r="C64" s="7" t="str">
        <f t="shared" si="1"/>
        <v>martes</v>
      </c>
      <c r="D64" s="9">
        <v>47.81</v>
      </c>
      <c r="E64" s="9">
        <v>0.0</v>
      </c>
      <c r="F64" s="10"/>
      <c r="G64" s="10"/>
    </row>
    <row r="65">
      <c r="A65" s="5" t="s">
        <v>27</v>
      </c>
      <c r="B65" s="6">
        <v>46008.0</v>
      </c>
      <c r="C65" s="7" t="str">
        <f t="shared" si="1"/>
        <v>miércoles</v>
      </c>
      <c r="D65" s="9">
        <v>41.93</v>
      </c>
      <c r="E65" s="9">
        <v>0.0</v>
      </c>
      <c r="F65" s="10"/>
      <c r="G65" s="10"/>
    </row>
    <row r="66">
      <c r="A66" s="5" t="s">
        <v>27</v>
      </c>
      <c r="B66" s="6">
        <v>46009.0</v>
      </c>
      <c r="C66" s="7" t="str">
        <f t="shared" si="1"/>
        <v>jueves</v>
      </c>
      <c r="D66" s="9">
        <v>56.38</v>
      </c>
      <c r="E66" s="9">
        <v>0.0</v>
      </c>
      <c r="F66" s="10"/>
      <c r="G66" s="10"/>
    </row>
    <row r="67">
      <c r="A67" s="5" t="s">
        <v>27</v>
      </c>
      <c r="B67" s="6">
        <v>46010.0</v>
      </c>
      <c r="C67" s="7" t="str">
        <f t="shared" si="1"/>
        <v>viernes</v>
      </c>
      <c r="D67" s="9">
        <v>44.73</v>
      </c>
      <c r="E67" s="9">
        <v>0.0</v>
      </c>
      <c r="F67" s="10"/>
      <c r="G67" s="10"/>
    </row>
    <row r="68">
      <c r="A68" s="5" t="s">
        <v>27</v>
      </c>
      <c r="B68" s="6">
        <v>46011.0</v>
      </c>
      <c r="C68" s="7" t="str">
        <f t="shared" si="1"/>
        <v>sábado</v>
      </c>
      <c r="D68" s="9">
        <v>37.96</v>
      </c>
      <c r="E68" s="9">
        <v>0.0</v>
      </c>
      <c r="F68" s="10"/>
      <c r="G68" s="10"/>
    </row>
    <row r="69">
      <c r="A69" s="5" t="s">
        <v>27</v>
      </c>
      <c r="B69" s="6">
        <v>46012.0</v>
      </c>
      <c r="C69" s="7" t="str">
        <f t="shared" si="1"/>
        <v>domingo</v>
      </c>
      <c r="D69" s="9">
        <v>39.38</v>
      </c>
      <c r="E69" s="9">
        <v>0.0</v>
      </c>
      <c r="F69" s="10"/>
      <c r="G69" s="10"/>
    </row>
    <row r="70">
      <c r="A70" s="5" t="s">
        <v>27</v>
      </c>
      <c r="B70" s="6">
        <v>46013.0</v>
      </c>
      <c r="C70" s="7" t="str">
        <f t="shared" si="1"/>
        <v>lunes</v>
      </c>
      <c r="D70" s="9">
        <v>48.5</v>
      </c>
      <c r="E70" s="9">
        <v>0.0</v>
      </c>
      <c r="F70" s="23">
        <v>46013.041666666664</v>
      </c>
      <c r="G70" s="24">
        <v>1.181</v>
      </c>
    </row>
    <row r="71">
      <c r="A71" s="5" t="s">
        <v>27</v>
      </c>
      <c r="B71" s="6">
        <v>46014.0</v>
      </c>
      <c r="C71" s="7" t="str">
        <f t="shared" si="1"/>
        <v>martes</v>
      </c>
      <c r="D71" s="9">
        <v>46.18</v>
      </c>
      <c r="E71" s="9">
        <v>0.0</v>
      </c>
      <c r="F71" s="10"/>
      <c r="G71" s="10"/>
    </row>
    <row r="72">
      <c r="A72" s="5" t="s">
        <v>27</v>
      </c>
      <c r="B72" s="6">
        <v>46015.0</v>
      </c>
      <c r="C72" s="7" t="str">
        <f t="shared" si="1"/>
        <v>miércoles</v>
      </c>
      <c r="D72" s="9">
        <v>40.32</v>
      </c>
      <c r="E72" s="9">
        <v>0.0</v>
      </c>
      <c r="F72" s="10"/>
      <c r="G72" s="10"/>
    </row>
    <row r="73">
      <c r="A73" s="5" t="s">
        <v>27</v>
      </c>
      <c r="B73" s="6">
        <v>46016.0</v>
      </c>
      <c r="C73" s="7" t="str">
        <f t="shared" si="1"/>
        <v>jueves</v>
      </c>
      <c r="D73" s="28">
        <v>37.22</v>
      </c>
      <c r="E73" s="9">
        <v>0.0</v>
      </c>
      <c r="F73" s="10"/>
      <c r="G73" s="10"/>
    </row>
    <row r="74">
      <c r="A74" s="5" t="s">
        <v>27</v>
      </c>
      <c r="B74" s="6">
        <v>46017.0</v>
      </c>
      <c r="C74" s="7" t="str">
        <f t="shared" si="1"/>
        <v>viernes</v>
      </c>
      <c r="D74" s="28">
        <v>31.65</v>
      </c>
    </row>
    <row r="75">
      <c r="A75" s="5" t="s">
        <v>27</v>
      </c>
      <c r="B75" s="6">
        <v>46018.0</v>
      </c>
      <c r="C75" s="7" t="str">
        <f t="shared" si="1"/>
        <v>sábado</v>
      </c>
      <c r="D75" s="28">
        <v>32.41</v>
      </c>
    </row>
    <row r="76">
      <c r="A76" s="5" t="s">
        <v>27</v>
      </c>
      <c r="B76" s="6">
        <v>46019.0</v>
      </c>
      <c r="C76" s="7" t="str">
        <f t="shared" si="1"/>
        <v>domingo</v>
      </c>
      <c r="D76" s="28">
        <v>30.21</v>
      </c>
    </row>
    <row r="77">
      <c r="A77" s="5" t="s">
        <v>27</v>
      </c>
      <c r="B77" s="6">
        <v>46020.0</v>
      </c>
      <c r="C77" s="7" t="str">
        <f t="shared" si="1"/>
        <v>lunes</v>
      </c>
      <c r="D77" s="28">
        <v>34.19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0.13"/>
    <col customWidth="1" min="3" max="3" width="17.0"/>
    <col customWidth="1" min="4" max="4" width="19.38"/>
    <col customWidth="1" min="5" max="5" width="22.0"/>
    <col customWidth="1" min="6" max="6" width="18.13"/>
  </cols>
  <sheetData>
    <row r="2">
      <c r="A2" s="34" t="s">
        <v>28</v>
      </c>
      <c r="B2" s="34" t="s">
        <v>29</v>
      </c>
      <c r="C2" s="34" t="s">
        <v>30</v>
      </c>
      <c r="D2" s="34" t="s">
        <v>31</v>
      </c>
    </row>
    <row r="3">
      <c r="A3" s="35">
        <v>1.0</v>
      </c>
      <c r="B3" s="35" t="s">
        <v>32</v>
      </c>
      <c r="C3" s="36">
        <f>Estanques!J12</f>
        <v>26137.43</v>
      </c>
      <c r="D3" s="36">
        <f>Estanques!J13</f>
        <v>343.9135526</v>
      </c>
    </row>
    <row r="4">
      <c r="A4" s="35">
        <v>2.0</v>
      </c>
      <c r="B4" s="35" t="s">
        <v>33</v>
      </c>
      <c r="C4" s="36">
        <f>'Torre B2'!J11</f>
        <v>7156.63</v>
      </c>
      <c r="D4" s="36">
        <f>'Torre B2'!J12</f>
        <v>94.16618421</v>
      </c>
    </row>
    <row r="5">
      <c r="A5" s="35">
        <v>3.0</v>
      </c>
      <c r="B5" s="35" t="s">
        <v>34</v>
      </c>
      <c r="C5" s="36">
        <f>'Torre B1'!J11</f>
        <v>4126</v>
      </c>
      <c r="D5" s="36">
        <f>'Torre B1'!J12</f>
        <v>54.28947368</v>
      </c>
    </row>
    <row r="6">
      <c r="A6" s="35">
        <v>4.0</v>
      </c>
      <c r="B6" s="35" t="s">
        <v>35</v>
      </c>
      <c r="C6" s="36">
        <f>'Central Termica'!J11</f>
        <v>3750.95</v>
      </c>
      <c r="D6" s="36" t="s">
        <v>36</v>
      </c>
    </row>
    <row r="7">
      <c r="A7" s="35">
        <v>5.0</v>
      </c>
      <c r="B7" s="35" t="s">
        <v>37</v>
      </c>
      <c r="C7" s="36">
        <f>'Torre C'!J11</f>
        <v>182.53</v>
      </c>
      <c r="D7" s="36">
        <f>'Torre C'!J12</f>
        <v>2.401710526</v>
      </c>
    </row>
    <row r="8">
      <c r="A8" s="35">
        <v>6.0</v>
      </c>
      <c r="B8" s="35" t="s">
        <v>38</v>
      </c>
      <c r="C8" s="36">
        <f>'Torre A'!J11</f>
        <v>132.84</v>
      </c>
      <c r="D8" s="36">
        <f>'Torre A'!J12</f>
        <v>1.747894737</v>
      </c>
    </row>
    <row r="24">
      <c r="A24" s="3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21.0"/>
    <col customWidth="1" min="3" max="3" width="25.0"/>
    <col customWidth="1" min="4" max="4" width="28.88"/>
    <col customWidth="1" min="5" max="5" width="23.63"/>
    <col customWidth="1" min="6" max="6" width="31.13"/>
    <col customWidth="1" min="7" max="7" width="28.0"/>
    <col customWidth="1" min="8" max="8" width="16.63"/>
    <col customWidth="1" min="12" max="12" width="15.75"/>
    <col customWidth="1" min="19" max="19" width="15.5"/>
  </cols>
  <sheetData>
    <row r="1" ht="22.5" customHeight="1">
      <c r="A1" s="38" t="s">
        <v>39</v>
      </c>
      <c r="B1" s="38" t="s">
        <v>40</v>
      </c>
      <c r="C1" s="38" t="s">
        <v>41</v>
      </c>
      <c r="D1" s="38" t="s">
        <v>42</v>
      </c>
      <c r="E1" s="38" t="s">
        <v>43</v>
      </c>
      <c r="F1" s="38" t="s">
        <v>44</v>
      </c>
      <c r="G1" s="38" t="s">
        <v>45</v>
      </c>
      <c r="H1" s="38" t="s">
        <v>46</v>
      </c>
    </row>
    <row r="2" ht="22.5" hidden="1" customHeight="1">
      <c r="A2" s="39">
        <v>44927.0</v>
      </c>
      <c r="B2" s="40">
        <v>44931.0</v>
      </c>
      <c r="C2" s="41">
        <v>8122.0</v>
      </c>
      <c r="D2" s="41">
        <v>0.0</v>
      </c>
      <c r="E2" s="41">
        <v>8122.0</v>
      </c>
      <c r="F2" s="41">
        <v>7268.0</v>
      </c>
      <c r="G2" s="41">
        <v>854.0</v>
      </c>
      <c r="H2" s="42" t="s">
        <v>47</v>
      </c>
    </row>
    <row r="3" ht="22.5" hidden="1" customHeight="1">
      <c r="A3" s="39">
        <v>44958.0</v>
      </c>
      <c r="B3" s="40">
        <v>44960.0</v>
      </c>
      <c r="C3" s="41">
        <v>9162.0</v>
      </c>
      <c r="D3" s="41">
        <v>0.0</v>
      </c>
      <c r="E3" s="41">
        <v>9162.0</v>
      </c>
      <c r="F3" s="41">
        <v>7268.0</v>
      </c>
      <c r="G3" s="41">
        <v>1894.0</v>
      </c>
      <c r="H3" s="42" t="s">
        <v>47</v>
      </c>
      <c r="K3" s="7" t="s">
        <v>48</v>
      </c>
      <c r="L3" s="7" t="s">
        <v>43</v>
      </c>
    </row>
    <row r="4" ht="22.5" hidden="1" customHeight="1">
      <c r="A4" s="39">
        <v>44986.0</v>
      </c>
      <c r="B4" s="40">
        <v>44991.0</v>
      </c>
      <c r="C4" s="41">
        <v>11237.0</v>
      </c>
      <c r="D4" s="41">
        <v>0.0</v>
      </c>
      <c r="E4" s="41">
        <v>11237.0</v>
      </c>
      <c r="F4" s="41">
        <v>7268.0</v>
      </c>
      <c r="G4" s="41">
        <v>3969.0</v>
      </c>
      <c r="H4" s="42" t="s">
        <v>47</v>
      </c>
      <c r="K4" s="43">
        <v>44927.0</v>
      </c>
      <c r="L4" s="44">
        <v>8122.0</v>
      </c>
      <c r="N4" s="7" t="s">
        <v>49</v>
      </c>
      <c r="O4" s="45">
        <f>SUM(L4:L39)</f>
        <v>320613</v>
      </c>
      <c r="Q4" s="43">
        <v>44927.0</v>
      </c>
      <c r="R4" s="44">
        <v>8122.0</v>
      </c>
      <c r="S4" s="20" t="s">
        <v>50</v>
      </c>
      <c r="T4" s="46">
        <f>SUM(R4:R9)</f>
        <v>56149</v>
      </c>
    </row>
    <row r="5" ht="22.5" customHeight="1">
      <c r="A5" s="39">
        <v>45017.0</v>
      </c>
      <c r="B5" s="40">
        <v>45021.0</v>
      </c>
      <c r="C5" s="41">
        <v>8883.0</v>
      </c>
      <c r="D5" s="41">
        <v>0.0</v>
      </c>
      <c r="E5" s="41">
        <v>8883.0</v>
      </c>
      <c r="F5" s="41">
        <v>7268.0</v>
      </c>
      <c r="G5" s="41">
        <v>1345.0</v>
      </c>
      <c r="H5" s="42" t="s">
        <v>47</v>
      </c>
      <c r="K5" s="43">
        <v>44958.0</v>
      </c>
      <c r="L5" s="44">
        <v>9162.0</v>
      </c>
      <c r="N5" s="7" t="s">
        <v>51</v>
      </c>
      <c r="O5" s="14">
        <f>AVERAGE(L4:L39)</f>
        <v>8905.916667</v>
      </c>
      <c r="Q5" s="43">
        <v>44958.0</v>
      </c>
      <c r="R5" s="44">
        <v>9162.0</v>
      </c>
      <c r="S5" s="20" t="s">
        <v>52</v>
      </c>
      <c r="T5" s="46">
        <f>SUM(R11:R16)</f>
        <v>53064</v>
      </c>
    </row>
    <row r="6" ht="22.5" customHeight="1">
      <c r="A6" s="39">
        <v>45047.0</v>
      </c>
      <c r="B6" s="40">
        <v>45051.0</v>
      </c>
      <c r="C6" s="41">
        <v>9530.0</v>
      </c>
      <c r="D6" s="41">
        <v>0.0</v>
      </c>
      <c r="E6" s="41">
        <v>9530.0</v>
      </c>
      <c r="F6" s="41">
        <v>0.0</v>
      </c>
      <c r="G6" s="41">
        <v>0.0</v>
      </c>
      <c r="H6" s="42" t="s">
        <v>47</v>
      </c>
      <c r="K6" s="43">
        <v>44986.0</v>
      </c>
      <c r="L6" s="44">
        <v>11237.0</v>
      </c>
      <c r="Q6" s="43">
        <v>44986.0</v>
      </c>
      <c r="R6" s="44">
        <v>11237.0</v>
      </c>
      <c r="S6" s="20" t="s">
        <v>53</v>
      </c>
      <c r="T6" s="46">
        <f>SUM(R18:R23)</f>
        <v>60328</v>
      </c>
    </row>
    <row r="7" ht="22.5" customHeight="1">
      <c r="A7" s="39">
        <v>45078.0</v>
      </c>
      <c r="B7" s="40">
        <v>45082.0</v>
      </c>
      <c r="C7" s="41">
        <v>9215.0</v>
      </c>
      <c r="D7" s="41">
        <v>0.0</v>
      </c>
      <c r="E7" s="41">
        <v>9215.0</v>
      </c>
      <c r="F7" s="41">
        <v>0.0</v>
      </c>
      <c r="G7" s="41">
        <v>0.0</v>
      </c>
      <c r="H7" s="42" t="s">
        <v>47</v>
      </c>
      <c r="K7" s="43">
        <v>45017.0</v>
      </c>
      <c r="L7" s="44">
        <v>8883.0</v>
      </c>
      <c r="N7" s="7" t="s">
        <v>54</v>
      </c>
      <c r="O7" s="45">
        <f>MIN(L4:L39)</f>
        <v>6570</v>
      </c>
      <c r="Q7" s="43">
        <v>45017.0</v>
      </c>
      <c r="R7" s="44">
        <v>8883.0</v>
      </c>
      <c r="S7" s="20" t="s">
        <v>55</v>
      </c>
      <c r="T7" s="46">
        <f>SUM(R25:R31)</f>
        <v>51395</v>
      </c>
    </row>
    <row r="8" ht="22.5" customHeight="1">
      <c r="A8" s="39">
        <v>45108.0</v>
      </c>
      <c r="B8" s="40">
        <v>45112.0</v>
      </c>
      <c r="C8" s="41">
        <v>8553.0</v>
      </c>
      <c r="D8" s="41">
        <v>0.0</v>
      </c>
      <c r="E8" s="41">
        <v>8553.0</v>
      </c>
      <c r="F8" s="41">
        <v>0.0</v>
      </c>
      <c r="G8" s="41">
        <v>0.0</v>
      </c>
      <c r="H8" s="42" t="s">
        <v>47</v>
      </c>
      <c r="K8" s="43">
        <v>45047.0</v>
      </c>
      <c r="L8" s="44">
        <v>9530.0</v>
      </c>
      <c r="N8" s="7" t="s">
        <v>56</v>
      </c>
      <c r="O8" s="45">
        <f>MAX(L4:L39)</f>
        <v>13113</v>
      </c>
      <c r="Q8" s="43">
        <v>45047.0</v>
      </c>
      <c r="R8" s="44">
        <v>9530.0</v>
      </c>
      <c r="S8" s="20" t="s">
        <v>57</v>
      </c>
      <c r="T8" s="46">
        <f>SUM(R33:R38)</f>
        <v>52688</v>
      </c>
    </row>
    <row r="9" ht="22.5" customHeight="1">
      <c r="A9" s="39">
        <v>45139.0</v>
      </c>
      <c r="B9" s="40">
        <v>45142.0</v>
      </c>
      <c r="C9" s="41">
        <v>8187.0</v>
      </c>
      <c r="D9" s="41">
        <v>0.0</v>
      </c>
      <c r="E9" s="41">
        <v>8187.0</v>
      </c>
      <c r="F9" s="41">
        <v>0.0</v>
      </c>
      <c r="G9" s="41">
        <v>0.0</v>
      </c>
      <c r="H9" s="42" t="s">
        <v>47</v>
      </c>
      <c r="K9" s="43">
        <v>45078.0</v>
      </c>
      <c r="L9" s="44">
        <v>9215.0</v>
      </c>
      <c r="Q9" s="43">
        <v>45078.0</v>
      </c>
      <c r="R9" s="44">
        <v>9215.0</v>
      </c>
      <c r="S9" s="20" t="s">
        <v>58</v>
      </c>
      <c r="T9" s="46">
        <f>SUM(R40:R45)</f>
        <v>53559</v>
      </c>
    </row>
    <row r="10" ht="22.5" customHeight="1">
      <c r="A10" s="39">
        <v>45170.0</v>
      </c>
      <c r="B10" s="40">
        <v>45174.0</v>
      </c>
      <c r="C10" s="41">
        <v>9242.0</v>
      </c>
      <c r="D10" s="41">
        <v>0.0</v>
      </c>
      <c r="E10" s="41">
        <v>9242.0</v>
      </c>
      <c r="F10" s="41">
        <v>0.0</v>
      </c>
      <c r="G10" s="41">
        <v>0.0</v>
      </c>
      <c r="H10" s="42" t="s">
        <v>47</v>
      </c>
      <c r="K10" s="43">
        <v>45108.0</v>
      </c>
      <c r="L10" s="44">
        <v>8553.0</v>
      </c>
    </row>
    <row r="11" ht="22.5" hidden="1" customHeight="1">
      <c r="A11" s="39">
        <v>45200.0</v>
      </c>
      <c r="B11" s="40">
        <v>45203.0</v>
      </c>
      <c r="C11" s="41">
        <v>9539.0</v>
      </c>
      <c r="D11" s="41">
        <v>0.0</v>
      </c>
      <c r="E11" s="41">
        <v>9539.0</v>
      </c>
      <c r="F11" s="41">
        <v>0.0</v>
      </c>
      <c r="G11" s="41">
        <v>0.0</v>
      </c>
      <c r="H11" s="42" t="s">
        <v>47</v>
      </c>
      <c r="K11" s="43">
        <v>45139.0</v>
      </c>
      <c r="L11" s="44">
        <v>8187.0</v>
      </c>
      <c r="Q11" s="43">
        <v>45108.0</v>
      </c>
      <c r="R11" s="44">
        <v>8553.0</v>
      </c>
    </row>
    <row r="12" ht="22.5" hidden="1" customHeight="1">
      <c r="A12" s="39">
        <v>45231.0</v>
      </c>
      <c r="B12" s="40">
        <v>45234.0</v>
      </c>
      <c r="C12" s="41">
        <v>9309.0</v>
      </c>
      <c r="D12" s="41">
        <v>0.0</v>
      </c>
      <c r="E12" s="41">
        <v>9309.0</v>
      </c>
      <c r="F12" s="41">
        <v>0.0</v>
      </c>
      <c r="G12" s="41">
        <v>0.0</v>
      </c>
      <c r="H12" s="42" t="s">
        <v>47</v>
      </c>
      <c r="K12" s="43">
        <v>45170.0</v>
      </c>
      <c r="L12" s="44">
        <v>9242.0</v>
      </c>
      <c r="N12" s="7">
        <v>2023.0</v>
      </c>
      <c r="Q12" s="43">
        <v>45139.0</v>
      </c>
      <c r="R12" s="44">
        <v>8187.0</v>
      </c>
    </row>
    <row r="13" ht="22.5" hidden="1" customHeight="1">
      <c r="A13" s="39">
        <v>45261.0</v>
      </c>
      <c r="B13" s="40">
        <v>45265.0</v>
      </c>
      <c r="C13" s="41">
        <v>8234.0</v>
      </c>
      <c r="D13" s="41">
        <v>0.0</v>
      </c>
      <c r="E13" s="41">
        <v>8234.0</v>
      </c>
      <c r="F13" s="41">
        <v>9058.0</v>
      </c>
      <c r="G13" s="41">
        <v>0.0</v>
      </c>
      <c r="H13" s="42" t="s">
        <v>47</v>
      </c>
      <c r="K13" s="43">
        <v>45200.0</v>
      </c>
      <c r="L13" s="44">
        <v>9539.0</v>
      </c>
      <c r="N13" s="7" t="s">
        <v>59</v>
      </c>
      <c r="O13" s="14">
        <f>AVERAGE(L4:L15)</f>
        <v>9101.083333</v>
      </c>
      <c r="Q13" s="43">
        <v>45170.0</v>
      </c>
      <c r="R13" s="44">
        <v>9242.0</v>
      </c>
    </row>
    <row r="14" ht="22.5" hidden="1" customHeight="1">
      <c r="A14" s="39">
        <v>45292.0</v>
      </c>
      <c r="B14" s="40">
        <v>45295.0</v>
      </c>
      <c r="C14" s="41">
        <v>9486.0</v>
      </c>
      <c r="D14" s="41">
        <v>0.0</v>
      </c>
      <c r="E14" s="41">
        <v>9486.0</v>
      </c>
      <c r="F14" s="41">
        <v>9058.0</v>
      </c>
      <c r="G14" s="41">
        <v>428.0</v>
      </c>
      <c r="H14" s="42" t="s">
        <v>47</v>
      </c>
      <c r="K14" s="43">
        <v>45231.0</v>
      </c>
      <c r="L14" s="44">
        <v>9309.0</v>
      </c>
      <c r="Q14" s="43">
        <v>45200.0</v>
      </c>
      <c r="R14" s="44">
        <v>9539.0</v>
      </c>
    </row>
    <row r="15" ht="22.5" hidden="1" customHeight="1">
      <c r="A15" s="39">
        <v>45323.0</v>
      </c>
      <c r="B15" s="40">
        <v>45327.0</v>
      </c>
      <c r="C15" s="41">
        <v>13113.0</v>
      </c>
      <c r="D15" s="41">
        <v>0.0</v>
      </c>
      <c r="E15" s="41">
        <v>13113.0</v>
      </c>
      <c r="F15" s="41">
        <v>9058.0</v>
      </c>
      <c r="G15" s="41">
        <v>4055.0</v>
      </c>
      <c r="H15" s="42" t="s">
        <v>47</v>
      </c>
      <c r="K15" s="43">
        <v>45261.0</v>
      </c>
      <c r="L15" s="44">
        <v>8234.0</v>
      </c>
      <c r="Q15" s="43">
        <v>45231.0</v>
      </c>
      <c r="R15" s="44">
        <v>9309.0</v>
      </c>
    </row>
    <row r="16" ht="22.5" hidden="1" customHeight="1">
      <c r="A16" s="39">
        <v>45352.0</v>
      </c>
      <c r="B16" s="40">
        <v>45356.0</v>
      </c>
      <c r="C16" s="41">
        <v>12326.0</v>
      </c>
      <c r="D16" s="41">
        <v>0.0</v>
      </c>
      <c r="E16" s="41">
        <v>12326.0</v>
      </c>
      <c r="F16" s="41">
        <v>9058.0</v>
      </c>
      <c r="G16" s="41">
        <v>3268.0</v>
      </c>
      <c r="H16" s="42" t="s">
        <v>47</v>
      </c>
      <c r="K16" s="43">
        <v>45292.0</v>
      </c>
      <c r="L16" s="44">
        <v>9486.0</v>
      </c>
      <c r="N16" s="7">
        <v>2024.0</v>
      </c>
      <c r="Q16" s="43">
        <v>45261.0</v>
      </c>
      <c r="R16" s="44">
        <v>8234.0</v>
      </c>
    </row>
    <row r="17" ht="22.5" customHeight="1">
      <c r="A17" s="39">
        <v>45383.0</v>
      </c>
      <c r="B17" s="40">
        <v>45386.0</v>
      </c>
      <c r="C17" s="41">
        <v>9822.0</v>
      </c>
      <c r="D17" s="41">
        <v>0.0</v>
      </c>
      <c r="E17" s="41">
        <v>9822.0</v>
      </c>
      <c r="F17" s="41">
        <v>9058.0</v>
      </c>
      <c r="G17" s="41">
        <v>662.0</v>
      </c>
      <c r="H17" s="42" t="s">
        <v>47</v>
      </c>
      <c r="K17" s="43">
        <v>45323.0</v>
      </c>
      <c r="L17" s="44">
        <v>13113.0</v>
      </c>
      <c r="N17" s="7" t="s">
        <v>59</v>
      </c>
      <c r="O17" s="14">
        <f>AVERAGE(L16:L27)</f>
        <v>8762.75</v>
      </c>
    </row>
    <row r="18" ht="22.5" customHeight="1">
      <c r="A18" s="39">
        <v>45413.0</v>
      </c>
      <c r="B18" s="40">
        <v>45418.0</v>
      </c>
      <c r="C18" s="41">
        <v>9011.0</v>
      </c>
      <c r="D18" s="41">
        <v>0.0</v>
      </c>
      <c r="E18" s="41">
        <v>9011.0</v>
      </c>
      <c r="F18" s="41">
        <v>0.0</v>
      </c>
      <c r="G18" s="41">
        <v>0.0</v>
      </c>
      <c r="H18" s="42" t="s">
        <v>47</v>
      </c>
      <c r="K18" s="43">
        <v>45352.0</v>
      </c>
      <c r="L18" s="44">
        <v>12326.0</v>
      </c>
      <c r="Q18" s="43">
        <v>45292.0</v>
      </c>
      <c r="R18" s="44">
        <v>9486.0</v>
      </c>
    </row>
    <row r="19" ht="22.5" customHeight="1">
      <c r="A19" s="39">
        <v>45444.0</v>
      </c>
      <c r="B19" s="40">
        <v>45448.0</v>
      </c>
      <c r="C19" s="41">
        <v>6570.0</v>
      </c>
      <c r="D19" s="41">
        <v>0.0</v>
      </c>
      <c r="E19" s="41">
        <v>6570.0</v>
      </c>
      <c r="F19" s="41">
        <v>0.0</v>
      </c>
      <c r="G19" s="41">
        <v>0.0</v>
      </c>
      <c r="H19" s="42" t="s">
        <v>47</v>
      </c>
      <c r="K19" s="43">
        <v>45383.0</v>
      </c>
      <c r="L19" s="44">
        <v>9822.0</v>
      </c>
      <c r="Q19" s="43">
        <v>45323.0</v>
      </c>
      <c r="R19" s="44">
        <v>13113.0</v>
      </c>
    </row>
    <row r="20" ht="22.5" customHeight="1">
      <c r="A20" s="39">
        <v>45474.0</v>
      </c>
      <c r="B20" s="40">
        <v>45479.0</v>
      </c>
      <c r="C20" s="41">
        <v>6867.0</v>
      </c>
      <c r="D20" s="41">
        <v>0.0</v>
      </c>
      <c r="E20" s="41">
        <v>6867.0</v>
      </c>
      <c r="F20" s="41">
        <v>0.0</v>
      </c>
      <c r="G20" s="41">
        <v>0.0</v>
      </c>
      <c r="H20" s="42" t="s">
        <v>47</v>
      </c>
      <c r="K20" s="43">
        <v>45413.0</v>
      </c>
      <c r="L20" s="44">
        <v>9011.0</v>
      </c>
      <c r="N20" s="7">
        <v>2025.0</v>
      </c>
      <c r="Q20" s="43">
        <v>45352.0</v>
      </c>
      <c r="R20" s="44">
        <v>12326.0</v>
      </c>
    </row>
    <row r="21" ht="22.5" customHeight="1">
      <c r="A21" s="39">
        <v>45505.0</v>
      </c>
      <c r="B21" s="40">
        <v>45509.0</v>
      </c>
      <c r="C21" s="41">
        <v>6719.0</v>
      </c>
      <c r="D21" s="41">
        <v>0.0</v>
      </c>
      <c r="E21" s="41">
        <v>6719.0</v>
      </c>
      <c r="F21" s="41">
        <v>0.0</v>
      </c>
      <c r="G21" s="41">
        <v>0.0</v>
      </c>
      <c r="H21" s="42" t="s">
        <v>47</v>
      </c>
      <c r="K21" s="43">
        <v>45444.0</v>
      </c>
      <c r="L21" s="44">
        <v>6570.0</v>
      </c>
      <c r="N21" s="7" t="s">
        <v>59</v>
      </c>
      <c r="O21" s="14">
        <f>AVERAGE(L28:L39)</f>
        <v>8853.916667</v>
      </c>
      <c r="Q21" s="43">
        <v>45383.0</v>
      </c>
      <c r="R21" s="44">
        <v>9822.0</v>
      </c>
    </row>
    <row r="22" ht="22.5" customHeight="1">
      <c r="A22" s="39">
        <v>45536.0</v>
      </c>
      <c r="B22" s="40">
        <v>45539.0</v>
      </c>
      <c r="C22" s="41">
        <v>7191.0</v>
      </c>
      <c r="D22" s="41">
        <v>0.0</v>
      </c>
      <c r="E22" s="41">
        <v>7191.0</v>
      </c>
      <c r="F22" s="41">
        <v>0.0</v>
      </c>
      <c r="G22" s="41">
        <v>0.0</v>
      </c>
      <c r="H22" s="42" t="s">
        <v>47</v>
      </c>
      <c r="K22" s="43">
        <v>45474.0</v>
      </c>
      <c r="L22" s="44">
        <v>6867.0</v>
      </c>
      <c r="Q22" s="43">
        <v>45413.0</v>
      </c>
      <c r="R22" s="44">
        <v>9011.0</v>
      </c>
    </row>
    <row r="23" ht="22.5" hidden="1" customHeight="1">
      <c r="A23" s="39">
        <v>45566.0</v>
      </c>
      <c r="B23" s="40">
        <v>45569.0</v>
      </c>
      <c r="C23" s="41">
        <v>7831.0</v>
      </c>
      <c r="D23" s="41">
        <v>0.0</v>
      </c>
      <c r="E23" s="41">
        <v>7831.0</v>
      </c>
      <c r="F23" s="41">
        <v>0.0</v>
      </c>
      <c r="G23" s="41">
        <v>0.0</v>
      </c>
      <c r="H23" s="42" t="s">
        <v>47</v>
      </c>
      <c r="K23" s="43">
        <v>45505.0</v>
      </c>
      <c r="L23" s="44">
        <v>6719.0</v>
      </c>
      <c r="N23" s="46">
        <f>SUM(L28:L39)</f>
        <v>106247</v>
      </c>
      <c r="Q23" s="43">
        <v>45444.0</v>
      </c>
      <c r="R23" s="44">
        <v>6570.0</v>
      </c>
    </row>
    <row r="24" ht="22.5" hidden="1" customHeight="1">
      <c r="A24" s="39">
        <v>45597.0</v>
      </c>
      <c r="B24" s="40">
        <v>45601.0</v>
      </c>
      <c r="C24" s="41">
        <v>8645.0</v>
      </c>
      <c r="D24" s="41">
        <v>0.0</v>
      </c>
      <c r="E24" s="41">
        <v>8645.0</v>
      </c>
      <c r="F24" s="41">
        <v>0.0</v>
      </c>
      <c r="G24" s="41">
        <v>0.0</v>
      </c>
      <c r="H24" s="42" t="s">
        <v>47</v>
      </c>
      <c r="K24" s="43">
        <v>45536.0</v>
      </c>
      <c r="L24" s="44">
        <v>7191.0</v>
      </c>
    </row>
    <row r="25" ht="22.5" hidden="1" customHeight="1">
      <c r="A25" s="39">
        <v>45627.0</v>
      </c>
      <c r="B25" s="40">
        <v>45631.0</v>
      </c>
      <c r="C25" s="41">
        <v>7572.0</v>
      </c>
      <c r="D25" s="41">
        <v>0.0</v>
      </c>
      <c r="E25" s="41">
        <v>7572.0</v>
      </c>
      <c r="F25" s="41">
        <v>7832.0</v>
      </c>
      <c r="G25" s="41">
        <v>0.0</v>
      </c>
      <c r="H25" s="42" t="s">
        <v>47</v>
      </c>
      <c r="K25" s="43">
        <v>45566.0</v>
      </c>
      <c r="L25" s="44">
        <v>7831.0</v>
      </c>
      <c r="Q25" s="43">
        <v>45444.0</v>
      </c>
      <c r="R25" s="44">
        <v>6570.0</v>
      </c>
    </row>
    <row r="26" ht="22.5" hidden="1" customHeight="1">
      <c r="A26" s="39">
        <v>45658.0</v>
      </c>
      <c r="B26" s="40">
        <v>45661.0</v>
      </c>
      <c r="C26" s="41">
        <v>9223.0</v>
      </c>
      <c r="D26" s="41">
        <v>0.0</v>
      </c>
      <c r="E26" s="41">
        <v>9223.0</v>
      </c>
      <c r="F26" s="41">
        <v>7832.0</v>
      </c>
      <c r="G26" s="41">
        <v>1391.0</v>
      </c>
      <c r="H26" s="42" t="s">
        <v>47</v>
      </c>
      <c r="K26" s="43">
        <v>45597.0</v>
      </c>
      <c r="L26" s="44">
        <v>8645.0</v>
      </c>
      <c r="Q26" s="43">
        <v>45474.0</v>
      </c>
      <c r="R26" s="44">
        <v>6867.0</v>
      </c>
    </row>
    <row r="27" ht="22.5" hidden="1" customHeight="1">
      <c r="A27" s="39">
        <v>45689.0</v>
      </c>
      <c r="B27" s="40">
        <v>45693.0</v>
      </c>
      <c r="C27" s="41">
        <v>10356.0</v>
      </c>
      <c r="D27" s="41">
        <v>0.0</v>
      </c>
      <c r="E27" s="41">
        <v>10356.0</v>
      </c>
      <c r="F27" s="41">
        <v>7832.0</v>
      </c>
      <c r="G27" s="41">
        <v>2524.0</v>
      </c>
      <c r="H27" s="42" t="s">
        <v>47</v>
      </c>
      <c r="K27" s="43">
        <v>45627.0</v>
      </c>
      <c r="L27" s="44">
        <v>7572.0</v>
      </c>
      <c r="Q27" s="43">
        <v>45505.0</v>
      </c>
      <c r="R27" s="44">
        <v>6719.0</v>
      </c>
    </row>
    <row r="28" ht="22.5" hidden="1" customHeight="1">
      <c r="A28" s="39">
        <v>45717.0</v>
      </c>
      <c r="B28" s="40">
        <v>45723.0</v>
      </c>
      <c r="C28" s="41">
        <v>9117.0</v>
      </c>
      <c r="D28" s="41">
        <v>0.0</v>
      </c>
      <c r="E28" s="41">
        <v>9117.0</v>
      </c>
      <c r="F28" s="41">
        <v>7832.0</v>
      </c>
      <c r="G28" s="41">
        <v>1285.0</v>
      </c>
      <c r="H28" s="42" t="s">
        <v>47</v>
      </c>
      <c r="K28" s="43">
        <v>45658.0</v>
      </c>
      <c r="L28" s="44">
        <v>9223.0</v>
      </c>
      <c r="Q28" s="43">
        <v>45536.0</v>
      </c>
      <c r="R28" s="44">
        <v>7191.0</v>
      </c>
    </row>
    <row r="29" ht="22.5" customHeight="1">
      <c r="A29" s="39">
        <v>45748.0</v>
      </c>
      <c r="B29" s="40">
        <v>45751.0</v>
      </c>
      <c r="C29" s="41">
        <v>7945.0</v>
      </c>
      <c r="D29" s="41">
        <v>0.0</v>
      </c>
      <c r="E29" s="41">
        <v>7945.0</v>
      </c>
      <c r="F29" s="41">
        <v>7832.0</v>
      </c>
      <c r="G29" s="41">
        <v>96.0</v>
      </c>
      <c r="H29" s="42" t="s">
        <v>47</v>
      </c>
      <c r="K29" s="43">
        <v>45689.0</v>
      </c>
      <c r="L29" s="44">
        <v>10356.0</v>
      </c>
      <c r="Q29" s="43">
        <v>45566.0</v>
      </c>
      <c r="R29" s="44">
        <v>7831.0</v>
      </c>
    </row>
    <row r="30" ht="22.5" customHeight="1">
      <c r="A30" s="39">
        <v>45778.0</v>
      </c>
      <c r="B30" s="40">
        <v>45783.0</v>
      </c>
      <c r="C30" s="41">
        <v>8316.0</v>
      </c>
      <c r="D30" s="41">
        <v>0.0</v>
      </c>
      <c r="E30" s="41">
        <v>8316.0</v>
      </c>
      <c r="F30" s="41">
        <v>0.0</v>
      </c>
      <c r="G30" s="41">
        <v>0.0</v>
      </c>
      <c r="H30" s="42" t="s">
        <v>47</v>
      </c>
      <c r="K30" s="43">
        <v>45717.0</v>
      </c>
      <c r="L30" s="44">
        <v>9117.0</v>
      </c>
      <c r="Q30" s="43">
        <v>45597.0</v>
      </c>
      <c r="R30" s="44">
        <v>8645.0</v>
      </c>
    </row>
    <row r="31" ht="22.5" customHeight="1">
      <c r="A31" s="39">
        <v>45809.0</v>
      </c>
      <c r="B31" s="40">
        <v>45814.0</v>
      </c>
      <c r="C31" s="41">
        <v>7731.0</v>
      </c>
      <c r="D31" s="41">
        <v>0.0</v>
      </c>
      <c r="E31" s="41">
        <v>7731.0</v>
      </c>
      <c r="F31" s="41">
        <v>0.0</v>
      </c>
      <c r="G31" s="41">
        <v>0.0</v>
      </c>
      <c r="H31" s="42" t="s">
        <v>47</v>
      </c>
      <c r="K31" s="43">
        <v>45748.0</v>
      </c>
      <c r="L31" s="44">
        <v>7945.0</v>
      </c>
      <c r="Q31" s="43">
        <v>45627.0</v>
      </c>
      <c r="R31" s="44">
        <v>7572.0</v>
      </c>
    </row>
    <row r="32" ht="22.5" customHeight="1">
      <c r="A32" s="39">
        <v>45839.0</v>
      </c>
      <c r="B32" s="40">
        <v>45846.0</v>
      </c>
      <c r="C32" s="41">
        <v>8348.0</v>
      </c>
      <c r="D32" s="41">
        <v>0.0</v>
      </c>
      <c r="E32" s="41">
        <v>8348.0</v>
      </c>
      <c r="F32" s="41">
        <v>0.0</v>
      </c>
      <c r="G32" s="41">
        <v>0.0</v>
      </c>
      <c r="H32" s="42" t="s">
        <v>47</v>
      </c>
      <c r="K32" s="43">
        <v>45778.0</v>
      </c>
      <c r="L32" s="44">
        <v>8316.0</v>
      </c>
    </row>
    <row r="33" ht="22.5" customHeight="1">
      <c r="A33" s="39">
        <v>45870.0</v>
      </c>
      <c r="B33" s="40">
        <v>45876.0</v>
      </c>
      <c r="C33" s="41">
        <v>8387.0</v>
      </c>
      <c r="D33" s="41">
        <v>0.0</v>
      </c>
      <c r="E33" s="41">
        <v>8387.0</v>
      </c>
      <c r="F33" s="41">
        <v>0.0</v>
      </c>
      <c r="G33" s="41">
        <v>0.0</v>
      </c>
      <c r="H33" s="42" t="s">
        <v>47</v>
      </c>
      <c r="K33" s="43">
        <v>45809.0</v>
      </c>
      <c r="L33" s="44">
        <v>7731.0</v>
      </c>
      <c r="Q33" s="43">
        <v>45658.0</v>
      </c>
      <c r="R33" s="44">
        <v>9223.0</v>
      </c>
    </row>
    <row r="34" ht="22.5" customHeight="1">
      <c r="A34" s="39">
        <v>45901.0</v>
      </c>
      <c r="B34" s="40">
        <v>45905.0</v>
      </c>
      <c r="C34" s="41">
        <v>8674.0</v>
      </c>
      <c r="D34" s="41">
        <v>0.0</v>
      </c>
      <c r="E34" s="41">
        <v>8674.0</v>
      </c>
      <c r="F34" s="41">
        <v>0.0</v>
      </c>
      <c r="G34" s="41">
        <v>0.0</v>
      </c>
      <c r="H34" s="42" t="s">
        <v>47</v>
      </c>
      <c r="K34" s="43">
        <v>45839.0</v>
      </c>
      <c r="L34" s="44">
        <v>8348.0</v>
      </c>
      <c r="Q34" s="43">
        <v>45689.0</v>
      </c>
      <c r="R34" s="44">
        <v>10356.0</v>
      </c>
    </row>
    <row r="35" ht="22.5" hidden="1" customHeight="1">
      <c r="A35" s="39">
        <v>45931.0</v>
      </c>
      <c r="B35" s="40">
        <v>45936.0</v>
      </c>
      <c r="C35" s="41">
        <v>8886.0</v>
      </c>
      <c r="D35" s="41">
        <v>0.0</v>
      </c>
      <c r="E35" s="41">
        <v>8886.0</v>
      </c>
      <c r="F35" s="41">
        <v>0.0</v>
      </c>
      <c r="G35" s="41">
        <v>0.0</v>
      </c>
      <c r="H35" s="42" t="s">
        <v>47</v>
      </c>
      <c r="K35" s="43">
        <v>45870.0</v>
      </c>
      <c r="L35" s="44">
        <v>8387.0</v>
      </c>
      <c r="Q35" s="43">
        <v>45717.0</v>
      </c>
      <c r="R35" s="44">
        <v>9117.0</v>
      </c>
    </row>
    <row r="36" ht="22.5" hidden="1" customHeight="1">
      <c r="A36" s="39">
        <v>45962.0</v>
      </c>
      <c r="B36" s="40">
        <v>45968.0</v>
      </c>
      <c r="C36" s="41">
        <v>9752.0</v>
      </c>
      <c r="D36" s="41">
        <v>0.0</v>
      </c>
      <c r="E36" s="41">
        <v>9752.0</v>
      </c>
      <c r="F36" s="41">
        <v>0.0</v>
      </c>
      <c r="G36" s="41">
        <v>0.0</v>
      </c>
      <c r="H36" s="42" t="s">
        <v>47</v>
      </c>
      <c r="K36" s="43">
        <v>45901.0</v>
      </c>
      <c r="L36" s="44">
        <v>8674.0</v>
      </c>
      <c r="Q36" s="43">
        <v>45748.0</v>
      </c>
      <c r="R36" s="44">
        <v>7945.0</v>
      </c>
    </row>
    <row r="37" ht="22.5" hidden="1" customHeight="1">
      <c r="A37" s="39">
        <v>45992.0</v>
      </c>
      <c r="B37" s="40">
        <v>45997.0</v>
      </c>
      <c r="C37" s="41">
        <v>9512.0</v>
      </c>
      <c r="D37" s="41">
        <v>0.0</v>
      </c>
      <c r="E37" s="41">
        <v>9512.0</v>
      </c>
      <c r="F37" s="41">
        <v>8505.0</v>
      </c>
      <c r="G37" s="41">
        <v>173.0</v>
      </c>
      <c r="H37" s="42" t="s">
        <v>47</v>
      </c>
      <c r="K37" s="43">
        <v>45931.0</v>
      </c>
      <c r="L37" s="44">
        <v>8886.0</v>
      </c>
      <c r="Q37" s="43">
        <v>45778.0</v>
      </c>
      <c r="R37" s="44">
        <v>8316.0</v>
      </c>
    </row>
    <row r="38">
      <c r="K38" s="43">
        <v>45962.0</v>
      </c>
      <c r="L38" s="44">
        <v>9752.0</v>
      </c>
      <c r="Q38" s="43">
        <v>45809.0</v>
      </c>
      <c r="R38" s="44">
        <v>7731.0</v>
      </c>
    </row>
    <row r="39">
      <c r="K39" s="43">
        <v>45992.0</v>
      </c>
      <c r="L39" s="44">
        <v>9512.0</v>
      </c>
    </row>
    <row r="40">
      <c r="Q40" s="43">
        <v>45839.0</v>
      </c>
      <c r="R40" s="44">
        <v>8348.0</v>
      </c>
    </row>
    <row r="41">
      <c r="Q41" s="43">
        <v>45870.0</v>
      </c>
      <c r="R41" s="44">
        <v>8387.0</v>
      </c>
    </row>
    <row r="42">
      <c r="Q42" s="43">
        <v>45901.0</v>
      </c>
      <c r="R42" s="44">
        <v>8674.0</v>
      </c>
    </row>
    <row r="43">
      <c r="Q43" s="43">
        <v>45931.0</v>
      </c>
      <c r="R43" s="44">
        <v>8886.0</v>
      </c>
    </row>
    <row r="44">
      <c r="Q44" s="43">
        <v>45962.0</v>
      </c>
      <c r="R44" s="44">
        <v>9752.0</v>
      </c>
    </row>
    <row r="45">
      <c r="K45" s="20" t="s">
        <v>60</v>
      </c>
      <c r="Q45" s="43">
        <v>45992.0</v>
      </c>
      <c r="R45" s="44">
        <v>9512.0</v>
      </c>
    </row>
    <row r="60">
      <c r="B60" s="47" t="s">
        <v>61</v>
      </c>
      <c r="C60" s="47" t="s">
        <v>62</v>
      </c>
      <c r="D60" s="47" t="s">
        <v>63</v>
      </c>
      <c r="E60" s="47" t="s">
        <v>64</v>
      </c>
      <c r="F60" s="47" t="s">
        <v>65</v>
      </c>
      <c r="H60" s="20" t="s">
        <v>66</v>
      </c>
    </row>
    <row r="61">
      <c r="B61" s="47" t="s">
        <v>67</v>
      </c>
      <c r="C61" s="47" t="s">
        <v>68</v>
      </c>
      <c r="D61" s="48">
        <v>9752.0</v>
      </c>
      <c r="E61" s="48">
        <v>10730.0</v>
      </c>
      <c r="F61" s="49">
        <f t="shared" ref="F61:F63" si="1">(E61-D61)/D61</f>
        <v>0.1002871206</v>
      </c>
      <c r="H61" s="20">
        <v>31.0</v>
      </c>
      <c r="I61" s="20">
        <v>330.0</v>
      </c>
    </row>
    <row r="62">
      <c r="B62" s="47" t="s">
        <v>69</v>
      </c>
      <c r="C62" s="47" t="s">
        <v>70</v>
      </c>
      <c r="D62" s="48">
        <v>9512.0</v>
      </c>
      <c r="E62" s="48">
        <v>10280.0</v>
      </c>
      <c r="F62" s="49">
        <f t="shared" si="1"/>
        <v>0.08074011775</v>
      </c>
      <c r="H62" s="20">
        <v>1.0</v>
      </c>
      <c r="I62" s="20">
        <v>330.0</v>
      </c>
    </row>
    <row r="63">
      <c r="B63" s="47" t="s">
        <v>71</v>
      </c>
      <c r="C63" s="47" t="s">
        <v>72</v>
      </c>
      <c r="D63" s="48">
        <f>E63*0.9</f>
        <v>8315.1</v>
      </c>
      <c r="E63" s="48">
        <v>9239.0</v>
      </c>
      <c r="F63" s="49">
        <f t="shared" si="1"/>
        <v>0.1111111111</v>
      </c>
      <c r="H63" s="20">
        <v>2.0</v>
      </c>
      <c r="I63" s="20">
        <v>330.0</v>
      </c>
    </row>
    <row r="64">
      <c r="C64" s="20" t="s">
        <v>73</v>
      </c>
      <c r="D64" s="50">
        <f t="shared" ref="D64:E64" si="2">SUM(D61:D63)</f>
        <v>27579.1</v>
      </c>
      <c r="E64" s="50">
        <f t="shared" si="2"/>
        <v>30249</v>
      </c>
    </row>
    <row r="65">
      <c r="C65" s="20"/>
      <c r="D65" s="51"/>
      <c r="E65" s="51"/>
      <c r="G65" s="52">
        <f>AVERAGE(F61:F62)</f>
        <v>0.09051361917</v>
      </c>
    </row>
  </sheetData>
  <dataValidations>
    <dataValidation type="custom" allowBlank="1" showDropDown="1" sqref="A2:B37">
      <formula1>OR(NOT(ISERROR(DATEVALUE(A2))), AND(ISNUMBER(A2), LEFT(CELL("format", A2))="D"))</formula1>
    </dataValidation>
    <dataValidation type="custom" allowBlank="1" showDropDown="1" sqref="C2:G3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