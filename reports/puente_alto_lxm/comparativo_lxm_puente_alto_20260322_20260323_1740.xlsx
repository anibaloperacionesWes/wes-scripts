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54b67b42a7224b/Desktop/wes-scripts/reports/puente_alto_lxm/"/>
    </mc:Choice>
  </mc:AlternateContent>
  <xr:revisionPtr revIDLastSave="4" documentId="14_{29E40363-133B-46D8-A48A-45A8FDF29935}" xr6:coauthVersionLast="47" xr6:coauthVersionMax="47" xr10:uidLastSave="{384E6D3F-F441-4EBB-BA99-FEB9062EED31}"/>
  <bookViews>
    <workbookView xWindow="20370" yWindow="-120" windowWidth="21840" windowHeight="13020" xr2:uid="{D5C983AE-CF31-4E84-A624-791E865453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G6" i="1"/>
  <c r="Q16" i="1"/>
  <c r="L16" i="1"/>
  <c r="G16" i="1"/>
  <c r="E16" i="1" s="1"/>
  <c r="Q15" i="1"/>
  <c r="L15" i="1"/>
  <c r="G15" i="1"/>
  <c r="E15" i="1" s="1"/>
  <c r="Q14" i="1"/>
  <c r="G14" i="1"/>
  <c r="E14" i="1" s="1"/>
  <c r="Q13" i="1"/>
  <c r="L13" i="1"/>
  <c r="G13" i="1"/>
  <c r="E13" i="1" s="1"/>
  <c r="P13" i="1" s="1"/>
  <c r="Q12" i="1"/>
  <c r="L12" i="1"/>
  <c r="G12" i="1"/>
  <c r="E12" i="1" s="1"/>
  <c r="Q11" i="1"/>
  <c r="G11" i="1"/>
  <c r="E11" i="1" s="1"/>
  <c r="Q10" i="1"/>
  <c r="L10" i="1"/>
  <c r="G10" i="1"/>
  <c r="E10" i="1" s="1"/>
  <c r="P10" i="1" s="1"/>
  <c r="Q9" i="1"/>
  <c r="L9" i="1"/>
  <c r="G9" i="1"/>
  <c r="E9" i="1" s="1"/>
  <c r="P9" i="1" s="1"/>
  <c r="Q8" i="1"/>
  <c r="L8" i="1"/>
  <c r="G8" i="1"/>
  <c r="E8" i="1" s="1"/>
  <c r="Q7" i="1"/>
  <c r="L7" i="1"/>
  <c r="G7" i="1"/>
  <c r="E7" i="1" s="1"/>
  <c r="Q6" i="1"/>
  <c r="L6" i="1"/>
  <c r="P11" i="1" l="1"/>
  <c r="P12" i="1"/>
  <c r="K16" i="1"/>
  <c r="P14" i="1"/>
  <c r="K12" i="1"/>
  <c r="P7" i="1"/>
  <c r="K10" i="1"/>
  <c r="P15" i="1"/>
  <c r="K15" i="1"/>
  <c r="K6" i="1"/>
  <c r="P16" i="1"/>
  <c r="P8" i="1"/>
  <c r="P6" i="1"/>
  <c r="K13" i="1"/>
  <c r="K9" i="1"/>
  <c r="K8" i="1"/>
  <c r="K7" i="1"/>
</calcChain>
</file>

<file path=xl/sharedStrings.xml><?xml version="1.0" encoding="utf-8"?>
<sst xmlns="http://schemas.openxmlformats.org/spreadsheetml/2006/main" count="102" uniqueCount="54">
  <si>
    <t>Caudal Nominal en Horario de Máxima Demanda</t>
  </si>
  <si>
    <t>Rango Caudal Alto</t>
  </si>
  <si>
    <t>Rango Caudal Medio</t>
  </si>
  <si>
    <t>Rango Caudal Bajo "nocturno"</t>
  </si>
  <si>
    <t>ON / OFF</t>
  </si>
  <si>
    <t>ITEM</t>
  </si>
  <si>
    <t>Establecimiento</t>
  </si>
  <si>
    <t>%</t>
  </si>
  <si>
    <t>LXM</t>
  </si>
  <si>
    <t>Horario</t>
  </si>
  <si>
    <t>Complejo Educacional Consolidada</t>
  </si>
  <si>
    <t>07:00 - 21:00</t>
  </si>
  <si>
    <t>21:00 - 23:59</t>
  </si>
  <si>
    <t>00:01 - 07:00</t>
  </si>
  <si>
    <t>Escuela Villa Independencia</t>
  </si>
  <si>
    <t>06:00 - 19:00</t>
  </si>
  <si>
    <t>19:00 - 23:00</t>
  </si>
  <si>
    <t>23:00 - 06:00</t>
  </si>
  <si>
    <t>Escuela Andes del Sur</t>
  </si>
  <si>
    <t>07:00 - 15:00</t>
  </si>
  <si>
    <t>15:00 - 23:59</t>
  </si>
  <si>
    <t>Escuela Padre Hurtado</t>
  </si>
  <si>
    <t>19:00 - 20:00</t>
  </si>
  <si>
    <t>20:00 - 06:00</t>
  </si>
  <si>
    <t>Colegio Maipo</t>
  </si>
  <si>
    <t>06:00 - 20:00</t>
  </si>
  <si>
    <t>20:00 - 23:00</t>
  </si>
  <si>
    <t>Escuela Luis Matte Larraín Central</t>
  </si>
  <si>
    <t>06:30 - 20:00</t>
  </si>
  <si>
    <t>00:01 - 23:59</t>
  </si>
  <si>
    <t>Operativo</t>
  </si>
  <si>
    <t>Escuela Gabriela</t>
  </si>
  <si>
    <t>06:30 - 18:00</t>
  </si>
  <si>
    <t>18:00 - 19:30</t>
  </si>
  <si>
    <t>19:30 - 06:00</t>
  </si>
  <si>
    <t>Escuela Juan Mackenna O'Reilly</t>
  </si>
  <si>
    <t>06:30 - 15:20</t>
  </si>
  <si>
    <t>15:20 - 20:00</t>
  </si>
  <si>
    <t>20:00 - 06:30</t>
  </si>
  <si>
    <t>Liceo Chiloé</t>
  </si>
  <si>
    <t>06:30 - 23:00</t>
  </si>
  <si>
    <t>Escuela Los Andes</t>
  </si>
  <si>
    <t>06:30 - 17:15</t>
  </si>
  <si>
    <t>17:15 - 23:00</t>
  </si>
  <si>
    <t>23:00 - 06:30</t>
  </si>
  <si>
    <t>Escuela Nonato Coo</t>
  </si>
  <si>
    <t>06:30 - 19:30</t>
  </si>
  <si>
    <t>19:30 - 23:00</t>
  </si>
  <si>
    <t>Prom L/min app</t>
  </si>
  <si>
    <t>Estado</t>
  </si>
  <si>
    <t>OK</t>
  </si>
  <si>
    <t>NOK</t>
  </si>
  <si>
    <t>—</t>
  </si>
  <si>
    <t>Fecha medicion API: 2026-03-22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</si>
</sst>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0"/>
      <color rgb="FF000000"/>
      <name val="Aptos"/>
    </font>
    <font>
      <sz val="10"/>
      <color rgb="FF000000"/>
      <name val="Aptos"/>
    </font>
    <font>
      <sz val="10"/>
      <color theme="1"/>
      <name val="Aptos Narrow"/>
    </font>
    <font>
      <sz val="10"/>
      <color theme="1"/>
      <name val="Aptos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1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164" fontId="1" fillId="0" borderId="0" xfId="0" applyNumberFormat="1" applyFont="1" applyAlignment="1">
      <alignment horizontal="center"/>
    </xf>
    <xf numFmtId="164" fontId="3" fillId="4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A8CCD-B128-4DBE-82C3-D353F13F720D}">
  <dimension ref="B1:U1000"/>
  <sheetViews>
    <sheetView tabSelected="1" zoomScaleNormal="80" workbookViewId="0">
      <selection activeCell="G8" sqref="G8"/>
    </sheetView>
  </sheetViews>
  <sheetFormatPr baseColWidth="10" defaultColWidth="12.5703125" defaultRowHeight="15" x14ac:dyDescent="0.25"/>
  <cols>
    <col min="1" max="1" width="10.5703125" customWidth="1"/>
    <col min="2" max="2" width="5" customWidth="1"/>
    <col min="3" max="3" width="29.85546875" customWidth="1"/>
    <col min="4" max="4" width="6.140625" customWidth="1"/>
    <col min="5" max="5" width="10.7109375" customWidth="1"/>
    <col min="6" max="6" width="5.42578125" customWidth="1"/>
    <col min="7" max="7" width="5.5703125" bestFit="1" customWidth="1"/>
    <col min="8" max="8" width="11.5703125" customWidth="1"/>
    <col min="9" max="9" width="14.7109375" bestFit="1" customWidth="1"/>
    <col min="10" max="10" width="11.5703125" customWidth="1"/>
    <col min="11" max="11" width="5.140625" customWidth="1"/>
    <col min="12" max="12" width="4.42578125" customWidth="1"/>
    <col min="13" max="15" width="11.5703125" customWidth="1"/>
    <col min="16" max="16" width="5.42578125" customWidth="1"/>
    <col min="17" max="17" width="4.42578125" customWidth="1"/>
    <col min="18" max="20" width="11.5703125" customWidth="1"/>
    <col min="21" max="32" width="10.5703125" customWidth="1"/>
  </cols>
  <sheetData>
    <row r="1" spans="2:21" x14ac:dyDescent="0.25">
      <c r="B1" s="1"/>
      <c r="F1" s="1"/>
      <c r="H1" s="1"/>
      <c r="I1" s="1"/>
      <c r="J1" s="1"/>
      <c r="M1" s="2"/>
      <c r="N1" s="2"/>
      <c r="O1" s="2"/>
      <c r="R1" s="2"/>
      <c r="S1" s="2"/>
      <c r="T1" s="2"/>
    </row>
    <row r="2" spans="2:21" x14ac:dyDescent="0.25">
      <c r="B2" s="1"/>
      <c r="F2" s="1"/>
      <c r="H2" s="1"/>
      <c r="I2" s="1"/>
      <c r="J2" s="1"/>
      <c r="M2" s="2"/>
      <c r="N2" s="2"/>
      <c r="O2" s="2"/>
      <c r="R2" s="2"/>
      <c r="S2" s="2"/>
      <c r="T2" s="2"/>
    </row>
    <row r="3" spans="2:21" x14ac:dyDescent="0.25">
      <c r="B3" s="1"/>
      <c r="F3" s="1"/>
      <c r="H3" s="1"/>
      <c r="I3" s="1"/>
      <c r="J3" s="1"/>
      <c r="M3" s="2"/>
      <c r="N3" s="2"/>
      <c r="O3" s="2"/>
      <c r="R3" s="2"/>
      <c r="S3" s="2"/>
      <c r="T3" s="2"/>
    </row>
    <row r="4" spans="2:21" ht="40.5" customHeight="1" x14ac:dyDescent="0.25">
      <c r="B4" s="1"/>
      <c r="D4" s="23" t="s">
        <v>0</v>
      </c>
      <c r="E4" s="25"/>
      <c r="F4" s="23" t="s">
        <v>1</v>
      </c>
      <c r="G4" s="24"/>
      <c r="H4" s="24"/>
      <c r="I4" s="24"/>
      <c r="J4" s="25"/>
      <c r="K4" s="23" t="s">
        <v>2</v>
      </c>
      <c r="L4" s="24"/>
      <c r="M4" s="24"/>
      <c r="N4" s="24"/>
      <c r="O4" s="25"/>
      <c r="P4" s="23" t="s">
        <v>3</v>
      </c>
      <c r="Q4" s="24"/>
      <c r="R4" s="24"/>
      <c r="S4" s="24"/>
      <c r="T4" s="25"/>
      <c r="U4" s="3" t="s">
        <v>4</v>
      </c>
    </row>
    <row r="5" spans="2:21" ht="27" x14ac:dyDescent="0.25">
      <c r="B5" s="4" t="s">
        <v>5</v>
      </c>
      <c r="C5" s="4" t="s">
        <v>6</v>
      </c>
      <c r="D5" s="5" t="s">
        <v>7</v>
      </c>
      <c r="E5" s="5" t="s">
        <v>8</v>
      </c>
      <c r="F5" s="5" t="s">
        <v>7</v>
      </c>
      <c r="G5" s="5" t="s">
        <v>8</v>
      </c>
      <c r="H5" s="5" t="s">
        <v>9</v>
      </c>
      <c r="I5" s="5" t="s">
        <v>48</v>
      </c>
      <c r="J5" s="5" t="s">
        <v>49</v>
      </c>
      <c r="K5" s="5" t="s">
        <v>7</v>
      </c>
      <c r="L5" s="5" t="s">
        <v>8</v>
      </c>
      <c r="M5" s="5" t="s">
        <v>9</v>
      </c>
      <c r="N5" s="5" t="s">
        <v>48</v>
      </c>
      <c r="O5" s="5" t="s">
        <v>49</v>
      </c>
      <c r="P5" s="5" t="s">
        <v>7</v>
      </c>
      <c r="Q5" s="5" t="s">
        <v>8</v>
      </c>
      <c r="R5" s="5" t="s">
        <v>9</v>
      </c>
      <c r="S5" s="5" t="s">
        <v>48</v>
      </c>
      <c r="T5" s="5" t="s">
        <v>49</v>
      </c>
      <c r="U5" s="6"/>
    </row>
    <row r="6" spans="2:21" x14ac:dyDescent="0.25">
      <c r="B6" s="7">
        <v>1</v>
      </c>
      <c r="C6" s="8" t="s">
        <v>10</v>
      </c>
      <c r="D6" s="9">
        <v>100</v>
      </c>
      <c r="E6" s="10">
        <f>D6*G6/F6</f>
        <v>120.83333333333334</v>
      </c>
      <c r="F6" s="9">
        <v>80</v>
      </c>
      <c r="G6" s="9">
        <f>5.8*1000/60</f>
        <v>96.666666666666671</v>
      </c>
      <c r="H6" s="10" t="s">
        <v>11</v>
      </c>
      <c r="I6" s="10">
        <v>6.556</v>
      </c>
      <c r="J6" s="18" t="s">
        <v>50</v>
      </c>
      <c r="K6" s="9">
        <f>L6*D6/E6</f>
        <v>13.793103448275861</v>
      </c>
      <c r="L6" s="9">
        <f>1*1000/60</f>
        <v>16.666666666666668</v>
      </c>
      <c r="M6" s="11" t="s">
        <v>12</v>
      </c>
      <c r="N6" s="11">
        <v>6.1109999999999998</v>
      </c>
      <c r="O6" s="19" t="s">
        <v>50</v>
      </c>
      <c r="P6" s="9">
        <f t="shared" ref="P6:P16" si="0">Q6*D6/E6</f>
        <v>11.03448275862069</v>
      </c>
      <c r="Q6" s="9">
        <f>0.8*1000/60</f>
        <v>13.333333333333334</v>
      </c>
      <c r="R6" s="12" t="s">
        <v>13</v>
      </c>
      <c r="S6" s="12">
        <v>6.875</v>
      </c>
      <c r="T6" s="20" t="s">
        <v>50</v>
      </c>
      <c r="U6" s="13"/>
    </row>
    <row r="7" spans="2:21" x14ac:dyDescent="0.25">
      <c r="B7" s="7">
        <v>2</v>
      </c>
      <c r="C7" s="8" t="s">
        <v>14</v>
      </c>
      <c r="D7" s="9">
        <v>100</v>
      </c>
      <c r="E7" s="10">
        <f t="shared" ref="E6:E16" si="1">D7*G7/F7</f>
        <v>5.4166666666666661</v>
      </c>
      <c r="F7" s="9">
        <v>80</v>
      </c>
      <c r="G7" s="9">
        <f>0.26*1000/60</f>
        <v>4.333333333333333</v>
      </c>
      <c r="H7" s="14" t="s">
        <v>15</v>
      </c>
      <c r="I7" s="14">
        <v>3.5999999999999997E-2</v>
      </c>
      <c r="J7" s="21" t="s">
        <v>50</v>
      </c>
      <c r="K7" s="9">
        <f>L7*D7/E7</f>
        <v>49.230769230769226</v>
      </c>
      <c r="L7" s="10">
        <f>0.16*1000/60</f>
        <v>2.6666666666666665</v>
      </c>
      <c r="M7" s="10" t="s">
        <v>16</v>
      </c>
      <c r="N7" s="10">
        <v>6.7000000000000004E-2</v>
      </c>
      <c r="O7" s="18" t="s">
        <v>50</v>
      </c>
      <c r="P7" s="9">
        <f t="shared" si="0"/>
        <v>24.615384615384613</v>
      </c>
      <c r="Q7" s="10">
        <f>0.08*1000/60</f>
        <v>1.3333333333333333</v>
      </c>
      <c r="R7" s="12" t="s">
        <v>17</v>
      </c>
      <c r="S7" s="12">
        <v>6.2E-2</v>
      </c>
      <c r="T7" s="20" t="s">
        <v>50</v>
      </c>
      <c r="U7" s="13"/>
    </row>
    <row r="8" spans="2:21" x14ac:dyDescent="0.25">
      <c r="B8" s="7">
        <v>3</v>
      </c>
      <c r="C8" s="15" t="s">
        <v>18</v>
      </c>
      <c r="D8" s="9">
        <v>100</v>
      </c>
      <c r="E8" s="10">
        <f t="shared" si="1"/>
        <v>129.16666666666666</v>
      </c>
      <c r="F8" s="9">
        <v>80</v>
      </c>
      <c r="G8" s="10">
        <f>6.2*1000/60</f>
        <v>103.33333333333333</v>
      </c>
      <c r="H8" s="11" t="s">
        <v>19</v>
      </c>
      <c r="I8" s="11">
        <v>2.9630000000000001</v>
      </c>
      <c r="J8" s="19" t="s">
        <v>50</v>
      </c>
      <c r="K8" s="9">
        <f>L8*D8/E8</f>
        <v>41.290322580645167</v>
      </c>
      <c r="L8" s="10">
        <f>3.2*1000/60</f>
        <v>53.333333333333336</v>
      </c>
      <c r="M8" s="11" t="s">
        <v>20</v>
      </c>
      <c r="N8" s="11">
        <v>3.3330000000000002</v>
      </c>
      <c r="O8" s="19" t="s">
        <v>50</v>
      </c>
      <c r="P8" s="9">
        <f t="shared" si="0"/>
        <v>18.064516129032256</v>
      </c>
      <c r="Q8" s="10">
        <f>1.4*1000/60</f>
        <v>23.333333333333332</v>
      </c>
      <c r="R8" s="12" t="s">
        <v>13</v>
      </c>
      <c r="S8" s="12">
        <v>3.3330000000000002</v>
      </c>
      <c r="T8" s="20" t="s">
        <v>50</v>
      </c>
      <c r="U8" s="13"/>
    </row>
    <row r="9" spans="2:21" x14ac:dyDescent="0.25">
      <c r="B9" s="7">
        <v>4</v>
      </c>
      <c r="C9" s="8" t="s">
        <v>21</v>
      </c>
      <c r="D9" s="9">
        <v>100</v>
      </c>
      <c r="E9" s="10">
        <f t="shared" si="1"/>
        <v>56.25</v>
      </c>
      <c r="F9" s="9">
        <v>80</v>
      </c>
      <c r="G9" s="11">
        <f>2.7*1000/60</f>
        <v>45</v>
      </c>
      <c r="H9" s="11" t="s">
        <v>15</v>
      </c>
      <c r="I9" s="11">
        <v>5.5949999999999998</v>
      </c>
      <c r="J9" s="19" t="s">
        <v>50</v>
      </c>
      <c r="K9" s="9">
        <f>L9*D9/E9</f>
        <v>17.777777777777779</v>
      </c>
      <c r="L9" s="11">
        <f>0.6*1000/60</f>
        <v>10</v>
      </c>
      <c r="M9" s="11" t="s">
        <v>22</v>
      </c>
      <c r="N9" s="11">
        <v>7.5</v>
      </c>
      <c r="O9" s="19" t="s">
        <v>50</v>
      </c>
      <c r="P9" s="9">
        <f t="shared" si="0"/>
        <v>14.814814814814815</v>
      </c>
      <c r="Q9" s="10">
        <f>0.5*1000/60</f>
        <v>8.3333333333333339</v>
      </c>
      <c r="R9" s="12" t="s">
        <v>23</v>
      </c>
      <c r="S9" s="12">
        <v>4.5449999999999999</v>
      </c>
      <c r="T9" s="20" t="s">
        <v>50</v>
      </c>
      <c r="U9" s="13"/>
    </row>
    <row r="10" spans="2:21" x14ac:dyDescent="0.25">
      <c r="B10" s="7">
        <v>5</v>
      </c>
      <c r="C10" s="8" t="s">
        <v>24</v>
      </c>
      <c r="D10" s="9">
        <v>100</v>
      </c>
      <c r="E10" s="10">
        <f t="shared" si="1"/>
        <v>94.791666666666657</v>
      </c>
      <c r="F10" s="9">
        <v>80</v>
      </c>
      <c r="G10" s="10">
        <f>4.55*1000/60</f>
        <v>75.833333333333329</v>
      </c>
      <c r="H10" s="11" t="s">
        <v>25</v>
      </c>
      <c r="I10" s="11">
        <v>3.8330000000000002</v>
      </c>
      <c r="J10" s="19" t="s">
        <v>50</v>
      </c>
      <c r="K10" s="9">
        <f>L10*D10/E10</f>
        <v>8.4395604395604398</v>
      </c>
      <c r="L10" s="11">
        <f>0.48*1000/60</f>
        <v>8</v>
      </c>
      <c r="M10" s="11" t="s">
        <v>26</v>
      </c>
      <c r="N10" s="11">
        <v>3.9169999999999998</v>
      </c>
      <c r="O10" s="19" t="s">
        <v>50</v>
      </c>
      <c r="P10" s="9">
        <f t="shared" si="0"/>
        <v>3.3406593406593408</v>
      </c>
      <c r="Q10" s="10">
        <f>0.19*1000/60</f>
        <v>3.1666666666666665</v>
      </c>
      <c r="R10" s="12" t="s">
        <v>17</v>
      </c>
      <c r="S10" s="12">
        <v>4.375</v>
      </c>
      <c r="T10" s="22" t="s">
        <v>51</v>
      </c>
      <c r="U10" s="13"/>
    </row>
    <row r="11" spans="2:21" x14ac:dyDescent="0.25">
      <c r="B11" s="7">
        <v>6</v>
      </c>
      <c r="C11" s="26" t="s">
        <v>27</v>
      </c>
      <c r="D11" s="9">
        <v>100</v>
      </c>
      <c r="E11" s="10">
        <f t="shared" si="1"/>
        <v>29.166666666666664</v>
      </c>
      <c r="F11" s="11">
        <v>80</v>
      </c>
      <c r="G11" s="10">
        <f>1.4*1000/60</f>
        <v>23.333333333333332</v>
      </c>
      <c r="H11" s="10" t="s">
        <v>28</v>
      </c>
      <c r="I11" s="10">
        <v>0.122</v>
      </c>
      <c r="J11" s="18" t="s">
        <v>50</v>
      </c>
      <c r="K11" s="9"/>
      <c r="L11" s="16"/>
      <c r="M11" s="11"/>
      <c r="N11" s="11">
        <v>0</v>
      </c>
      <c r="O11" s="11" t="s">
        <v>52</v>
      </c>
      <c r="P11" s="9">
        <f t="shared" si="0"/>
        <v>52</v>
      </c>
      <c r="Q11" s="10">
        <f>0.91*1000/60</f>
        <v>15.166666666666666</v>
      </c>
      <c r="R11" s="12" t="s">
        <v>29</v>
      </c>
      <c r="S11" s="12">
        <v>0.125</v>
      </c>
      <c r="T11" s="20" t="s">
        <v>50</v>
      </c>
      <c r="U11" s="13" t="s">
        <v>30</v>
      </c>
    </row>
    <row r="12" spans="2:21" x14ac:dyDescent="0.25">
      <c r="B12" s="7">
        <v>7</v>
      </c>
      <c r="C12" s="26" t="s">
        <v>31</v>
      </c>
      <c r="D12" s="9">
        <v>100</v>
      </c>
      <c r="E12" s="10">
        <f t="shared" si="1"/>
        <v>58.333333333333329</v>
      </c>
      <c r="F12" s="11">
        <v>80</v>
      </c>
      <c r="G12" s="10">
        <f>2.8*1000/60</f>
        <v>46.666666666666664</v>
      </c>
      <c r="H12" s="11" t="s">
        <v>32</v>
      </c>
      <c r="I12" s="11">
        <v>0</v>
      </c>
      <c r="J12" s="19" t="s">
        <v>50</v>
      </c>
      <c r="K12" s="9">
        <f>L12*D12/E12</f>
        <v>28.571428571428577</v>
      </c>
      <c r="L12" s="10">
        <f>1*1000/60</f>
        <v>16.666666666666668</v>
      </c>
      <c r="M12" s="11" t="s">
        <v>33</v>
      </c>
      <c r="N12" s="11">
        <v>0</v>
      </c>
      <c r="O12" s="19" t="s">
        <v>50</v>
      </c>
      <c r="P12" s="9">
        <f t="shared" si="0"/>
        <v>11.428571428571431</v>
      </c>
      <c r="Q12" s="10">
        <f>0.4*1000/60</f>
        <v>6.666666666666667</v>
      </c>
      <c r="R12" s="12" t="s">
        <v>34</v>
      </c>
      <c r="S12" s="12">
        <v>0</v>
      </c>
      <c r="T12" s="20" t="s">
        <v>50</v>
      </c>
      <c r="U12" s="13"/>
    </row>
    <row r="13" spans="2:21" x14ac:dyDescent="0.25">
      <c r="B13" s="7">
        <v>8</v>
      </c>
      <c r="C13" s="26" t="s">
        <v>35</v>
      </c>
      <c r="D13" s="9">
        <v>100</v>
      </c>
      <c r="E13" s="10">
        <f t="shared" si="1"/>
        <v>72.708333333333329</v>
      </c>
      <c r="F13" s="11">
        <v>80</v>
      </c>
      <c r="G13" s="10">
        <f>3.49*1000/60</f>
        <v>58.166666666666664</v>
      </c>
      <c r="H13" s="11" t="s">
        <v>36</v>
      </c>
      <c r="I13" s="11">
        <v>8.8000000000000007</v>
      </c>
      <c r="J13" s="19" t="s">
        <v>50</v>
      </c>
      <c r="K13" s="9">
        <f>L13*D13/E13</f>
        <v>45.157593123209175</v>
      </c>
      <c r="L13" s="10">
        <f>1.97*1000/60</f>
        <v>32.833333333333336</v>
      </c>
      <c r="M13" s="11" t="s">
        <v>37</v>
      </c>
      <c r="N13" s="11">
        <v>8.4440000000000008</v>
      </c>
      <c r="O13" s="19" t="s">
        <v>50</v>
      </c>
      <c r="P13" s="9">
        <f t="shared" si="0"/>
        <v>12.148997134670488</v>
      </c>
      <c r="Q13" s="10">
        <f>0.53*1000/60</f>
        <v>8.8333333333333339</v>
      </c>
      <c r="R13" s="12" t="s">
        <v>38</v>
      </c>
      <c r="S13" s="12">
        <v>8.7579999999999991</v>
      </c>
      <c r="T13" s="20" t="s">
        <v>50</v>
      </c>
      <c r="U13" s="13"/>
    </row>
    <row r="14" spans="2:21" x14ac:dyDescent="0.25">
      <c r="B14" s="7">
        <v>9</v>
      </c>
      <c r="C14" s="26" t="s">
        <v>39</v>
      </c>
      <c r="D14" s="9">
        <v>100</v>
      </c>
      <c r="E14" s="10">
        <f t="shared" si="1"/>
        <v>109.16666666666666</v>
      </c>
      <c r="F14" s="11">
        <v>80</v>
      </c>
      <c r="G14" s="17">
        <f>5.24*1000/60</f>
        <v>87.333333333333329</v>
      </c>
      <c r="H14" s="11" t="s">
        <v>40</v>
      </c>
      <c r="I14" s="11">
        <v>19.536999999999999</v>
      </c>
      <c r="J14" s="19" t="s">
        <v>50</v>
      </c>
      <c r="K14" s="9"/>
      <c r="L14" s="16"/>
      <c r="M14" s="11"/>
      <c r="N14" s="11">
        <v>0</v>
      </c>
      <c r="O14" s="11" t="s">
        <v>52</v>
      </c>
      <c r="P14" s="9">
        <f t="shared" si="0"/>
        <v>15.419847328244275</v>
      </c>
      <c r="Q14" s="9">
        <f>1.01*1000/60</f>
        <v>16.833333333333332</v>
      </c>
      <c r="R14" s="12" t="s">
        <v>29</v>
      </c>
      <c r="S14" s="12">
        <v>21.082999999999998</v>
      </c>
      <c r="T14" s="22" t="s">
        <v>51</v>
      </c>
      <c r="U14" s="13" t="s">
        <v>30</v>
      </c>
    </row>
    <row r="15" spans="2:21" x14ac:dyDescent="0.25">
      <c r="B15" s="7">
        <v>10</v>
      </c>
      <c r="C15" s="26" t="s">
        <v>41</v>
      </c>
      <c r="D15" s="9">
        <v>100</v>
      </c>
      <c r="E15" s="10">
        <f t="shared" si="1"/>
        <v>35.416666666666664</v>
      </c>
      <c r="F15" s="11">
        <v>80</v>
      </c>
      <c r="G15" s="10">
        <f>1.7*1000/60</f>
        <v>28.333333333333332</v>
      </c>
      <c r="H15" s="11" t="s">
        <v>42</v>
      </c>
      <c r="I15" s="11">
        <v>0.13900000000000001</v>
      </c>
      <c r="J15" s="19" t="s">
        <v>50</v>
      </c>
      <c r="K15" s="9">
        <f>L15*D15/E15</f>
        <v>32.941176470588232</v>
      </c>
      <c r="L15" s="10">
        <f>0.7*1000/60</f>
        <v>11.666666666666666</v>
      </c>
      <c r="M15" s="11" t="s">
        <v>43</v>
      </c>
      <c r="N15" s="11">
        <v>0</v>
      </c>
      <c r="O15" s="19" t="s">
        <v>50</v>
      </c>
      <c r="P15" s="9">
        <f t="shared" si="0"/>
        <v>14.117647058823531</v>
      </c>
      <c r="Q15" s="11">
        <f>0.3*1000/60</f>
        <v>5</v>
      </c>
      <c r="R15" s="12" t="s">
        <v>44</v>
      </c>
      <c r="S15" s="12">
        <v>0.20799999999999999</v>
      </c>
      <c r="T15" s="20" t="s">
        <v>50</v>
      </c>
      <c r="U15" s="13"/>
    </row>
    <row r="16" spans="2:21" x14ac:dyDescent="0.25">
      <c r="B16" s="7">
        <v>11</v>
      </c>
      <c r="C16" s="8" t="s">
        <v>45</v>
      </c>
      <c r="D16" s="9">
        <v>100</v>
      </c>
      <c r="E16" s="10">
        <f t="shared" si="1"/>
        <v>96.041666666666657</v>
      </c>
      <c r="F16" s="11">
        <v>80</v>
      </c>
      <c r="G16" s="10">
        <f>4.61*1000/60</f>
        <v>76.833333333333329</v>
      </c>
      <c r="H16" s="11" t="s">
        <v>46</v>
      </c>
      <c r="I16" s="11">
        <v>0</v>
      </c>
      <c r="J16" s="19" t="s">
        <v>50</v>
      </c>
      <c r="K16" s="9">
        <f>L16*D16/E16</f>
        <v>3.297180043383948</v>
      </c>
      <c r="L16" s="10">
        <f>0.19*1000/60</f>
        <v>3.1666666666666665</v>
      </c>
      <c r="M16" s="11" t="s">
        <v>47</v>
      </c>
      <c r="N16" s="11">
        <v>0</v>
      </c>
      <c r="O16" s="19" t="s">
        <v>50</v>
      </c>
      <c r="P16" s="9">
        <f t="shared" si="0"/>
        <v>2.6030368763557488</v>
      </c>
      <c r="Q16" s="11">
        <f>0.15*1000/60</f>
        <v>2.5</v>
      </c>
      <c r="R16" s="12" t="s">
        <v>44</v>
      </c>
      <c r="S16" s="12">
        <v>0</v>
      </c>
      <c r="T16" s="20" t="s">
        <v>50</v>
      </c>
      <c r="U16" s="13"/>
    </row>
    <row r="17" spans="2:20" x14ac:dyDescent="0.25">
      <c r="B17" s="1" t="s">
        <v>53</v>
      </c>
      <c r="F17" s="1"/>
      <c r="H17" s="1"/>
      <c r="I17" s="1"/>
      <c r="J17" s="1"/>
      <c r="M17" s="2"/>
      <c r="N17" s="2"/>
      <c r="O17" s="2"/>
      <c r="R17" s="2"/>
      <c r="S17" s="2"/>
      <c r="T17" s="2"/>
    </row>
    <row r="18" spans="2:20" x14ac:dyDescent="0.25">
      <c r="B18" s="1"/>
      <c r="F18" s="1"/>
      <c r="H18" s="1"/>
      <c r="I18" s="1"/>
      <c r="J18" s="1"/>
      <c r="M18" s="2"/>
      <c r="N18" s="2"/>
      <c r="O18" s="2"/>
      <c r="R18" s="2"/>
      <c r="S18" s="2"/>
      <c r="T18" s="2"/>
    </row>
    <row r="19" spans="2:20" x14ac:dyDescent="0.25">
      <c r="B19" s="1"/>
      <c r="F19" s="1"/>
      <c r="H19" s="1"/>
      <c r="I19" s="1"/>
      <c r="J19" s="1"/>
      <c r="M19" s="2"/>
      <c r="N19" s="2"/>
      <c r="O19" s="2"/>
      <c r="R19" s="2"/>
      <c r="S19" s="2"/>
      <c r="T19" s="2"/>
    </row>
    <row r="20" spans="2:20" x14ac:dyDescent="0.25">
      <c r="B20" s="1"/>
      <c r="E20" s="1"/>
      <c r="F20" s="1"/>
      <c r="H20" s="1"/>
      <c r="I20" s="1"/>
      <c r="J20" s="1"/>
      <c r="M20" s="2"/>
      <c r="N20" s="2"/>
      <c r="O20" s="2"/>
      <c r="R20" s="2"/>
      <c r="S20" s="2"/>
      <c r="T20" s="2"/>
    </row>
    <row r="21" spans="2:20" ht="15.75" customHeight="1" x14ac:dyDescent="0.25">
      <c r="B21" s="1"/>
      <c r="F21" s="1"/>
      <c r="H21" s="1"/>
      <c r="I21" s="1"/>
      <c r="J21" s="1"/>
      <c r="M21" s="2"/>
      <c r="N21" s="2"/>
      <c r="O21" s="2"/>
      <c r="R21" s="2"/>
      <c r="S21" s="2"/>
      <c r="T21" s="2"/>
    </row>
    <row r="22" spans="2:20" ht="15.75" customHeight="1" x14ac:dyDescent="0.25">
      <c r="B22" s="1"/>
      <c r="F22" s="1"/>
      <c r="H22" s="1"/>
      <c r="I22" s="1"/>
      <c r="J22" s="1"/>
      <c r="M22" s="2"/>
      <c r="N22" s="2"/>
      <c r="O22" s="2"/>
      <c r="R22" s="2"/>
      <c r="S22" s="2"/>
      <c r="T22" s="2"/>
    </row>
    <row r="23" spans="2:20" ht="15.75" customHeight="1" x14ac:dyDescent="0.25">
      <c r="B23" s="1"/>
      <c r="F23" s="1"/>
      <c r="H23" s="1"/>
      <c r="I23" s="1"/>
      <c r="J23" s="1"/>
      <c r="M23" s="2"/>
      <c r="N23" s="2"/>
      <c r="O23" s="2"/>
      <c r="R23" s="2"/>
      <c r="S23" s="2"/>
      <c r="T23" s="2"/>
    </row>
    <row r="24" spans="2:20" ht="15.75" customHeight="1" x14ac:dyDescent="0.25">
      <c r="B24" s="1"/>
      <c r="F24" s="1"/>
      <c r="H24" s="1"/>
      <c r="I24" s="1"/>
      <c r="J24" s="1"/>
      <c r="M24" s="2"/>
      <c r="N24" s="2"/>
      <c r="O24" s="2"/>
      <c r="R24" s="2"/>
      <c r="S24" s="2"/>
      <c r="T24" s="2"/>
    </row>
    <row r="25" spans="2:20" ht="15.75" customHeight="1" x14ac:dyDescent="0.25">
      <c r="B25" s="1"/>
      <c r="F25" s="1"/>
      <c r="H25" s="1"/>
      <c r="I25" s="1"/>
      <c r="J25" s="1"/>
      <c r="M25" s="2"/>
      <c r="N25" s="2"/>
      <c r="O25" s="2"/>
      <c r="R25" s="2"/>
      <c r="S25" s="2"/>
      <c r="T25" s="2"/>
    </row>
    <row r="26" spans="2:20" ht="15.75" customHeight="1" x14ac:dyDescent="0.25">
      <c r="B26" s="1"/>
      <c r="F26" s="1"/>
      <c r="H26" s="1"/>
      <c r="I26" s="1"/>
      <c r="J26" s="1"/>
      <c r="M26" s="2"/>
      <c r="N26" s="2"/>
      <c r="O26" s="2"/>
      <c r="R26" s="2"/>
      <c r="S26" s="2"/>
      <c r="T26" s="2"/>
    </row>
    <row r="27" spans="2:20" ht="15.75" customHeight="1" x14ac:dyDescent="0.25">
      <c r="B27" s="1"/>
      <c r="F27" s="1"/>
      <c r="H27" s="1"/>
      <c r="I27" s="1"/>
      <c r="J27" s="1"/>
      <c r="M27" s="2"/>
      <c r="N27" s="2"/>
      <c r="O27" s="2"/>
      <c r="R27" s="2"/>
      <c r="S27" s="2"/>
      <c r="T27" s="2"/>
    </row>
    <row r="28" spans="2:20" ht="15.75" customHeight="1" x14ac:dyDescent="0.25">
      <c r="B28" s="1"/>
      <c r="F28" s="1"/>
      <c r="H28" s="1"/>
      <c r="I28" s="1"/>
      <c r="J28" s="1"/>
      <c r="M28" s="2"/>
      <c r="N28" s="2"/>
      <c r="O28" s="2"/>
      <c r="R28" s="2"/>
      <c r="S28" s="2"/>
      <c r="T28" s="2"/>
    </row>
    <row r="29" spans="2:20" ht="15.75" customHeight="1" x14ac:dyDescent="0.25">
      <c r="B29" s="1"/>
      <c r="F29" s="1"/>
      <c r="H29" s="1"/>
      <c r="I29" s="1"/>
      <c r="J29" s="1"/>
      <c r="M29" s="2"/>
      <c r="N29" s="2"/>
      <c r="O29" s="2"/>
      <c r="R29" s="2"/>
      <c r="S29" s="2"/>
      <c r="T29" s="2"/>
    </row>
    <row r="30" spans="2:20" ht="15.75" customHeight="1" x14ac:dyDescent="0.25">
      <c r="B30" s="1"/>
      <c r="F30" s="1"/>
      <c r="H30" s="1"/>
      <c r="I30" s="1"/>
      <c r="J30" s="1"/>
      <c r="M30" s="2"/>
      <c r="N30" s="2"/>
      <c r="O30" s="2"/>
      <c r="R30" s="2"/>
      <c r="S30" s="2"/>
      <c r="T30" s="2"/>
    </row>
    <row r="31" spans="2:20" ht="15.75" customHeight="1" x14ac:dyDescent="0.25">
      <c r="B31" s="1"/>
      <c r="F31" s="1"/>
      <c r="H31" s="1"/>
      <c r="I31" s="1"/>
      <c r="J31" s="1"/>
      <c r="M31" s="2"/>
      <c r="N31" s="2"/>
      <c r="O31" s="2"/>
      <c r="R31" s="2"/>
      <c r="S31" s="2"/>
      <c r="T31" s="2"/>
    </row>
    <row r="32" spans="2:20" ht="15.75" customHeight="1" x14ac:dyDescent="0.25">
      <c r="B32" s="1"/>
      <c r="F32" s="1"/>
      <c r="H32" s="1"/>
      <c r="I32" s="1"/>
      <c r="J32" s="1"/>
      <c r="M32" s="2"/>
      <c r="N32" s="2"/>
      <c r="O32" s="2"/>
      <c r="R32" s="2"/>
      <c r="S32" s="2"/>
      <c r="T32" s="2"/>
    </row>
    <row r="33" spans="2:20" ht="15.75" customHeight="1" x14ac:dyDescent="0.25">
      <c r="B33" s="1"/>
      <c r="F33" s="1"/>
      <c r="H33" s="1"/>
      <c r="I33" s="1"/>
      <c r="J33" s="1"/>
      <c r="M33" s="2"/>
      <c r="N33" s="2"/>
      <c r="O33" s="2"/>
      <c r="R33" s="2"/>
      <c r="S33" s="2"/>
      <c r="T33" s="2"/>
    </row>
    <row r="34" spans="2:20" ht="15.75" customHeight="1" x14ac:dyDescent="0.25">
      <c r="B34" s="1"/>
      <c r="F34" s="1"/>
      <c r="H34" s="1"/>
      <c r="I34" s="1"/>
      <c r="J34" s="1"/>
      <c r="M34" s="2"/>
      <c r="N34" s="2"/>
      <c r="O34" s="2"/>
      <c r="R34" s="2"/>
      <c r="S34" s="2"/>
      <c r="T34" s="2"/>
    </row>
    <row r="35" spans="2:20" ht="15.75" customHeight="1" x14ac:dyDescent="0.25">
      <c r="B35" s="1"/>
      <c r="F35" s="1"/>
      <c r="H35" s="1"/>
      <c r="I35" s="1"/>
      <c r="J35" s="1"/>
      <c r="M35" s="2"/>
      <c r="N35" s="2"/>
      <c r="O35" s="2"/>
      <c r="R35" s="2"/>
      <c r="S35" s="2"/>
      <c r="T35" s="2"/>
    </row>
    <row r="36" spans="2:20" ht="15.75" customHeight="1" x14ac:dyDescent="0.25">
      <c r="B36" s="1"/>
      <c r="F36" s="1"/>
      <c r="H36" s="1"/>
      <c r="I36" s="1"/>
      <c r="J36" s="1"/>
      <c r="M36" s="2"/>
      <c r="N36" s="2"/>
      <c r="O36" s="2"/>
      <c r="R36" s="2"/>
      <c r="S36" s="2"/>
      <c r="T36" s="2"/>
    </row>
    <row r="37" spans="2:20" ht="15.75" customHeight="1" x14ac:dyDescent="0.25">
      <c r="B37" s="1"/>
      <c r="F37" s="1"/>
      <c r="H37" s="1"/>
      <c r="I37" s="1"/>
      <c r="J37" s="1"/>
      <c r="M37" s="2"/>
      <c r="N37" s="2"/>
      <c r="O37" s="2"/>
      <c r="R37" s="2"/>
      <c r="S37" s="2"/>
      <c r="T37" s="2"/>
    </row>
    <row r="38" spans="2:20" ht="15.75" customHeight="1" x14ac:dyDescent="0.25">
      <c r="B38" s="1"/>
      <c r="F38" s="1"/>
      <c r="H38" s="1"/>
      <c r="I38" s="1"/>
      <c r="J38" s="1"/>
      <c r="M38" s="2"/>
      <c r="N38" s="2"/>
      <c r="O38" s="2"/>
      <c r="R38" s="2"/>
      <c r="S38" s="2"/>
      <c r="T38" s="2"/>
    </row>
    <row r="39" spans="2:20" ht="15.75" customHeight="1" x14ac:dyDescent="0.25">
      <c r="B39" s="1"/>
      <c r="F39" s="1"/>
      <c r="H39" s="1"/>
      <c r="I39" s="1"/>
      <c r="J39" s="1"/>
      <c r="M39" s="2"/>
      <c r="N39" s="2"/>
      <c r="O39" s="2"/>
      <c r="R39" s="2"/>
      <c r="S39" s="2"/>
      <c r="T39" s="2"/>
    </row>
    <row r="40" spans="2:20" ht="15.75" customHeight="1" x14ac:dyDescent="0.25">
      <c r="B40" s="1"/>
      <c r="F40" s="1"/>
      <c r="H40" s="1"/>
      <c r="I40" s="1"/>
      <c r="J40" s="1"/>
      <c r="M40" s="2"/>
      <c r="N40" s="2"/>
      <c r="O40" s="2"/>
      <c r="R40" s="2"/>
      <c r="S40" s="2"/>
      <c r="T40" s="2"/>
    </row>
    <row r="41" spans="2:20" ht="15.75" customHeight="1" x14ac:dyDescent="0.25">
      <c r="B41" s="1"/>
      <c r="F41" s="1"/>
      <c r="H41" s="1"/>
      <c r="I41" s="1"/>
      <c r="J41" s="1"/>
      <c r="M41" s="2"/>
      <c r="N41" s="2"/>
      <c r="O41" s="2"/>
      <c r="R41" s="2"/>
      <c r="S41" s="2"/>
      <c r="T41" s="2"/>
    </row>
    <row r="42" spans="2:20" ht="15.75" customHeight="1" x14ac:dyDescent="0.25">
      <c r="B42" s="1"/>
      <c r="F42" s="1"/>
      <c r="H42" s="1"/>
      <c r="I42" s="1"/>
      <c r="J42" s="1"/>
      <c r="M42" s="2"/>
      <c r="N42" s="2"/>
      <c r="O42" s="2"/>
      <c r="R42" s="2"/>
      <c r="S42" s="2"/>
      <c r="T42" s="2"/>
    </row>
    <row r="43" spans="2:20" ht="15.75" customHeight="1" x14ac:dyDescent="0.25">
      <c r="B43" s="1"/>
      <c r="F43" s="1"/>
      <c r="H43" s="1"/>
      <c r="I43" s="1"/>
      <c r="J43" s="1"/>
      <c r="M43" s="2"/>
      <c r="N43" s="2"/>
      <c r="O43" s="2"/>
      <c r="R43" s="2"/>
      <c r="S43" s="2"/>
      <c r="T43" s="2"/>
    </row>
    <row r="44" spans="2:20" ht="15.75" customHeight="1" x14ac:dyDescent="0.25">
      <c r="B44" s="1"/>
      <c r="F44" s="1"/>
      <c r="H44" s="1"/>
      <c r="I44" s="1"/>
      <c r="J44" s="1"/>
      <c r="M44" s="2"/>
      <c r="N44" s="2"/>
      <c r="O44" s="2"/>
      <c r="R44" s="2"/>
      <c r="S44" s="2"/>
      <c r="T44" s="2"/>
    </row>
    <row r="45" spans="2:20" ht="15.75" customHeight="1" x14ac:dyDescent="0.25">
      <c r="B45" s="1"/>
      <c r="F45" s="1"/>
      <c r="H45" s="1"/>
      <c r="I45" s="1"/>
      <c r="J45" s="1"/>
      <c r="M45" s="2"/>
      <c r="N45" s="2"/>
      <c r="O45" s="2"/>
      <c r="R45" s="2"/>
      <c r="S45" s="2"/>
      <c r="T45" s="2"/>
    </row>
    <row r="46" spans="2:20" ht="15.75" customHeight="1" x14ac:dyDescent="0.25">
      <c r="B46" s="1"/>
      <c r="F46" s="1"/>
      <c r="H46" s="1"/>
      <c r="I46" s="1"/>
      <c r="J46" s="1"/>
      <c r="M46" s="2"/>
      <c r="N46" s="2"/>
      <c r="O46" s="2"/>
      <c r="R46" s="2"/>
      <c r="S46" s="2"/>
      <c r="T46" s="2"/>
    </row>
    <row r="47" spans="2:20" ht="15.75" customHeight="1" x14ac:dyDescent="0.25">
      <c r="B47" s="1"/>
      <c r="F47" s="1"/>
      <c r="H47" s="1"/>
      <c r="I47" s="1"/>
      <c r="J47" s="1"/>
      <c r="M47" s="2"/>
      <c r="N47" s="2"/>
      <c r="O47" s="2"/>
      <c r="R47" s="2"/>
      <c r="S47" s="2"/>
      <c r="T47" s="2"/>
    </row>
    <row r="48" spans="2:20" ht="15.75" customHeight="1" x14ac:dyDescent="0.25">
      <c r="B48" s="1"/>
      <c r="F48" s="1"/>
      <c r="H48" s="1"/>
      <c r="I48" s="1"/>
      <c r="J48" s="1"/>
      <c r="M48" s="2"/>
      <c r="N48" s="2"/>
      <c r="O48" s="2"/>
      <c r="R48" s="2"/>
      <c r="S48" s="2"/>
      <c r="T48" s="2"/>
    </row>
    <row r="49" spans="2:20" ht="15.75" customHeight="1" x14ac:dyDescent="0.25">
      <c r="B49" s="1"/>
      <c r="F49" s="1"/>
      <c r="H49" s="1"/>
      <c r="I49" s="1"/>
      <c r="J49" s="1"/>
      <c r="M49" s="2"/>
      <c r="N49" s="2"/>
      <c r="O49" s="2"/>
      <c r="R49" s="2"/>
      <c r="S49" s="2"/>
      <c r="T49" s="2"/>
    </row>
    <row r="50" spans="2:20" ht="15.75" customHeight="1" x14ac:dyDescent="0.25">
      <c r="B50" s="1"/>
      <c r="F50" s="1"/>
      <c r="H50" s="1"/>
      <c r="I50" s="1"/>
      <c r="J50" s="1"/>
      <c r="M50" s="2"/>
      <c r="N50" s="2"/>
      <c r="O50" s="2"/>
      <c r="R50" s="2"/>
      <c r="S50" s="2"/>
      <c r="T50" s="2"/>
    </row>
    <row r="51" spans="2:20" ht="15.75" customHeight="1" x14ac:dyDescent="0.25">
      <c r="B51" s="1"/>
      <c r="F51" s="1"/>
      <c r="H51" s="1"/>
      <c r="I51" s="1"/>
      <c r="J51" s="1"/>
      <c r="M51" s="2"/>
      <c r="N51" s="2"/>
      <c r="O51" s="2"/>
      <c r="R51" s="2"/>
      <c r="S51" s="2"/>
      <c r="T51" s="2"/>
    </row>
    <row r="52" spans="2:20" ht="15.75" customHeight="1" x14ac:dyDescent="0.25">
      <c r="B52" s="1"/>
      <c r="F52" s="1"/>
      <c r="H52" s="1"/>
      <c r="I52" s="1"/>
      <c r="J52" s="1"/>
      <c r="M52" s="2"/>
      <c r="N52" s="2"/>
      <c r="O52" s="2"/>
      <c r="R52" s="2"/>
      <c r="S52" s="2"/>
      <c r="T52" s="2"/>
    </row>
    <row r="53" spans="2:20" ht="15.75" customHeight="1" x14ac:dyDescent="0.25">
      <c r="B53" s="1"/>
      <c r="F53" s="1"/>
      <c r="H53" s="1"/>
      <c r="I53" s="1"/>
      <c r="J53" s="1"/>
      <c r="M53" s="2"/>
      <c r="N53" s="2"/>
      <c r="O53" s="2"/>
      <c r="R53" s="2"/>
      <c r="S53" s="2"/>
      <c r="T53" s="2"/>
    </row>
    <row r="54" spans="2:20" ht="15.75" customHeight="1" x14ac:dyDescent="0.25">
      <c r="B54" s="1"/>
      <c r="F54" s="1"/>
      <c r="H54" s="1"/>
      <c r="I54" s="1"/>
      <c r="J54" s="1"/>
      <c r="M54" s="2"/>
      <c r="N54" s="2"/>
      <c r="O54" s="2"/>
      <c r="R54" s="2"/>
      <c r="S54" s="2"/>
      <c r="T54" s="2"/>
    </row>
    <row r="55" spans="2:20" ht="15.75" customHeight="1" x14ac:dyDescent="0.25">
      <c r="B55" s="1"/>
      <c r="F55" s="1"/>
      <c r="H55" s="1"/>
      <c r="I55" s="1"/>
      <c r="J55" s="1"/>
      <c r="M55" s="2"/>
      <c r="N55" s="2"/>
      <c r="O55" s="2"/>
      <c r="R55" s="2"/>
      <c r="S55" s="2"/>
      <c r="T55" s="2"/>
    </row>
    <row r="56" spans="2:20" ht="15.75" customHeight="1" x14ac:dyDescent="0.25">
      <c r="B56" s="1"/>
      <c r="F56" s="1"/>
      <c r="H56" s="1"/>
      <c r="I56" s="1"/>
      <c r="J56" s="1"/>
      <c r="M56" s="2"/>
      <c r="N56" s="2"/>
      <c r="O56" s="2"/>
      <c r="R56" s="2"/>
      <c r="S56" s="2"/>
      <c r="T56" s="2"/>
    </row>
    <row r="57" spans="2:20" ht="15.75" customHeight="1" x14ac:dyDescent="0.25">
      <c r="B57" s="1"/>
      <c r="F57" s="1"/>
      <c r="H57" s="1"/>
      <c r="I57" s="1"/>
      <c r="J57" s="1"/>
      <c r="M57" s="2"/>
      <c r="N57" s="2"/>
      <c r="O57" s="2"/>
      <c r="R57" s="2"/>
      <c r="S57" s="2"/>
      <c r="T57" s="2"/>
    </row>
    <row r="58" spans="2:20" ht="15.75" customHeight="1" x14ac:dyDescent="0.25">
      <c r="B58" s="1"/>
      <c r="F58" s="1"/>
      <c r="H58" s="1"/>
      <c r="I58" s="1"/>
      <c r="J58" s="1"/>
      <c r="M58" s="2"/>
      <c r="N58" s="2"/>
      <c r="O58" s="2"/>
      <c r="R58" s="2"/>
      <c r="S58" s="2"/>
      <c r="T58" s="2"/>
    </row>
    <row r="59" spans="2:20" ht="15.75" customHeight="1" x14ac:dyDescent="0.25">
      <c r="B59" s="1"/>
      <c r="F59" s="1"/>
      <c r="H59" s="1"/>
      <c r="I59" s="1"/>
      <c r="J59" s="1"/>
      <c r="M59" s="2"/>
      <c r="N59" s="2"/>
      <c r="O59" s="2"/>
      <c r="R59" s="2"/>
      <c r="S59" s="2"/>
      <c r="T59" s="2"/>
    </row>
    <row r="60" spans="2:20" ht="15.75" customHeight="1" x14ac:dyDescent="0.25">
      <c r="B60" s="1"/>
      <c r="F60" s="1"/>
      <c r="H60" s="1"/>
      <c r="I60" s="1"/>
      <c r="J60" s="1"/>
      <c r="M60" s="2"/>
      <c r="N60" s="2"/>
      <c r="O60" s="2"/>
      <c r="R60" s="2"/>
      <c r="S60" s="2"/>
      <c r="T60" s="2"/>
    </row>
    <row r="61" spans="2:20" ht="15.75" customHeight="1" x14ac:dyDescent="0.25">
      <c r="B61" s="1"/>
      <c r="F61" s="1"/>
      <c r="H61" s="1"/>
      <c r="I61" s="1"/>
      <c r="J61" s="1"/>
      <c r="M61" s="2"/>
      <c r="N61" s="2"/>
      <c r="O61" s="2"/>
      <c r="R61" s="2"/>
      <c r="S61" s="2"/>
      <c r="T61" s="2"/>
    </row>
    <row r="62" spans="2:20" ht="15.75" customHeight="1" x14ac:dyDescent="0.25">
      <c r="B62" s="1"/>
      <c r="F62" s="1"/>
      <c r="H62" s="1"/>
      <c r="I62" s="1"/>
      <c r="J62" s="1"/>
      <c r="M62" s="2"/>
      <c r="N62" s="2"/>
      <c r="O62" s="2"/>
      <c r="R62" s="2"/>
      <c r="S62" s="2"/>
      <c r="T62" s="2"/>
    </row>
    <row r="63" spans="2:20" ht="15.75" customHeight="1" x14ac:dyDescent="0.25">
      <c r="B63" s="1"/>
      <c r="F63" s="1"/>
      <c r="H63" s="1"/>
      <c r="I63" s="1"/>
      <c r="J63" s="1"/>
      <c r="M63" s="2"/>
      <c r="N63" s="2"/>
      <c r="O63" s="2"/>
      <c r="R63" s="2"/>
      <c r="S63" s="2"/>
      <c r="T63" s="2"/>
    </row>
    <row r="64" spans="2:20" ht="15.75" customHeight="1" x14ac:dyDescent="0.25">
      <c r="B64" s="1"/>
      <c r="F64" s="1"/>
      <c r="H64" s="1"/>
      <c r="I64" s="1"/>
      <c r="J64" s="1"/>
      <c r="M64" s="2"/>
      <c r="N64" s="2"/>
      <c r="O64" s="2"/>
      <c r="R64" s="2"/>
      <c r="S64" s="2"/>
      <c r="T64" s="2"/>
    </row>
    <row r="65" spans="2:20" ht="15.75" customHeight="1" x14ac:dyDescent="0.25">
      <c r="B65" s="1"/>
      <c r="F65" s="1"/>
      <c r="H65" s="1"/>
      <c r="I65" s="1"/>
      <c r="J65" s="1"/>
      <c r="M65" s="2"/>
      <c r="N65" s="2"/>
      <c r="O65" s="2"/>
      <c r="R65" s="2"/>
      <c r="S65" s="2"/>
      <c r="T65" s="2"/>
    </row>
    <row r="66" spans="2:20" ht="15.75" customHeight="1" x14ac:dyDescent="0.25">
      <c r="B66" s="1"/>
      <c r="F66" s="1"/>
      <c r="H66" s="1"/>
      <c r="I66" s="1"/>
      <c r="J66" s="1"/>
      <c r="M66" s="2"/>
      <c r="N66" s="2"/>
      <c r="O66" s="2"/>
      <c r="R66" s="2"/>
      <c r="S66" s="2"/>
      <c r="T66" s="2"/>
    </row>
    <row r="67" spans="2:20" ht="15.75" customHeight="1" x14ac:dyDescent="0.25">
      <c r="B67" s="1"/>
      <c r="F67" s="1"/>
      <c r="H67" s="1"/>
      <c r="I67" s="1"/>
      <c r="J67" s="1"/>
      <c r="M67" s="2"/>
      <c r="N67" s="2"/>
      <c r="O67" s="2"/>
      <c r="R67" s="2"/>
      <c r="S67" s="2"/>
      <c r="T67" s="2"/>
    </row>
    <row r="68" spans="2:20" ht="15.75" customHeight="1" x14ac:dyDescent="0.25">
      <c r="B68" s="1"/>
      <c r="F68" s="1"/>
      <c r="H68" s="1"/>
      <c r="I68" s="1"/>
      <c r="J68" s="1"/>
      <c r="M68" s="2"/>
      <c r="N68" s="2"/>
      <c r="O68" s="2"/>
      <c r="R68" s="2"/>
      <c r="S68" s="2"/>
      <c r="T68" s="2"/>
    </row>
    <row r="69" spans="2:20" ht="15.75" customHeight="1" x14ac:dyDescent="0.25">
      <c r="B69" s="1"/>
      <c r="F69" s="1"/>
      <c r="H69" s="1"/>
      <c r="I69" s="1"/>
      <c r="J69" s="1"/>
      <c r="M69" s="2"/>
      <c r="N69" s="2"/>
      <c r="O69" s="2"/>
      <c r="R69" s="2"/>
      <c r="S69" s="2"/>
      <c r="T69" s="2"/>
    </row>
    <row r="70" spans="2:20" ht="15.75" customHeight="1" x14ac:dyDescent="0.25">
      <c r="B70" s="1"/>
      <c r="F70" s="1"/>
      <c r="H70" s="1"/>
      <c r="I70" s="1"/>
      <c r="J70" s="1"/>
      <c r="M70" s="2"/>
      <c r="N70" s="2"/>
      <c r="O70" s="2"/>
      <c r="R70" s="2"/>
      <c r="S70" s="2"/>
      <c r="T70" s="2"/>
    </row>
    <row r="71" spans="2:20" ht="15.75" customHeight="1" x14ac:dyDescent="0.25">
      <c r="B71" s="1"/>
      <c r="F71" s="1"/>
      <c r="H71" s="1"/>
      <c r="I71" s="1"/>
      <c r="J71" s="1"/>
      <c r="M71" s="2"/>
      <c r="N71" s="2"/>
      <c r="O71" s="2"/>
      <c r="R71" s="2"/>
      <c r="S71" s="2"/>
      <c r="T71" s="2"/>
    </row>
    <row r="72" spans="2:20" ht="15.75" customHeight="1" x14ac:dyDescent="0.25">
      <c r="B72" s="1"/>
      <c r="F72" s="1"/>
      <c r="H72" s="1"/>
      <c r="I72" s="1"/>
      <c r="J72" s="1"/>
      <c r="M72" s="2"/>
      <c r="N72" s="2"/>
      <c r="O72" s="2"/>
      <c r="R72" s="2"/>
      <c r="S72" s="2"/>
      <c r="T72" s="2"/>
    </row>
    <row r="73" spans="2:20" ht="15.75" customHeight="1" x14ac:dyDescent="0.25">
      <c r="B73" s="1"/>
      <c r="F73" s="1"/>
      <c r="H73" s="1"/>
      <c r="I73" s="1"/>
      <c r="J73" s="1"/>
      <c r="M73" s="2"/>
      <c r="N73" s="2"/>
      <c r="O73" s="2"/>
      <c r="R73" s="2"/>
      <c r="S73" s="2"/>
      <c r="T73" s="2"/>
    </row>
    <row r="74" spans="2:20" ht="15.75" customHeight="1" x14ac:dyDescent="0.25">
      <c r="B74" s="1"/>
      <c r="F74" s="1"/>
      <c r="H74" s="1"/>
      <c r="I74" s="1"/>
      <c r="J74" s="1"/>
      <c r="M74" s="2"/>
      <c r="N74" s="2"/>
      <c r="O74" s="2"/>
      <c r="R74" s="2"/>
      <c r="S74" s="2"/>
      <c r="T74" s="2"/>
    </row>
    <row r="75" spans="2:20" ht="15.75" customHeight="1" x14ac:dyDescent="0.25">
      <c r="B75" s="1"/>
      <c r="F75" s="1"/>
      <c r="H75" s="1"/>
      <c r="I75" s="1"/>
      <c r="J75" s="1"/>
      <c r="M75" s="2"/>
      <c r="N75" s="2"/>
      <c r="O75" s="2"/>
      <c r="R75" s="2"/>
      <c r="S75" s="2"/>
      <c r="T75" s="2"/>
    </row>
    <row r="76" spans="2:20" ht="15.75" customHeight="1" x14ac:dyDescent="0.25">
      <c r="B76" s="1"/>
      <c r="F76" s="1"/>
      <c r="H76" s="1"/>
      <c r="I76" s="1"/>
      <c r="J76" s="1"/>
      <c r="M76" s="2"/>
      <c r="N76" s="2"/>
      <c r="O76" s="2"/>
      <c r="R76" s="2"/>
      <c r="S76" s="2"/>
      <c r="T76" s="2"/>
    </row>
    <row r="77" spans="2:20" ht="15.75" customHeight="1" x14ac:dyDescent="0.25">
      <c r="B77" s="1"/>
      <c r="F77" s="1"/>
      <c r="H77" s="1"/>
      <c r="I77" s="1"/>
      <c r="J77" s="1"/>
      <c r="M77" s="2"/>
      <c r="N77" s="2"/>
      <c r="O77" s="2"/>
      <c r="R77" s="2"/>
      <c r="S77" s="2"/>
      <c r="T77" s="2"/>
    </row>
    <row r="78" spans="2:20" ht="15.75" customHeight="1" x14ac:dyDescent="0.25">
      <c r="B78" s="1"/>
      <c r="F78" s="1"/>
      <c r="H78" s="1"/>
      <c r="I78" s="1"/>
      <c r="J78" s="1"/>
      <c r="M78" s="2"/>
      <c r="N78" s="2"/>
      <c r="O78" s="2"/>
      <c r="R78" s="2"/>
      <c r="S78" s="2"/>
      <c r="T78" s="2"/>
    </row>
    <row r="79" spans="2:20" ht="15.75" customHeight="1" x14ac:dyDescent="0.25">
      <c r="B79" s="1"/>
      <c r="F79" s="1"/>
      <c r="H79" s="1"/>
      <c r="I79" s="1"/>
      <c r="J79" s="1"/>
      <c r="M79" s="2"/>
      <c r="N79" s="2"/>
      <c r="O79" s="2"/>
      <c r="R79" s="2"/>
      <c r="S79" s="2"/>
      <c r="T79" s="2"/>
    </row>
    <row r="80" spans="2:20" ht="15.75" customHeight="1" x14ac:dyDescent="0.25">
      <c r="B80" s="1"/>
      <c r="F80" s="1"/>
      <c r="H80" s="1"/>
      <c r="I80" s="1"/>
      <c r="J80" s="1"/>
      <c r="M80" s="2"/>
      <c r="N80" s="2"/>
      <c r="O80" s="2"/>
      <c r="R80" s="2"/>
      <c r="S80" s="2"/>
      <c r="T80" s="2"/>
    </row>
    <row r="81" spans="2:20" ht="15.75" customHeight="1" x14ac:dyDescent="0.25">
      <c r="B81" s="1"/>
      <c r="F81" s="1"/>
      <c r="H81" s="1"/>
      <c r="I81" s="1"/>
      <c r="J81" s="1"/>
      <c r="M81" s="2"/>
      <c r="N81" s="2"/>
      <c r="O81" s="2"/>
      <c r="R81" s="2"/>
      <c r="S81" s="2"/>
      <c r="T81" s="2"/>
    </row>
    <row r="82" spans="2:20" ht="15.75" customHeight="1" x14ac:dyDescent="0.25">
      <c r="B82" s="1"/>
      <c r="F82" s="1"/>
      <c r="H82" s="1"/>
      <c r="I82" s="1"/>
      <c r="J82" s="1"/>
      <c r="M82" s="2"/>
      <c r="N82" s="2"/>
      <c r="O82" s="2"/>
      <c r="R82" s="2"/>
      <c r="S82" s="2"/>
      <c r="T82" s="2"/>
    </row>
    <row r="83" spans="2:20" ht="15.75" customHeight="1" x14ac:dyDescent="0.25">
      <c r="B83" s="1"/>
      <c r="F83" s="1"/>
      <c r="H83" s="1"/>
      <c r="I83" s="1"/>
      <c r="J83" s="1"/>
      <c r="M83" s="2"/>
      <c r="N83" s="2"/>
      <c r="O83" s="2"/>
      <c r="R83" s="2"/>
      <c r="S83" s="2"/>
      <c r="T83" s="2"/>
    </row>
    <row r="84" spans="2:20" ht="15.75" customHeight="1" x14ac:dyDescent="0.25">
      <c r="B84" s="1"/>
      <c r="F84" s="1"/>
      <c r="H84" s="1"/>
      <c r="I84" s="1"/>
      <c r="J84" s="1"/>
      <c r="M84" s="2"/>
      <c r="N84" s="2"/>
      <c r="O84" s="2"/>
      <c r="R84" s="2"/>
      <c r="S84" s="2"/>
      <c r="T84" s="2"/>
    </row>
    <row r="85" spans="2:20" ht="15.75" customHeight="1" x14ac:dyDescent="0.25">
      <c r="B85" s="1"/>
      <c r="F85" s="1"/>
      <c r="H85" s="1"/>
      <c r="I85" s="1"/>
      <c r="J85" s="1"/>
      <c r="M85" s="2"/>
      <c r="N85" s="2"/>
      <c r="O85" s="2"/>
      <c r="R85" s="2"/>
      <c r="S85" s="2"/>
      <c r="T85" s="2"/>
    </row>
    <row r="86" spans="2:20" ht="15.75" customHeight="1" x14ac:dyDescent="0.25">
      <c r="B86" s="1"/>
      <c r="F86" s="1"/>
      <c r="H86" s="1"/>
      <c r="I86" s="1"/>
      <c r="J86" s="1"/>
      <c r="M86" s="2"/>
      <c r="N86" s="2"/>
      <c r="O86" s="2"/>
      <c r="R86" s="2"/>
      <c r="S86" s="2"/>
      <c r="T86" s="2"/>
    </row>
    <row r="87" spans="2:20" ht="15.75" customHeight="1" x14ac:dyDescent="0.25">
      <c r="B87" s="1"/>
      <c r="F87" s="1"/>
      <c r="H87" s="1"/>
      <c r="I87" s="1"/>
      <c r="J87" s="1"/>
      <c r="M87" s="2"/>
      <c r="N87" s="2"/>
      <c r="O87" s="2"/>
      <c r="R87" s="2"/>
      <c r="S87" s="2"/>
      <c r="T87" s="2"/>
    </row>
    <row r="88" spans="2:20" ht="15.75" customHeight="1" x14ac:dyDescent="0.25">
      <c r="B88" s="1"/>
      <c r="F88" s="1"/>
      <c r="H88" s="1"/>
      <c r="I88" s="1"/>
      <c r="J88" s="1"/>
      <c r="M88" s="2"/>
      <c r="N88" s="2"/>
      <c r="O88" s="2"/>
      <c r="R88" s="2"/>
      <c r="S88" s="2"/>
      <c r="T88" s="2"/>
    </row>
    <row r="89" spans="2:20" ht="15.75" customHeight="1" x14ac:dyDescent="0.25">
      <c r="B89" s="1"/>
      <c r="F89" s="1"/>
      <c r="H89" s="1"/>
      <c r="I89" s="1"/>
      <c r="J89" s="1"/>
      <c r="M89" s="2"/>
      <c r="N89" s="2"/>
      <c r="O89" s="2"/>
      <c r="R89" s="2"/>
      <c r="S89" s="2"/>
      <c r="T89" s="2"/>
    </row>
    <row r="90" spans="2:20" ht="15.75" customHeight="1" x14ac:dyDescent="0.25">
      <c r="B90" s="1"/>
      <c r="F90" s="1"/>
      <c r="H90" s="1"/>
      <c r="I90" s="1"/>
      <c r="J90" s="1"/>
      <c r="M90" s="2"/>
      <c r="N90" s="2"/>
      <c r="O90" s="2"/>
      <c r="R90" s="2"/>
      <c r="S90" s="2"/>
      <c r="T90" s="2"/>
    </row>
    <row r="91" spans="2:20" ht="15.75" customHeight="1" x14ac:dyDescent="0.25">
      <c r="B91" s="1"/>
      <c r="F91" s="1"/>
      <c r="H91" s="1"/>
      <c r="I91" s="1"/>
      <c r="J91" s="1"/>
      <c r="M91" s="2"/>
      <c r="N91" s="2"/>
      <c r="O91" s="2"/>
      <c r="R91" s="2"/>
      <c r="S91" s="2"/>
      <c r="T91" s="2"/>
    </row>
    <row r="92" spans="2:20" ht="15.75" customHeight="1" x14ac:dyDescent="0.25">
      <c r="B92" s="1"/>
      <c r="F92" s="1"/>
      <c r="H92" s="1"/>
      <c r="I92" s="1"/>
      <c r="J92" s="1"/>
      <c r="M92" s="2"/>
      <c r="N92" s="2"/>
      <c r="O92" s="2"/>
      <c r="R92" s="2"/>
      <c r="S92" s="2"/>
      <c r="T92" s="2"/>
    </row>
    <row r="93" spans="2:20" ht="15.75" customHeight="1" x14ac:dyDescent="0.25">
      <c r="B93" s="1"/>
      <c r="F93" s="1"/>
      <c r="H93" s="1"/>
      <c r="I93" s="1"/>
      <c r="J93" s="1"/>
      <c r="M93" s="2"/>
      <c r="N93" s="2"/>
      <c r="O93" s="2"/>
      <c r="R93" s="2"/>
      <c r="S93" s="2"/>
      <c r="T93" s="2"/>
    </row>
    <row r="94" spans="2:20" ht="15.75" customHeight="1" x14ac:dyDescent="0.25">
      <c r="B94" s="1"/>
      <c r="F94" s="1"/>
      <c r="H94" s="1"/>
      <c r="I94" s="1"/>
      <c r="J94" s="1"/>
      <c r="M94" s="2"/>
      <c r="N94" s="2"/>
      <c r="O94" s="2"/>
      <c r="R94" s="2"/>
      <c r="S94" s="2"/>
      <c r="T94" s="2"/>
    </row>
    <row r="95" spans="2:20" ht="15.75" customHeight="1" x14ac:dyDescent="0.25">
      <c r="B95" s="1"/>
      <c r="F95" s="1"/>
      <c r="H95" s="1"/>
      <c r="I95" s="1"/>
      <c r="J95" s="1"/>
      <c r="M95" s="2"/>
      <c r="N95" s="2"/>
      <c r="O95" s="2"/>
      <c r="R95" s="2"/>
      <c r="S95" s="2"/>
      <c r="T95" s="2"/>
    </row>
    <row r="96" spans="2:20" ht="15.75" customHeight="1" x14ac:dyDescent="0.25">
      <c r="B96" s="1"/>
      <c r="F96" s="1"/>
      <c r="H96" s="1"/>
      <c r="I96" s="1"/>
      <c r="J96" s="1"/>
      <c r="M96" s="2"/>
      <c r="N96" s="2"/>
      <c r="O96" s="2"/>
      <c r="R96" s="2"/>
      <c r="S96" s="2"/>
      <c r="T96" s="2"/>
    </row>
    <row r="97" spans="2:20" ht="15.75" customHeight="1" x14ac:dyDescent="0.25">
      <c r="B97" s="1"/>
      <c r="F97" s="1"/>
      <c r="H97" s="1"/>
      <c r="I97" s="1"/>
      <c r="J97" s="1"/>
      <c r="M97" s="2"/>
      <c r="N97" s="2"/>
      <c r="O97" s="2"/>
      <c r="R97" s="2"/>
      <c r="S97" s="2"/>
      <c r="T97" s="2"/>
    </row>
    <row r="98" spans="2:20" ht="15.75" customHeight="1" x14ac:dyDescent="0.25">
      <c r="B98" s="1"/>
      <c r="F98" s="1"/>
      <c r="H98" s="1"/>
      <c r="I98" s="1"/>
      <c r="J98" s="1"/>
      <c r="M98" s="2"/>
      <c r="N98" s="2"/>
      <c r="O98" s="2"/>
      <c r="R98" s="2"/>
      <c r="S98" s="2"/>
      <c r="T98" s="2"/>
    </row>
    <row r="99" spans="2:20" ht="15.75" customHeight="1" x14ac:dyDescent="0.25">
      <c r="B99" s="1"/>
      <c r="F99" s="1"/>
      <c r="H99" s="1"/>
      <c r="I99" s="1"/>
      <c r="J99" s="1"/>
      <c r="M99" s="2"/>
      <c r="N99" s="2"/>
      <c r="O99" s="2"/>
      <c r="R99" s="2"/>
      <c r="S99" s="2"/>
      <c r="T99" s="2"/>
    </row>
    <row r="100" spans="2:20" ht="15.75" customHeight="1" x14ac:dyDescent="0.25">
      <c r="B100" s="1"/>
      <c r="F100" s="1"/>
      <c r="H100" s="1"/>
      <c r="I100" s="1"/>
      <c r="J100" s="1"/>
      <c r="M100" s="2"/>
      <c r="N100" s="2"/>
      <c r="O100" s="2"/>
      <c r="R100" s="2"/>
      <c r="S100" s="2"/>
      <c r="T100" s="2"/>
    </row>
    <row r="101" spans="2:20" ht="15.75" customHeight="1" x14ac:dyDescent="0.25">
      <c r="B101" s="1"/>
      <c r="F101" s="1"/>
      <c r="H101" s="1"/>
      <c r="I101" s="1"/>
      <c r="J101" s="1"/>
      <c r="M101" s="2"/>
      <c r="N101" s="2"/>
      <c r="O101" s="2"/>
      <c r="R101" s="2"/>
      <c r="S101" s="2"/>
      <c r="T101" s="2"/>
    </row>
    <row r="102" spans="2:20" ht="15.75" customHeight="1" x14ac:dyDescent="0.25">
      <c r="B102" s="1"/>
      <c r="F102" s="1"/>
      <c r="H102" s="1"/>
      <c r="I102" s="1"/>
      <c r="J102" s="1"/>
      <c r="M102" s="2"/>
      <c r="N102" s="2"/>
      <c r="O102" s="2"/>
      <c r="R102" s="2"/>
      <c r="S102" s="2"/>
      <c r="T102" s="2"/>
    </row>
    <row r="103" spans="2:20" ht="15.75" customHeight="1" x14ac:dyDescent="0.25">
      <c r="B103" s="1"/>
      <c r="F103" s="1"/>
      <c r="H103" s="1"/>
      <c r="I103" s="1"/>
      <c r="J103" s="1"/>
      <c r="M103" s="2"/>
      <c r="N103" s="2"/>
      <c r="O103" s="2"/>
      <c r="R103" s="2"/>
      <c r="S103" s="2"/>
      <c r="T103" s="2"/>
    </row>
    <row r="104" spans="2:20" ht="15.75" customHeight="1" x14ac:dyDescent="0.25">
      <c r="B104" s="1"/>
      <c r="F104" s="1"/>
      <c r="H104" s="1"/>
      <c r="I104" s="1"/>
      <c r="J104" s="1"/>
      <c r="M104" s="2"/>
      <c r="N104" s="2"/>
      <c r="O104" s="2"/>
      <c r="R104" s="2"/>
      <c r="S104" s="2"/>
      <c r="T104" s="2"/>
    </row>
    <row r="105" spans="2:20" ht="15.75" customHeight="1" x14ac:dyDescent="0.25">
      <c r="B105" s="1"/>
      <c r="F105" s="1"/>
      <c r="H105" s="1"/>
      <c r="I105" s="1"/>
      <c r="J105" s="1"/>
      <c r="M105" s="2"/>
      <c r="N105" s="2"/>
      <c r="O105" s="2"/>
      <c r="R105" s="2"/>
      <c r="S105" s="2"/>
      <c r="T105" s="2"/>
    </row>
    <row r="106" spans="2:20" ht="15.75" customHeight="1" x14ac:dyDescent="0.25">
      <c r="B106" s="1"/>
      <c r="F106" s="1"/>
      <c r="H106" s="1"/>
      <c r="I106" s="1"/>
      <c r="J106" s="1"/>
      <c r="M106" s="2"/>
      <c r="N106" s="2"/>
      <c r="O106" s="2"/>
      <c r="R106" s="2"/>
      <c r="S106" s="2"/>
      <c r="T106" s="2"/>
    </row>
    <row r="107" spans="2:20" ht="15.75" customHeight="1" x14ac:dyDescent="0.25">
      <c r="B107" s="1"/>
      <c r="F107" s="1"/>
      <c r="H107" s="1"/>
      <c r="I107" s="1"/>
      <c r="J107" s="1"/>
      <c r="M107" s="2"/>
      <c r="N107" s="2"/>
      <c r="O107" s="2"/>
      <c r="R107" s="2"/>
      <c r="S107" s="2"/>
      <c r="T107" s="2"/>
    </row>
    <row r="108" spans="2:20" ht="15.75" customHeight="1" x14ac:dyDescent="0.25">
      <c r="B108" s="1"/>
      <c r="F108" s="1"/>
      <c r="H108" s="1"/>
      <c r="I108" s="1"/>
      <c r="J108" s="1"/>
      <c r="M108" s="2"/>
      <c r="N108" s="2"/>
      <c r="O108" s="2"/>
      <c r="R108" s="2"/>
      <c r="S108" s="2"/>
      <c r="T108" s="2"/>
    </row>
    <row r="109" spans="2:20" ht="15.75" customHeight="1" x14ac:dyDescent="0.25">
      <c r="B109" s="1"/>
      <c r="F109" s="1"/>
      <c r="H109" s="1"/>
      <c r="I109" s="1"/>
      <c r="J109" s="1"/>
      <c r="M109" s="2"/>
      <c r="N109" s="2"/>
      <c r="O109" s="2"/>
      <c r="R109" s="2"/>
      <c r="S109" s="2"/>
      <c r="T109" s="2"/>
    </row>
    <row r="110" spans="2:20" ht="15.75" customHeight="1" x14ac:dyDescent="0.25">
      <c r="B110" s="1"/>
      <c r="F110" s="1"/>
      <c r="H110" s="1"/>
      <c r="I110" s="1"/>
      <c r="J110" s="1"/>
      <c r="M110" s="2"/>
      <c r="N110" s="2"/>
      <c r="O110" s="2"/>
      <c r="R110" s="2"/>
      <c r="S110" s="2"/>
      <c r="T110" s="2"/>
    </row>
    <row r="111" spans="2:20" ht="15.75" customHeight="1" x14ac:dyDescent="0.25">
      <c r="B111" s="1"/>
      <c r="F111" s="1"/>
      <c r="H111" s="1"/>
      <c r="I111" s="1"/>
      <c r="J111" s="1"/>
      <c r="M111" s="2"/>
      <c r="N111" s="2"/>
      <c r="O111" s="2"/>
      <c r="R111" s="2"/>
      <c r="S111" s="2"/>
      <c r="T111" s="2"/>
    </row>
    <row r="112" spans="2:20" ht="15.75" customHeight="1" x14ac:dyDescent="0.25">
      <c r="B112" s="1"/>
      <c r="F112" s="1"/>
      <c r="H112" s="1"/>
      <c r="I112" s="1"/>
      <c r="J112" s="1"/>
      <c r="M112" s="2"/>
      <c r="N112" s="2"/>
      <c r="O112" s="2"/>
      <c r="R112" s="2"/>
      <c r="S112" s="2"/>
      <c r="T112" s="2"/>
    </row>
    <row r="113" spans="2:20" ht="15.75" customHeight="1" x14ac:dyDescent="0.25">
      <c r="B113" s="1"/>
      <c r="F113" s="1"/>
      <c r="H113" s="1"/>
      <c r="I113" s="1"/>
      <c r="J113" s="1"/>
      <c r="M113" s="2"/>
      <c r="N113" s="2"/>
      <c r="O113" s="2"/>
      <c r="R113" s="2"/>
      <c r="S113" s="2"/>
      <c r="T113" s="2"/>
    </row>
    <row r="114" spans="2:20" ht="15.75" customHeight="1" x14ac:dyDescent="0.25">
      <c r="B114" s="1"/>
      <c r="F114" s="1"/>
      <c r="H114" s="1"/>
      <c r="I114" s="1"/>
      <c r="J114" s="1"/>
      <c r="M114" s="2"/>
      <c r="N114" s="2"/>
      <c r="O114" s="2"/>
      <c r="R114" s="2"/>
      <c r="S114" s="2"/>
      <c r="T114" s="2"/>
    </row>
    <row r="115" spans="2:20" ht="15.75" customHeight="1" x14ac:dyDescent="0.25">
      <c r="B115" s="1"/>
      <c r="F115" s="1"/>
      <c r="H115" s="1"/>
      <c r="I115" s="1"/>
      <c r="J115" s="1"/>
      <c r="M115" s="2"/>
      <c r="N115" s="2"/>
      <c r="O115" s="2"/>
      <c r="R115" s="2"/>
      <c r="S115" s="2"/>
      <c r="T115" s="2"/>
    </row>
    <row r="116" spans="2:20" ht="15.75" customHeight="1" x14ac:dyDescent="0.25">
      <c r="B116" s="1"/>
      <c r="F116" s="1"/>
      <c r="H116" s="1"/>
      <c r="I116" s="1"/>
      <c r="J116" s="1"/>
      <c r="M116" s="2"/>
      <c r="N116" s="2"/>
      <c r="O116" s="2"/>
      <c r="R116" s="2"/>
      <c r="S116" s="2"/>
      <c r="T116" s="2"/>
    </row>
    <row r="117" spans="2:20" ht="15.75" customHeight="1" x14ac:dyDescent="0.25">
      <c r="B117" s="1"/>
      <c r="F117" s="1"/>
      <c r="H117" s="1"/>
      <c r="I117" s="1"/>
      <c r="J117" s="1"/>
      <c r="M117" s="2"/>
      <c r="N117" s="2"/>
      <c r="O117" s="2"/>
      <c r="R117" s="2"/>
      <c r="S117" s="2"/>
      <c r="T117" s="2"/>
    </row>
    <row r="118" spans="2:20" ht="15.75" customHeight="1" x14ac:dyDescent="0.25">
      <c r="B118" s="1"/>
      <c r="F118" s="1"/>
      <c r="H118" s="1"/>
      <c r="I118" s="1"/>
      <c r="J118" s="1"/>
      <c r="M118" s="2"/>
      <c r="N118" s="2"/>
      <c r="O118" s="2"/>
      <c r="R118" s="2"/>
      <c r="S118" s="2"/>
      <c r="T118" s="2"/>
    </row>
    <row r="119" spans="2:20" ht="15.75" customHeight="1" x14ac:dyDescent="0.25">
      <c r="B119" s="1"/>
      <c r="F119" s="1"/>
      <c r="H119" s="1"/>
      <c r="I119" s="1"/>
      <c r="J119" s="1"/>
      <c r="M119" s="2"/>
      <c r="N119" s="2"/>
      <c r="O119" s="2"/>
      <c r="R119" s="2"/>
      <c r="S119" s="2"/>
      <c r="T119" s="2"/>
    </row>
    <row r="120" spans="2:20" ht="15.75" customHeight="1" x14ac:dyDescent="0.25">
      <c r="B120" s="1"/>
      <c r="F120" s="1"/>
      <c r="H120" s="1"/>
      <c r="I120" s="1"/>
      <c r="J120" s="1"/>
      <c r="M120" s="2"/>
      <c r="N120" s="2"/>
      <c r="O120" s="2"/>
      <c r="R120" s="2"/>
      <c r="S120" s="2"/>
      <c r="T120" s="2"/>
    </row>
    <row r="121" spans="2:20" ht="15.75" customHeight="1" x14ac:dyDescent="0.25">
      <c r="B121" s="1"/>
      <c r="F121" s="1"/>
      <c r="H121" s="1"/>
      <c r="I121" s="1"/>
      <c r="J121" s="1"/>
      <c r="M121" s="2"/>
      <c r="N121" s="2"/>
      <c r="O121" s="2"/>
      <c r="R121" s="2"/>
      <c r="S121" s="2"/>
      <c r="T121" s="2"/>
    </row>
    <row r="122" spans="2:20" ht="15.75" customHeight="1" x14ac:dyDescent="0.25">
      <c r="B122" s="1"/>
      <c r="F122" s="1"/>
      <c r="H122" s="1"/>
      <c r="I122" s="1"/>
      <c r="J122" s="1"/>
      <c r="M122" s="2"/>
      <c r="N122" s="2"/>
      <c r="O122" s="2"/>
      <c r="R122" s="2"/>
      <c r="S122" s="2"/>
      <c r="T122" s="2"/>
    </row>
    <row r="123" spans="2:20" ht="15.75" customHeight="1" x14ac:dyDescent="0.25">
      <c r="B123" s="1"/>
      <c r="F123" s="1"/>
      <c r="H123" s="1"/>
      <c r="I123" s="1"/>
      <c r="J123" s="1"/>
      <c r="M123" s="2"/>
      <c r="N123" s="2"/>
      <c r="O123" s="2"/>
      <c r="R123" s="2"/>
      <c r="S123" s="2"/>
      <c r="T123" s="2"/>
    </row>
    <row r="124" spans="2:20" ht="15.75" customHeight="1" x14ac:dyDescent="0.25">
      <c r="B124" s="1"/>
      <c r="F124" s="1"/>
      <c r="H124" s="1"/>
      <c r="I124" s="1"/>
      <c r="J124" s="1"/>
      <c r="M124" s="2"/>
      <c r="N124" s="2"/>
      <c r="O124" s="2"/>
      <c r="R124" s="2"/>
      <c r="S124" s="2"/>
      <c r="T124" s="2"/>
    </row>
    <row r="125" spans="2:20" ht="15.75" customHeight="1" x14ac:dyDescent="0.25">
      <c r="B125" s="1"/>
      <c r="F125" s="1"/>
      <c r="H125" s="1"/>
      <c r="I125" s="1"/>
      <c r="J125" s="1"/>
      <c r="M125" s="2"/>
      <c r="N125" s="2"/>
      <c r="O125" s="2"/>
      <c r="R125" s="2"/>
      <c r="S125" s="2"/>
      <c r="T125" s="2"/>
    </row>
    <row r="126" spans="2:20" ht="15.75" customHeight="1" x14ac:dyDescent="0.25">
      <c r="B126" s="1"/>
      <c r="F126" s="1"/>
      <c r="H126" s="1"/>
      <c r="I126" s="1"/>
      <c r="J126" s="1"/>
      <c r="M126" s="2"/>
      <c r="N126" s="2"/>
      <c r="O126" s="2"/>
      <c r="R126" s="2"/>
      <c r="S126" s="2"/>
      <c r="T126" s="2"/>
    </row>
    <row r="127" spans="2:20" ht="15.75" customHeight="1" x14ac:dyDescent="0.25">
      <c r="B127" s="1"/>
      <c r="F127" s="1"/>
      <c r="H127" s="1"/>
      <c r="I127" s="1"/>
      <c r="J127" s="1"/>
      <c r="M127" s="2"/>
      <c r="N127" s="2"/>
      <c r="O127" s="2"/>
      <c r="R127" s="2"/>
      <c r="S127" s="2"/>
      <c r="T127" s="2"/>
    </row>
    <row r="128" spans="2:20" ht="15.75" customHeight="1" x14ac:dyDescent="0.25">
      <c r="B128" s="1"/>
      <c r="F128" s="1"/>
      <c r="H128" s="1"/>
      <c r="I128" s="1"/>
      <c r="J128" s="1"/>
      <c r="M128" s="2"/>
      <c r="N128" s="2"/>
      <c r="O128" s="2"/>
      <c r="R128" s="2"/>
      <c r="S128" s="2"/>
      <c r="T128" s="2"/>
    </row>
    <row r="129" spans="2:20" ht="15.75" customHeight="1" x14ac:dyDescent="0.25">
      <c r="B129" s="1"/>
      <c r="F129" s="1"/>
      <c r="H129" s="1"/>
      <c r="I129" s="1"/>
      <c r="J129" s="1"/>
      <c r="M129" s="2"/>
      <c r="N129" s="2"/>
      <c r="O129" s="2"/>
      <c r="R129" s="2"/>
      <c r="S129" s="2"/>
      <c r="T129" s="2"/>
    </row>
    <row r="130" spans="2:20" ht="15.75" customHeight="1" x14ac:dyDescent="0.25">
      <c r="B130" s="1"/>
      <c r="F130" s="1"/>
      <c r="H130" s="1"/>
      <c r="I130" s="1"/>
      <c r="J130" s="1"/>
      <c r="M130" s="2"/>
      <c r="N130" s="2"/>
      <c r="O130" s="2"/>
      <c r="R130" s="2"/>
      <c r="S130" s="2"/>
      <c r="T130" s="2"/>
    </row>
    <row r="131" spans="2:20" ht="15.75" customHeight="1" x14ac:dyDescent="0.25">
      <c r="B131" s="1"/>
      <c r="F131" s="1"/>
      <c r="H131" s="1"/>
      <c r="I131" s="1"/>
      <c r="J131" s="1"/>
      <c r="M131" s="2"/>
      <c r="N131" s="2"/>
      <c r="O131" s="2"/>
      <c r="R131" s="2"/>
      <c r="S131" s="2"/>
      <c r="T131" s="2"/>
    </row>
    <row r="132" spans="2:20" ht="15.75" customHeight="1" x14ac:dyDescent="0.25">
      <c r="B132" s="1"/>
      <c r="F132" s="1"/>
      <c r="H132" s="1"/>
      <c r="I132" s="1"/>
      <c r="J132" s="1"/>
      <c r="M132" s="2"/>
      <c r="N132" s="2"/>
      <c r="O132" s="2"/>
      <c r="R132" s="2"/>
      <c r="S132" s="2"/>
      <c r="T132" s="2"/>
    </row>
    <row r="133" spans="2:20" ht="15.75" customHeight="1" x14ac:dyDescent="0.25">
      <c r="B133" s="1"/>
      <c r="F133" s="1"/>
      <c r="H133" s="1"/>
      <c r="I133" s="1"/>
      <c r="J133" s="1"/>
      <c r="M133" s="2"/>
      <c r="N133" s="2"/>
      <c r="O133" s="2"/>
      <c r="R133" s="2"/>
      <c r="S133" s="2"/>
      <c r="T133" s="2"/>
    </row>
    <row r="134" spans="2:20" ht="15.75" customHeight="1" x14ac:dyDescent="0.25">
      <c r="B134" s="1"/>
      <c r="F134" s="1"/>
      <c r="H134" s="1"/>
      <c r="I134" s="1"/>
      <c r="J134" s="1"/>
      <c r="M134" s="2"/>
      <c r="N134" s="2"/>
      <c r="O134" s="2"/>
      <c r="R134" s="2"/>
      <c r="S134" s="2"/>
      <c r="T134" s="2"/>
    </row>
    <row r="135" spans="2:20" ht="15.75" customHeight="1" x14ac:dyDescent="0.25">
      <c r="B135" s="1"/>
      <c r="F135" s="1"/>
      <c r="H135" s="1"/>
      <c r="I135" s="1"/>
      <c r="J135" s="1"/>
      <c r="M135" s="2"/>
      <c r="N135" s="2"/>
      <c r="O135" s="2"/>
      <c r="R135" s="2"/>
      <c r="S135" s="2"/>
      <c r="T135" s="2"/>
    </row>
    <row r="136" spans="2:20" ht="15.75" customHeight="1" x14ac:dyDescent="0.25">
      <c r="B136" s="1"/>
      <c r="F136" s="1"/>
      <c r="H136" s="1"/>
      <c r="I136" s="1"/>
      <c r="J136" s="1"/>
      <c r="M136" s="2"/>
      <c r="N136" s="2"/>
      <c r="O136" s="2"/>
      <c r="R136" s="2"/>
      <c r="S136" s="2"/>
      <c r="T136" s="2"/>
    </row>
    <row r="137" spans="2:20" ht="15.75" customHeight="1" x14ac:dyDescent="0.25">
      <c r="B137" s="1"/>
      <c r="F137" s="1"/>
      <c r="H137" s="1"/>
      <c r="I137" s="1"/>
      <c r="J137" s="1"/>
      <c r="M137" s="2"/>
      <c r="N137" s="2"/>
      <c r="O137" s="2"/>
      <c r="R137" s="2"/>
      <c r="S137" s="2"/>
      <c r="T137" s="2"/>
    </row>
    <row r="138" spans="2:20" ht="15.75" customHeight="1" x14ac:dyDescent="0.25">
      <c r="B138" s="1"/>
      <c r="F138" s="1"/>
      <c r="H138" s="1"/>
      <c r="I138" s="1"/>
      <c r="J138" s="1"/>
      <c r="M138" s="2"/>
      <c r="N138" s="2"/>
      <c r="O138" s="2"/>
      <c r="R138" s="2"/>
      <c r="S138" s="2"/>
      <c r="T138" s="2"/>
    </row>
    <row r="139" spans="2:20" ht="15.75" customHeight="1" x14ac:dyDescent="0.25">
      <c r="B139" s="1"/>
      <c r="F139" s="1"/>
      <c r="H139" s="1"/>
      <c r="I139" s="1"/>
      <c r="J139" s="1"/>
      <c r="M139" s="2"/>
      <c r="N139" s="2"/>
      <c r="O139" s="2"/>
      <c r="R139" s="2"/>
      <c r="S139" s="2"/>
      <c r="T139" s="2"/>
    </row>
    <row r="140" spans="2:20" ht="15.75" customHeight="1" x14ac:dyDescent="0.25">
      <c r="B140" s="1"/>
      <c r="F140" s="1"/>
      <c r="H140" s="1"/>
      <c r="I140" s="1"/>
      <c r="J140" s="1"/>
      <c r="M140" s="2"/>
      <c r="N140" s="2"/>
      <c r="O140" s="2"/>
      <c r="R140" s="2"/>
      <c r="S140" s="2"/>
      <c r="T140" s="2"/>
    </row>
    <row r="141" spans="2:20" ht="15.75" customHeight="1" x14ac:dyDescent="0.25">
      <c r="B141" s="1"/>
      <c r="F141" s="1"/>
      <c r="H141" s="1"/>
      <c r="I141" s="1"/>
      <c r="J141" s="1"/>
      <c r="M141" s="2"/>
      <c r="N141" s="2"/>
      <c r="O141" s="2"/>
      <c r="R141" s="2"/>
      <c r="S141" s="2"/>
      <c r="T141" s="2"/>
    </row>
    <row r="142" spans="2:20" ht="15.75" customHeight="1" x14ac:dyDescent="0.25">
      <c r="B142" s="1"/>
      <c r="F142" s="1"/>
      <c r="H142" s="1"/>
      <c r="I142" s="1"/>
      <c r="J142" s="1"/>
      <c r="M142" s="2"/>
      <c r="N142" s="2"/>
      <c r="O142" s="2"/>
      <c r="R142" s="2"/>
      <c r="S142" s="2"/>
      <c r="T142" s="2"/>
    </row>
    <row r="143" spans="2:20" ht="15.75" customHeight="1" x14ac:dyDescent="0.25">
      <c r="B143" s="1"/>
      <c r="F143" s="1"/>
      <c r="H143" s="1"/>
      <c r="I143" s="1"/>
      <c r="J143" s="1"/>
      <c r="M143" s="2"/>
      <c r="N143" s="2"/>
      <c r="O143" s="2"/>
      <c r="R143" s="2"/>
      <c r="S143" s="2"/>
      <c r="T143" s="2"/>
    </row>
    <row r="144" spans="2:20" ht="15.75" customHeight="1" x14ac:dyDescent="0.25">
      <c r="B144" s="1"/>
      <c r="F144" s="1"/>
      <c r="H144" s="1"/>
      <c r="I144" s="1"/>
      <c r="J144" s="1"/>
      <c r="M144" s="2"/>
      <c r="N144" s="2"/>
      <c r="O144" s="2"/>
      <c r="R144" s="2"/>
      <c r="S144" s="2"/>
      <c r="T144" s="2"/>
    </row>
    <row r="145" spans="2:20" ht="15.75" customHeight="1" x14ac:dyDescent="0.25">
      <c r="B145" s="1"/>
      <c r="F145" s="1"/>
      <c r="H145" s="1"/>
      <c r="I145" s="1"/>
      <c r="J145" s="1"/>
      <c r="M145" s="2"/>
      <c r="N145" s="2"/>
      <c r="O145" s="2"/>
      <c r="R145" s="2"/>
      <c r="S145" s="2"/>
      <c r="T145" s="2"/>
    </row>
    <row r="146" spans="2:20" ht="15.75" customHeight="1" x14ac:dyDescent="0.25">
      <c r="B146" s="1"/>
      <c r="F146" s="1"/>
      <c r="H146" s="1"/>
      <c r="I146" s="1"/>
      <c r="J146" s="1"/>
      <c r="M146" s="2"/>
      <c r="N146" s="2"/>
      <c r="O146" s="2"/>
      <c r="R146" s="2"/>
      <c r="S146" s="2"/>
      <c r="T146" s="2"/>
    </row>
    <row r="147" spans="2:20" ht="15.75" customHeight="1" x14ac:dyDescent="0.25">
      <c r="B147" s="1"/>
      <c r="F147" s="1"/>
      <c r="H147" s="1"/>
      <c r="I147" s="1"/>
      <c r="J147" s="1"/>
      <c r="M147" s="2"/>
      <c r="N147" s="2"/>
      <c r="O147" s="2"/>
      <c r="R147" s="2"/>
      <c r="S147" s="2"/>
      <c r="T147" s="2"/>
    </row>
    <row r="148" spans="2:20" ht="15.75" customHeight="1" x14ac:dyDescent="0.25">
      <c r="B148" s="1"/>
      <c r="F148" s="1"/>
      <c r="H148" s="1"/>
      <c r="I148" s="1"/>
      <c r="J148" s="1"/>
      <c r="M148" s="2"/>
      <c r="N148" s="2"/>
      <c r="O148" s="2"/>
      <c r="R148" s="2"/>
      <c r="S148" s="2"/>
      <c r="T148" s="2"/>
    </row>
    <row r="149" spans="2:20" ht="15.75" customHeight="1" x14ac:dyDescent="0.25">
      <c r="B149" s="1"/>
      <c r="F149" s="1"/>
      <c r="H149" s="1"/>
      <c r="I149" s="1"/>
      <c r="J149" s="1"/>
      <c r="M149" s="2"/>
      <c r="N149" s="2"/>
      <c r="O149" s="2"/>
      <c r="R149" s="2"/>
      <c r="S149" s="2"/>
      <c r="T149" s="2"/>
    </row>
    <row r="150" spans="2:20" ht="15.75" customHeight="1" x14ac:dyDescent="0.25">
      <c r="B150" s="1"/>
      <c r="F150" s="1"/>
      <c r="H150" s="1"/>
      <c r="I150" s="1"/>
      <c r="J150" s="1"/>
      <c r="M150" s="2"/>
      <c r="N150" s="2"/>
      <c r="O150" s="2"/>
      <c r="R150" s="2"/>
      <c r="S150" s="2"/>
      <c r="T150" s="2"/>
    </row>
    <row r="151" spans="2:20" ht="15.75" customHeight="1" x14ac:dyDescent="0.25">
      <c r="B151" s="1"/>
      <c r="F151" s="1"/>
      <c r="H151" s="1"/>
      <c r="I151" s="1"/>
      <c r="J151" s="1"/>
      <c r="M151" s="2"/>
      <c r="N151" s="2"/>
      <c r="O151" s="2"/>
      <c r="R151" s="2"/>
      <c r="S151" s="2"/>
      <c r="T151" s="2"/>
    </row>
    <row r="152" spans="2:20" ht="15.75" customHeight="1" x14ac:dyDescent="0.25">
      <c r="B152" s="1"/>
      <c r="F152" s="1"/>
      <c r="H152" s="1"/>
      <c r="I152" s="1"/>
      <c r="J152" s="1"/>
      <c r="M152" s="2"/>
      <c r="N152" s="2"/>
      <c r="O152" s="2"/>
      <c r="R152" s="2"/>
      <c r="S152" s="2"/>
      <c r="T152" s="2"/>
    </row>
    <row r="153" spans="2:20" ht="15.75" customHeight="1" x14ac:dyDescent="0.25">
      <c r="B153" s="1"/>
      <c r="F153" s="1"/>
      <c r="H153" s="1"/>
      <c r="I153" s="1"/>
      <c r="J153" s="1"/>
      <c r="M153" s="2"/>
      <c r="N153" s="2"/>
      <c r="O153" s="2"/>
      <c r="R153" s="2"/>
      <c r="S153" s="2"/>
      <c r="T153" s="2"/>
    </row>
    <row r="154" spans="2:20" ht="15.75" customHeight="1" x14ac:dyDescent="0.25">
      <c r="B154" s="1"/>
      <c r="F154" s="1"/>
      <c r="H154" s="1"/>
      <c r="I154" s="1"/>
      <c r="J154" s="1"/>
      <c r="M154" s="2"/>
      <c r="N154" s="2"/>
      <c r="O154" s="2"/>
      <c r="R154" s="2"/>
      <c r="S154" s="2"/>
      <c r="T154" s="2"/>
    </row>
    <row r="155" spans="2:20" ht="15.75" customHeight="1" x14ac:dyDescent="0.25">
      <c r="B155" s="1"/>
      <c r="F155" s="1"/>
      <c r="H155" s="1"/>
      <c r="I155" s="1"/>
      <c r="J155" s="1"/>
      <c r="M155" s="2"/>
      <c r="N155" s="2"/>
      <c r="O155" s="2"/>
      <c r="R155" s="2"/>
      <c r="S155" s="2"/>
      <c r="T155" s="2"/>
    </row>
    <row r="156" spans="2:20" ht="15.75" customHeight="1" x14ac:dyDescent="0.25">
      <c r="B156" s="1"/>
      <c r="F156" s="1"/>
      <c r="H156" s="1"/>
      <c r="I156" s="1"/>
      <c r="J156" s="1"/>
      <c r="M156" s="2"/>
      <c r="N156" s="2"/>
      <c r="O156" s="2"/>
      <c r="R156" s="2"/>
      <c r="S156" s="2"/>
      <c r="T156" s="2"/>
    </row>
    <row r="157" spans="2:20" ht="15.75" customHeight="1" x14ac:dyDescent="0.25">
      <c r="B157" s="1"/>
      <c r="F157" s="1"/>
      <c r="H157" s="1"/>
      <c r="I157" s="1"/>
      <c r="J157" s="1"/>
      <c r="M157" s="2"/>
      <c r="N157" s="2"/>
      <c r="O157" s="2"/>
      <c r="R157" s="2"/>
      <c r="S157" s="2"/>
      <c r="T157" s="2"/>
    </row>
    <row r="158" spans="2:20" ht="15.75" customHeight="1" x14ac:dyDescent="0.25">
      <c r="B158" s="1"/>
      <c r="F158" s="1"/>
      <c r="H158" s="1"/>
      <c r="I158" s="1"/>
      <c r="J158" s="1"/>
      <c r="M158" s="2"/>
      <c r="N158" s="2"/>
      <c r="O158" s="2"/>
      <c r="R158" s="2"/>
      <c r="S158" s="2"/>
      <c r="T158" s="2"/>
    </row>
    <row r="159" spans="2:20" ht="15.75" customHeight="1" x14ac:dyDescent="0.25">
      <c r="B159" s="1"/>
      <c r="F159" s="1"/>
      <c r="H159" s="1"/>
      <c r="I159" s="1"/>
      <c r="J159" s="1"/>
      <c r="M159" s="2"/>
      <c r="N159" s="2"/>
      <c r="O159" s="2"/>
      <c r="R159" s="2"/>
      <c r="S159" s="2"/>
      <c r="T159" s="2"/>
    </row>
    <row r="160" spans="2:20" ht="15.75" customHeight="1" x14ac:dyDescent="0.25">
      <c r="B160" s="1"/>
      <c r="F160" s="1"/>
      <c r="H160" s="1"/>
      <c r="I160" s="1"/>
      <c r="J160" s="1"/>
      <c r="M160" s="2"/>
      <c r="N160" s="2"/>
      <c r="O160" s="2"/>
      <c r="R160" s="2"/>
      <c r="S160" s="2"/>
      <c r="T160" s="2"/>
    </row>
    <row r="161" spans="2:20" ht="15.75" customHeight="1" x14ac:dyDescent="0.25">
      <c r="B161" s="1"/>
      <c r="F161" s="1"/>
      <c r="H161" s="1"/>
      <c r="I161" s="1"/>
      <c r="J161" s="1"/>
      <c r="M161" s="2"/>
      <c r="N161" s="2"/>
      <c r="O161" s="2"/>
      <c r="R161" s="2"/>
      <c r="S161" s="2"/>
      <c r="T161" s="2"/>
    </row>
    <row r="162" spans="2:20" ht="15.75" customHeight="1" x14ac:dyDescent="0.25">
      <c r="B162" s="1"/>
      <c r="F162" s="1"/>
      <c r="H162" s="1"/>
      <c r="I162" s="1"/>
      <c r="J162" s="1"/>
      <c r="M162" s="2"/>
      <c r="N162" s="2"/>
      <c r="O162" s="2"/>
      <c r="R162" s="2"/>
      <c r="S162" s="2"/>
      <c r="T162" s="2"/>
    </row>
    <row r="163" spans="2:20" ht="15.75" customHeight="1" x14ac:dyDescent="0.25">
      <c r="B163" s="1"/>
      <c r="F163" s="1"/>
      <c r="H163" s="1"/>
      <c r="I163" s="1"/>
      <c r="J163" s="1"/>
      <c r="M163" s="2"/>
      <c r="N163" s="2"/>
      <c r="O163" s="2"/>
      <c r="R163" s="2"/>
      <c r="S163" s="2"/>
      <c r="T163" s="2"/>
    </row>
    <row r="164" spans="2:20" ht="15.75" customHeight="1" x14ac:dyDescent="0.25">
      <c r="B164" s="1"/>
      <c r="F164" s="1"/>
      <c r="H164" s="1"/>
      <c r="I164" s="1"/>
      <c r="J164" s="1"/>
      <c r="M164" s="2"/>
      <c r="N164" s="2"/>
      <c r="O164" s="2"/>
      <c r="R164" s="2"/>
      <c r="S164" s="2"/>
      <c r="T164" s="2"/>
    </row>
    <row r="165" spans="2:20" ht="15.75" customHeight="1" x14ac:dyDescent="0.25">
      <c r="B165" s="1"/>
      <c r="F165" s="1"/>
      <c r="H165" s="1"/>
      <c r="I165" s="1"/>
      <c r="J165" s="1"/>
      <c r="M165" s="2"/>
      <c r="N165" s="2"/>
      <c r="O165" s="2"/>
      <c r="R165" s="2"/>
      <c r="S165" s="2"/>
      <c r="T165" s="2"/>
    </row>
    <row r="166" spans="2:20" ht="15.75" customHeight="1" x14ac:dyDescent="0.25">
      <c r="B166" s="1"/>
      <c r="F166" s="1"/>
      <c r="H166" s="1"/>
      <c r="I166" s="1"/>
      <c r="J166" s="1"/>
      <c r="M166" s="2"/>
      <c r="N166" s="2"/>
      <c r="O166" s="2"/>
      <c r="R166" s="2"/>
      <c r="S166" s="2"/>
      <c r="T166" s="2"/>
    </row>
    <row r="167" spans="2:20" ht="15.75" customHeight="1" x14ac:dyDescent="0.25">
      <c r="B167" s="1"/>
      <c r="F167" s="1"/>
      <c r="H167" s="1"/>
      <c r="I167" s="1"/>
      <c r="J167" s="1"/>
      <c r="M167" s="2"/>
      <c r="N167" s="2"/>
      <c r="O167" s="2"/>
      <c r="R167" s="2"/>
      <c r="S167" s="2"/>
      <c r="T167" s="2"/>
    </row>
    <row r="168" spans="2:20" ht="15.75" customHeight="1" x14ac:dyDescent="0.25">
      <c r="B168" s="1"/>
      <c r="F168" s="1"/>
      <c r="H168" s="1"/>
      <c r="I168" s="1"/>
      <c r="J168" s="1"/>
      <c r="M168" s="2"/>
      <c r="N168" s="2"/>
      <c r="O168" s="2"/>
      <c r="R168" s="2"/>
      <c r="S168" s="2"/>
      <c r="T168" s="2"/>
    </row>
    <row r="169" spans="2:20" ht="15.75" customHeight="1" x14ac:dyDescent="0.25">
      <c r="B169" s="1"/>
      <c r="F169" s="1"/>
      <c r="H169" s="1"/>
      <c r="I169" s="1"/>
      <c r="J169" s="1"/>
      <c r="M169" s="2"/>
      <c r="N169" s="2"/>
      <c r="O169" s="2"/>
      <c r="R169" s="2"/>
      <c r="S169" s="2"/>
      <c r="T169" s="2"/>
    </row>
    <row r="170" spans="2:20" ht="15.75" customHeight="1" x14ac:dyDescent="0.25">
      <c r="B170" s="1"/>
      <c r="F170" s="1"/>
      <c r="H170" s="1"/>
      <c r="I170" s="1"/>
      <c r="J170" s="1"/>
      <c r="M170" s="2"/>
      <c r="N170" s="2"/>
      <c r="O170" s="2"/>
      <c r="R170" s="2"/>
      <c r="S170" s="2"/>
      <c r="T170" s="2"/>
    </row>
    <row r="171" spans="2:20" ht="15.75" customHeight="1" x14ac:dyDescent="0.25">
      <c r="B171" s="1"/>
      <c r="F171" s="1"/>
      <c r="H171" s="1"/>
      <c r="I171" s="1"/>
      <c r="J171" s="1"/>
      <c r="M171" s="2"/>
      <c r="N171" s="2"/>
      <c r="O171" s="2"/>
      <c r="R171" s="2"/>
      <c r="S171" s="2"/>
      <c r="T171" s="2"/>
    </row>
    <row r="172" spans="2:20" ht="15.75" customHeight="1" x14ac:dyDescent="0.25">
      <c r="B172" s="1"/>
      <c r="F172" s="1"/>
      <c r="H172" s="1"/>
      <c r="I172" s="1"/>
      <c r="J172" s="1"/>
      <c r="M172" s="2"/>
      <c r="N172" s="2"/>
      <c r="O172" s="2"/>
      <c r="R172" s="2"/>
      <c r="S172" s="2"/>
      <c r="T172" s="2"/>
    </row>
    <row r="173" spans="2:20" ht="15.75" customHeight="1" x14ac:dyDescent="0.25">
      <c r="B173" s="1"/>
      <c r="F173" s="1"/>
      <c r="H173" s="1"/>
      <c r="I173" s="1"/>
      <c r="J173" s="1"/>
      <c r="M173" s="2"/>
      <c r="N173" s="2"/>
      <c r="O173" s="2"/>
      <c r="R173" s="2"/>
      <c r="S173" s="2"/>
      <c r="T173" s="2"/>
    </row>
    <row r="174" spans="2:20" ht="15.75" customHeight="1" x14ac:dyDescent="0.25">
      <c r="B174" s="1"/>
      <c r="F174" s="1"/>
      <c r="H174" s="1"/>
      <c r="I174" s="1"/>
      <c r="J174" s="1"/>
      <c r="M174" s="2"/>
      <c r="N174" s="2"/>
      <c r="O174" s="2"/>
      <c r="R174" s="2"/>
      <c r="S174" s="2"/>
      <c r="T174" s="2"/>
    </row>
    <row r="175" spans="2:20" ht="15.75" customHeight="1" x14ac:dyDescent="0.25">
      <c r="B175" s="1"/>
      <c r="F175" s="1"/>
      <c r="H175" s="1"/>
      <c r="I175" s="1"/>
      <c r="J175" s="1"/>
      <c r="M175" s="2"/>
      <c r="N175" s="2"/>
      <c r="O175" s="2"/>
      <c r="R175" s="2"/>
      <c r="S175" s="2"/>
      <c r="T175" s="2"/>
    </row>
    <row r="176" spans="2:20" ht="15.75" customHeight="1" x14ac:dyDescent="0.25">
      <c r="B176" s="1"/>
      <c r="F176" s="1"/>
      <c r="H176" s="1"/>
      <c r="I176" s="1"/>
      <c r="J176" s="1"/>
      <c r="M176" s="2"/>
      <c r="N176" s="2"/>
      <c r="O176" s="2"/>
      <c r="R176" s="2"/>
      <c r="S176" s="2"/>
      <c r="T176" s="2"/>
    </row>
    <row r="177" spans="2:20" ht="15.75" customHeight="1" x14ac:dyDescent="0.25">
      <c r="B177" s="1"/>
      <c r="F177" s="1"/>
      <c r="H177" s="1"/>
      <c r="I177" s="1"/>
      <c r="J177" s="1"/>
      <c r="M177" s="2"/>
      <c r="N177" s="2"/>
      <c r="O177" s="2"/>
      <c r="R177" s="2"/>
      <c r="S177" s="2"/>
      <c r="T177" s="2"/>
    </row>
    <row r="178" spans="2:20" ht="15.75" customHeight="1" x14ac:dyDescent="0.25">
      <c r="B178" s="1"/>
      <c r="F178" s="1"/>
      <c r="H178" s="1"/>
      <c r="I178" s="1"/>
      <c r="J178" s="1"/>
      <c r="M178" s="2"/>
      <c r="N178" s="2"/>
      <c r="O178" s="2"/>
      <c r="R178" s="2"/>
      <c r="S178" s="2"/>
      <c r="T178" s="2"/>
    </row>
    <row r="179" spans="2:20" ht="15.75" customHeight="1" x14ac:dyDescent="0.25">
      <c r="B179" s="1"/>
      <c r="F179" s="1"/>
      <c r="H179" s="1"/>
      <c r="I179" s="1"/>
      <c r="J179" s="1"/>
      <c r="M179" s="2"/>
      <c r="N179" s="2"/>
      <c r="O179" s="2"/>
      <c r="R179" s="2"/>
      <c r="S179" s="2"/>
      <c r="T179" s="2"/>
    </row>
    <row r="180" spans="2:20" ht="15.75" customHeight="1" x14ac:dyDescent="0.25">
      <c r="B180" s="1"/>
      <c r="F180" s="1"/>
      <c r="H180" s="1"/>
      <c r="I180" s="1"/>
      <c r="J180" s="1"/>
      <c r="M180" s="2"/>
      <c r="N180" s="2"/>
      <c r="O180" s="2"/>
      <c r="R180" s="2"/>
      <c r="S180" s="2"/>
      <c r="T180" s="2"/>
    </row>
    <row r="181" spans="2:20" ht="15.75" customHeight="1" x14ac:dyDescent="0.25">
      <c r="B181" s="1"/>
      <c r="F181" s="1"/>
      <c r="H181" s="1"/>
      <c r="I181" s="1"/>
      <c r="J181" s="1"/>
      <c r="M181" s="2"/>
      <c r="N181" s="2"/>
      <c r="O181" s="2"/>
      <c r="R181" s="2"/>
      <c r="S181" s="2"/>
      <c r="T181" s="2"/>
    </row>
    <row r="182" spans="2:20" ht="15.75" customHeight="1" x14ac:dyDescent="0.25">
      <c r="B182" s="1"/>
      <c r="F182" s="1"/>
      <c r="H182" s="1"/>
      <c r="I182" s="1"/>
      <c r="J182" s="1"/>
      <c r="M182" s="2"/>
      <c r="N182" s="2"/>
      <c r="O182" s="2"/>
      <c r="R182" s="2"/>
      <c r="S182" s="2"/>
      <c r="T182" s="2"/>
    </row>
    <row r="183" spans="2:20" ht="15.75" customHeight="1" x14ac:dyDescent="0.25">
      <c r="B183" s="1"/>
      <c r="F183" s="1"/>
      <c r="H183" s="1"/>
      <c r="I183" s="1"/>
      <c r="J183" s="1"/>
      <c r="M183" s="2"/>
      <c r="N183" s="2"/>
      <c r="O183" s="2"/>
      <c r="R183" s="2"/>
      <c r="S183" s="2"/>
      <c r="T183" s="2"/>
    </row>
    <row r="184" spans="2:20" ht="15.75" customHeight="1" x14ac:dyDescent="0.25">
      <c r="B184" s="1"/>
      <c r="F184" s="1"/>
      <c r="H184" s="1"/>
      <c r="I184" s="1"/>
      <c r="J184" s="1"/>
      <c r="M184" s="2"/>
      <c r="N184" s="2"/>
      <c r="O184" s="2"/>
      <c r="R184" s="2"/>
      <c r="S184" s="2"/>
      <c r="T184" s="2"/>
    </row>
    <row r="185" spans="2:20" ht="15.75" customHeight="1" x14ac:dyDescent="0.25">
      <c r="B185" s="1"/>
      <c r="F185" s="1"/>
      <c r="H185" s="1"/>
      <c r="I185" s="1"/>
      <c r="J185" s="1"/>
      <c r="M185" s="2"/>
      <c r="N185" s="2"/>
      <c r="O185" s="2"/>
      <c r="R185" s="2"/>
      <c r="S185" s="2"/>
      <c r="T185" s="2"/>
    </row>
    <row r="186" spans="2:20" ht="15.75" customHeight="1" x14ac:dyDescent="0.25">
      <c r="B186" s="1"/>
      <c r="F186" s="1"/>
      <c r="H186" s="1"/>
      <c r="I186" s="1"/>
      <c r="J186" s="1"/>
      <c r="M186" s="2"/>
      <c r="N186" s="2"/>
      <c r="O186" s="2"/>
      <c r="R186" s="2"/>
      <c r="S186" s="2"/>
      <c r="T186" s="2"/>
    </row>
    <row r="187" spans="2:20" ht="15.75" customHeight="1" x14ac:dyDescent="0.25">
      <c r="B187" s="1"/>
      <c r="F187" s="1"/>
      <c r="H187" s="1"/>
      <c r="I187" s="1"/>
      <c r="J187" s="1"/>
      <c r="M187" s="2"/>
      <c r="N187" s="2"/>
      <c r="O187" s="2"/>
      <c r="R187" s="2"/>
      <c r="S187" s="2"/>
      <c r="T187" s="2"/>
    </row>
    <row r="188" spans="2:20" ht="15.75" customHeight="1" x14ac:dyDescent="0.25">
      <c r="B188" s="1"/>
      <c r="F188" s="1"/>
      <c r="H188" s="1"/>
      <c r="I188" s="1"/>
      <c r="J188" s="1"/>
      <c r="M188" s="2"/>
      <c r="N188" s="2"/>
      <c r="O188" s="2"/>
      <c r="R188" s="2"/>
      <c r="S188" s="2"/>
      <c r="T188" s="2"/>
    </row>
    <row r="189" spans="2:20" ht="15.75" customHeight="1" x14ac:dyDescent="0.25">
      <c r="B189" s="1"/>
      <c r="F189" s="1"/>
      <c r="H189" s="1"/>
      <c r="I189" s="1"/>
      <c r="J189" s="1"/>
      <c r="M189" s="2"/>
      <c r="N189" s="2"/>
      <c r="O189" s="2"/>
      <c r="R189" s="2"/>
      <c r="S189" s="2"/>
      <c r="T189" s="2"/>
    </row>
    <row r="190" spans="2:20" ht="15.75" customHeight="1" x14ac:dyDescent="0.25">
      <c r="B190" s="1"/>
      <c r="F190" s="1"/>
      <c r="H190" s="1"/>
      <c r="I190" s="1"/>
      <c r="J190" s="1"/>
      <c r="M190" s="2"/>
      <c r="N190" s="2"/>
      <c r="O190" s="2"/>
      <c r="R190" s="2"/>
      <c r="S190" s="2"/>
      <c r="T190" s="2"/>
    </row>
    <row r="191" spans="2:20" ht="15.75" customHeight="1" x14ac:dyDescent="0.25">
      <c r="B191" s="1"/>
      <c r="F191" s="1"/>
      <c r="H191" s="1"/>
      <c r="I191" s="1"/>
      <c r="J191" s="1"/>
      <c r="M191" s="2"/>
      <c r="N191" s="2"/>
      <c r="O191" s="2"/>
      <c r="R191" s="2"/>
      <c r="S191" s="2"/>
      <c r="T191" s="2"/>
    </row>
    <row r="192" spans="2:20" ht="15.75" customHeight="1" x14ac:dyDescent="0.25">
      <c r="B192" s="1"/>
      <c r="F192" s="1"/>
      <c r="H192" s="1"/>
      <c r="I192" s="1"/>
      <c r="J192" s="1"/>
      <c r="M192" s="2"/>
      <c r="N192" s="2"/>
      <c r="O192" s="2"/>
      <c r="R192" s="2"/>
      <c r="S192" s="2"/>
      <c r="T192" s="2"/>
    </row>
    <row r="193" spans="2:20" ht="15.75" customHeight="1" x14ac:dyDescent="0.25">
      <c r="B193" s="1"/>
      <c r="F193" s="1"/>
      <c r="H193" s="1"/>
      <c r="I193" s="1"/>
      <c r="J193" s="1"/>
      <c r="M193" s="2"/>
      <c r="N193" s="2"/>
      <c r="O193" s="2"/>
      <c r="R193" s="2"/>
      <c r="S193" s="2"/>
      <c r="T193" s="2"/>
    </row>
    <row r="194" spans="2:20" ht="15.75" customHeight="1" x14ac:dyDescent="0.25">
      <c r="B194" s="1"/>
      <c r="F194" s="1"/>
      <c r="H194" s="1"/>
      <c r="I194" s="1"/>
      <c r="J194" s="1"/>
      <c r="M194" s="2"/>
      <c r="N194" s="2"/>
      <c r="O194" s="2"/>
      <c r="R194" s="2"/>
      <c r="S194" s="2"/>
      <c r="T194" s="2"/>
    </row>
    <row r="195" spans="2:20" ht="15.75" customHeight="1" x14ac:dyDescent="0.25">
      <c r="B195" s="1"/>
      <c r="F195" s="1"/>
      <c r="H195" s="1"/>
      <c r="I195" s="1"/>
      <c r="J195" s="1"/>
      <c r="M195" s="2"/>
      <c r="N195" s="2"/>
      <c r="O195" s="2"/>
      <c r="R195" s="2"/>
      <c r="S195" s="2"/>
      <c r="T195" s="2"/>
    </row>
    <row r="196" spans="2:20" ht="15.75" customHeight="1" x14ac:dyDescent="0.25">
      <c r="B196" s="1"/>
      <c r="F196" s="1"/>
      <c r="H196" s="1"/>
      <c r="I196" s="1"/>
      <c r="J196" s="1"/>
      <c r="M196" s="2"/>
      <c r="N196" s="2"/>
      <c r="O196" s="2"/>
      <c r="R196" s="2"/>
      <c r="S196" s="2"/>
      <c r="T196" s="2"/>
    </row>
    <row r="197" spans="2:20" ht="15.75" customHeight="1" x14ac:dyDescent="0.25">
      <c r="B197" s="1"/>
      <c r="F197" s="1"/>
      <c r="H197" s="1"/>
      <c r="I197" s="1"/>
      <c r="J197" s="1"/>
      <c r="M197" s="2"/>
      <c r="N197" s="2"/>
      <c r="O197" s="2"/>
      <c r="R197" s="2"/>
      <c r="S197" s="2"/>
      <c r="T197" s="2"/>
    </row>
    <row r="198" spans="2:20" ht="15.75" customHeight="1" x14ac:dyDescent="0.25">
      <c r="B198" s="1"/>
      <c r="F198" s="1"/>
      <c r="H198" s="1"/>
      <c r="I198" s="1"/>
      <c r="J198" s="1"/>
      <c r="M198" s="2"/>
      <c r="N198" s="2"/>
      <c r="O198" s="2"/>
      <c r="R198" s="2"/>
      <c r="S198" s="2"/>
      <c r="T198" s="2"/>
    </row>
    <row r="199" spans="2:20" ht="15.75" customHeight="1" x14ac:dyDescent="0.25">
      <c r="B199" s="1"/>
      <c r="F199" s="1"/>
      <c r="H199" s="1"/>
      <c r="I199" s="1"/>
      <c r="J199" s="1"/>
      <c r="M199" s="2"/>
      <c r="N199" s="2"/>
      <c r="O199" s="2"/>
      <c r="R199" s="2"/>
      <c r="S199" s="2"/>
      <c r="T199" s="2"/>
    </row>
    <row r="200" spans="2:20" ht="15.75" customHeight="1" x14ac:dyDescent="0.25">
      <c r="B200" s="1"/>
      <c r="F200" s="1"/>
      <c r="H200" s="1"/>
      <c r="I200" s="1"/>
      <c r="J200" s="1"/>
      <c r="M200" s="2"/>
      <c r="N200" s="2"/>
      <c r="O200" s="2"/>
      <c r="R200" s="2"/>
      <c r="S200" s="2"/>
      <c r="T200" s="2"/>
    </row>
    <row r="201" spans="2:20" ht="15.75" customHeight="1" x14ac:dyDescent="0.25">
      <c r="B201" s="1"/>
      <c r="F201" s="1"/>
      <c r="H201" s="1"/>
      <c r="I201" s="1"/>
      <c r="J201" s="1"/>
      <c r="M201" s="2"/>
      <c r="N201" s="2"/>
      <c r="O201" s="2"/>
      <c r="R201" s="2"/>
      <c r="S201" s="2"/>
      <c r="T201" s="2"/>
    </row>
    <row r="202" spans="2:20" ht="15.75" customHeight="1" x14ac:dyDescent="0.25">
      <c r="B202" s="1"/>
      <c r="F202" s="1"/>
      <c r="H202" s="1"/>
      <c r="I202" s="1"/>
      <c r="J202" s="1"/>
      <c r="M202" s="2"/>
      <c r="N202" s="2"/>
      <c r="O202" s="2"/>
      <c r="R202" s="2"/>
      <c r="S202" s="2"/>
      <c r="T202" s="2"/>
    </row>
    <row r="203" spans="2:20" ht="15.75" customHeight="1" x14ac:dyDescent="0.25">
      <c r="B203" s="1"/>
      <c r="F203" s="1"/>
      <c r="H203" s="1"/>
      <c r="I203" s="1"/>
      <c r="J203" s="1"/>
      <c r="M203" s="2"/>
      <c r="N203" s="2"/>
      <c r="O203" s="2"/>
      <c r="R203" s="2"/>
      <c r="S203" s="2"/>
      <c r="T203" s="2"/>
    </row>
    <row r="204" spans="2:20" ht="15.75" customHeight="1" x14ac:dyDescent="0.25">
      <c r="B204" s="1"/>
      <c r="F204" s="1"/>
      <c r="H204" s="1"/>
      <c r="I204" s="1"/>
      <c r="J204" s="1"/>
      <c r="M204" s="2"/>
      <c r="N204" s="2"/>
      <c r="O204" s="2"/>
      <c r="R204" s="2"/>
      <c r="S204" s="2"/>
      <c r="T204" s="2"/>
    </row>
    <row r="205" spans="2:20" ht="15.75" customHeight="1" x14ac:dyDescent="0.25">
      <c r="B205" s="1"/>
      <c r="F205" s="1"/>
      <c r="H205" s="1"/>
      <c r="I205" s="1"/>
      <c r="J205" s="1"/>
      <c r="M205" s="2"/>
      <c r="N205" s="2"/>
      <c r="O205" s="2"/>
      <c r="R205" s="2"/>
      <c r="S205" s="2"/>
      <c r="T205" s="2"/>
    </row>
    <row r="206" spans="2:20" ht="15.75" customHeight="1" x14ac:dyDescent="0.25">
      <c r="B206" s="1"/>
      <c r="F206" s="1"/>
      <c r="H206" s="1"/>
      <c r="I206" s="1"/>
      <c r="J206" s="1"/>
      <c r="M206" s="2"/>
      <c r="N206" s="2"/>
      <c r="O206" s="2"/>
      <c r="R206" s="2"/>
      <c r="S206" s="2"/>
      <c r="T206" s="2"/>
    </row>
    <row r="207" spans="2:20" ht="15.75" customHeight="1" x14ac:dyDescent="0.25">
      <c r="B207" s="1"/>
      <c r="F207" s="1"/>
      <c r="H207" s="1"/>
      <c r="I207" s="1"/>
      <c r="J207" s="1"/>
      <c r="M207" s="2"/>
      <c r="N207" s="2"/>
      <c r="O207" s="2"/>
      <c r="R207" s="2"/>
      <c r="S207" s="2"/>
      <c r="T207" s="2"/>
    </row>
    <row r="208" spans="2:20" ht="15.75" customHeight="1" x14ac:dyDescent="0.25">
      <c r="B208" s="1"/>
      <c r="F208" s="1"/>
      <c r="H208" s="1"/>
      <c r="I208" s="1"/>
      <c r="J208" s="1"/>
      <c r="M208" s="2"/>
      <c r="N208" s="2"/>
      <c r="O208" s="2"/>
      <c r="R208" s="2"/>
      <c r="S208" s="2"/>
      <c r="T208" s="2"/>
    </row>
    <row r="209" spans="2:20" ht="15.75" customHeight="1" x14ac:dyDescent="0.25">
      <c r="B209" s="1"/>
      <c r="F209" s="1"/>
      <c r="H209" s="1"/>
      <c r="I209" s="1"/>
      <c r="J209" s="1"/>
      <c r="M209" s="2"/>
      <c r="N209" s="2"/>
      <c r="O209" s="2"/>
      <c r="R209" s="2"/>
      <c r="S209" s="2"/>
      <c r="T209" s="2"/>
    </row>
    <row r="210" spans="2:20" ht="15.75" customHeight="1" x14ac:dyDescent="0.25">
      <c r="B210" s="1"/>
      <c r="F210" s="1"/>
      <c r="H210" s="1"/>
      <c r="I210" s="1"/>
      <c r="J210" s="1"/>
      <c r="M210" s="2"/>
      <c r="N210" s="2"/>
      <c r="O210" s="2"/>
      <c r="R210" s="2"/>
      <c r="S210" s="2"/>
      <c r="T210" s="2"/>
    </row>
    <row r="211" spans="2:20" ht="15.75" customHeight="1" x14ac:dyDescent="0.25">
      <c r="B211" s="1"/>
      <c r="F211" s="1"/>
      <c r="H211" s="1"/>
      <c r="I211" s="1"/>
      <c r="J211" s="1"/>
      <c r="M211" s="2"/>
      <c r="N211" s="2"/>
      <c r="O211" s="2"/>
      <c r="R211" s="2"/>
      <c r="S211" s="2"/>
      <c r="T211" s="2"/>
    </row>
    <row r="212" spans="2:20" ht="15.75" customHeight="1" x14ac:dyDescent="0.25">
      <c r="B212" s="1"/>
      <c r="F212" s="1"/>
      <c r="H212" s="1"/>
      <c r="I212" s="1"/>
      <c r="J212" s="1"/>
      <c r="M212" s="2"/>
      <c r="N212" s="2"/>
      <c r="O212" s="2"/>
      <c r="R212" s="2"/>
      <c r="S212" s="2"/>
      <c r="T212" s="2"/>
    </row>
    <row r="213" spans="2:20" ht="15.75" customHeight="1" x14ac:dyDescent="0.25">
      <c r="B213" s="1"/>
      <c r="F213" s="1"/>
      <c r="H213" s="1"/>
      <c r="I213" s="1"/>
      <c r="J213" s="1"/>
      <c r="M213" s="2"/>
      <c r="N213" s="2"/>
      <c r="O213" s="2"/>
      <c r="R213" s="2"/>
      <c r="S213" s="2"/>
      <c r="T213" s="2"/>
    </row>
    <row r="214" spans="2:20" ht="15.75" customHeight="1" x14ac:dyDescent="0.25">
      <c r="B214" s="1"/>
      <c r="F214" s="1"/>
      <c r="H214" s="1"/>
      <c r="I214" s="1"/>
      <c r="J214" s="1"/>
      <c r="M214" s="2"/>
      <c r="N214" s="2"/>
      <c r="O214" s="2"/>
      <c r="R214" s="2"/>
      <c r="S214" s="2"/>
      <c r="T214" s="2"/>
    </row>
    <row r="215" spans="2:20" ht="15.75" customHeight="1" x14ac:dyDescent="0.25">
      <c r="B215" s="1"/>
      <c r="F215" s="1"/>
      <c r="H215" s="1"/>
      <c r="I215" s="1"/>
      <c r="J215" s="1"/>
      <c r="M215" s="2"/>
      <c r="N215" s="2"/>
      <c r="O215" s="2"/>
      <c r="R215" s="2"/>
      <c r="S215" s="2"/>
      <c r="T215" s="2"/>
    </row>
    <row r="216" spans="2:20" ht="15.75" customHeight="1" x14ac:dyDescent="0.25">
      <c r="B216" s="1"/>
      <c r="F216" s="1"/>
      <c r="H216" s="1"/>
      <c r="I216" s="1"/>
      <c r="J216" s="1"/>
      <c r="M216" s="2"/>
      <c r="N216" s="2"/>
      <c r="O216" s="2"/>
      <c r="R216" s="2"/>
      <c r="S216" s="2"/>
      <c r="T216" s="2"/>
    </row>
    <row r="217" spans="2:20" ht="15.75" customHeight="1" x14ac:dyDescent="0.25">
      <c r="B217" s="1"/>
      <c r="F217" s="1"/>
      <c r="H217" s="1"/>
      <c r="I217" s="1"/>
      <c r="J217" s="1"/>
      <c r="M217" s="2"/>
      <c r="N217" s="2"/>
      <c r="O217" s="2"/>
      <c r="R217" s="2"/>
      <c r="S217" s="2"/>
      <c r="T217" s="2"/>
    </row>
    <row r="218" spans="2:20" ht="15.75" customHeight="1" x14ac:dyDescent="0.25">
      <c r="B218" s="1"/>
      <c r="F218" s="1"/>
      <c r="H218" s="1"/>
      <c r="I218" s="1"/>
      <c r="J218" s="1"/>
      <c r="M218" s="2"/>
      <c r="N218" s="2"/>
      <c r="O218" s="2"/>
      <c r="R218" s="2"/>
      <c r="S218" s="2"/>
      <c r="T218" s="2"/>
    </row>
    <row r="219" spans="2:20" ht="15.75" customHeight="1" x14ac:dyDescent="0.25">
      <c r="B219" s="1"/>
      <c r="F219" s="1"/>
      <c r="H219" s="1"/>
      <c r="I219" s="1"/>
      <c r="J219" s="1"/>
      <c r="M219" s="2"/>
      <c r="N219" s="2"/>
      <c r="O219" s="2"/>
      <c r="R219" s="2"/>
      <c r="S219" s="2"/>
      <c r="T219" s="2"/>
    </row>
    <row r="220" spans="2:20" ht="15.75" customHeight="1" x14ac:dyDescent="0.25">
      <c r="B220" s="1"/>
      <c r="F220" s="1"/>
      <c r="H220" s="1"/>
      <c r="I220" s="1"/>
      <c r="J220" s="1"/>
      <c r="M220" s="2"/>
      <c r="N220" s="2"/>
      <c r="O220" s="2"/>
      <c r="R220" s="2"/>
      <c r="S220" s="2"/>
      <c r="T220" s="2"/>
    </row>
    <row r="221" spans="2:20" ht="15.75" customHeight="1" x14ac:dyDescent="0.25">
      <c r="B221" s="1"/>
      <c r="F221" s="1"/>
      <c r="H221" s="1"/>
      <c r="I221" s="1"/>
      <c r="J221" s="1"/>
      <c r="M221" s="2"/>
      <c r="N221" s="2"/>
      <c r="O221" s="2"/>
      <c r="R221" s="2"/>
      <c r="S221" s="2"/>
      <c r="T221" s="2"/>
    </row>
    <row r="222" spans="2:20" ht="15.75" customHeight="1" x14ac:dyDescent="0.25">
      <c r="B222" s="1"/>
      <c r="F222" s="1"/>
      <c r="H222" s="1"/>
      <c r="I222" s="1"/>
      <c r="J222" s="1"/>
      <c r="M222" s="2"/>
      <c r="N222" s="2"/>
      <c r="O222" s="2"/>
      <c r="R222" s="2"/>
      <c r="S222" s="2"/>
      <c r="T222" s="2"/>
    </row>
    <row r="223" spans="2:20" ht="15.75" customHeight="1" x14ac:dyDescent="0.25">
      <c r="B223" s="1"/>
      <c r="F223" s="1"/>
      <c r="H223" s="1"/>
      <c r="I223" s="1"/>
      <c r="J223" s="1"/>
      <c r="M223" s="2"/>
      <c r="N223" s="2"/>
      <c r="O223" s="2"/>
      <c r="R223" s="2"/>
      <c r="S223" s="2"/>
      <c r="T223" s="2"/>
    </row>
    <row r="224" spans="2:20" ht="15.75" customHeight="1" x14ac:dyDescent="0.25">
      <c r="B224" s="1"/>
      <c r="F224" s="1"/>
      <c r="H224" s="1"/>
      <c r="I224" s="1"/>
      <c r="J224" s="1"/>
      <c r="M224" s="2"/>
      <c r="N224" s="2"/>
      <c r="O224" s="2"/>
      <c r="R224" s="2"/>
      <c r="S224" s="2"/>
      <c r="T224" s="2"/>
    </row>
    <row r="225" spans="2:20" ht="15.75" customHeight="1" x14ac:dyDescent="0.25">
      <c r="B225" s="1"/>
      <c r="F225" s="1"/>
      <c r="H225" s="1"/>
      <c r="I225" s="1"/>
      <c r="J225" s="1"/>
      <c r="M225" s="2"/>
      <c r="N225" s="2"/>
      <c r="O225" s="2"/>
      <c r="R225" s="2"/>
      <c r="S225" s="2"/>
      <c r="T225" s="2"/>
    </row>
    <row r="226" spans="2:20" ht="15.75" customHeight="1" x14ac:dyDescent="0.25">
      <c r="B226" s="1"/>
      <c r="F226" s="1"/>
      <c r="H226" s="1"/>
      <c r="I226" s="1"/>
      <c r="J226" s="1"/>
      <c r="M226" s="2"/>
      <c r="N226" s="2"/>
      <c r="O226" s="2"/>
      <c r="R226" s="2"/>
      <c r="S226" s="2"/>
      <c r="T226" s="2"/>
    </row>
    <row r="227" spans="2:20" ht="15.75" customHeight="1" x14ac:dyDescent="0.25">
      <c r="B227" s="1"/>
      <c r="F227" s="1"/>
      <c r="H227" s="1"/>
      <c r="I227" s="1"/>
      <c r="J227" s="1"/>
      <c r="M227" s="2"/>
      <c r="N227" s="2"/>
      <c r="O227" s="2"/>
      <c r="R227" s="2"/>
      <c r="S227" s="2"/>
      <c r="T227" s="2"/>
    </row>
    <row r="228" spans="2:20" ht="15.75" customHeight="1" x14ac:dyDescent="0.25">
      <c r="B228" s="1"/>
      <c r="F228" s="1"/>
      <c r="H228" s="1"/>
      <c r="I228" s="1"/>
      <c r="J228" s="1"/>
      <c r="M228" s="2"/>
      <c r="N228" s="2"/>
      <c r="O228" s="2"/>
      <c r="R228" s="2"/>
      <c r="S228" s="2"/>
      <c r="T228" s="2"/>
    </row>
    <row r="229" spans="2:20" ht="15.75" customHeight="1" x14ac:dyDescent="0.25">
      <c r="B229" s="1"/>
      <c r="F229" s="1"/>
      <c r="H229" s="1"/>
      <c r="I229" s="1"/>
      <c r="J229" s="1"/>
      <c r="M229" s="2"/>
      <c r="N229" s="2"/>
      <c r="O229" s="2"/>
      <c r="R229" s="2"/>
      <c r="S229" s="2"/>
      <c r="T229" s="2"/>
    </row>
    <row r="230" spans="2:20" ht="15.75" customHeight="1" x14ac:dyDescent="0.25">
      <c r="B230" s="1"/>
      <c r="F230" s="1"/>
      <c r="H230" s="1"/>
      <c r="I230" s="1"/>
      <c r="J230" s="1"/>
      <c r="M230" s="2"/>
      <c r="N230" s="2"/>
      <c r="O230" s="2"/>
      <c r="R230" s="2"/>
      <c r="S230" s="2"/>
      <c r="T230" s="2"/>
    </row>
    <row r="231" spans="2:20" ht="15.75" customHeight="1" x14ac:dyDescent="0.25">
      <c r="B231" s="1"/>
      <c r="F231" s="1"/>
      <c r="H231" s="1"/>
      <c r="I231" s="1"/>
      <c r="J231" s="1"/>
      <c r="M231" s="2"/>
      <c r="N231" s="2"/>
      <c r="O231" s="2"/>
      <c r="R231" s="2"/>
      <c r="S231" s="2"/>
      <c r="T231" s="2"/>
    </row>
    <row r="232" spans="2:20" ht="15.75" customHeight="1" x14ac:dyDescent="0.25">
      <c r="B232" s="1"/>
      <c r="F232" s="1"/>
      <c r="H232" s="1"/>
      <c r="I232" s="1"/>
      <c r="J232" s="1"/>
      <c r="M232" s="2"/>
      <c r="N232" s="2"/>
      <c r="O232" s="2"/>
      <c r="R232" s="2"/>
      <c r="S232" s="2"/>
      <c r="T232" s="2"/>
    </row>
    <row r="233" spans="2:20" ht="15.75" customHeight="1" x14ac:dyDescent="0.25">
      <c r="B233" s="1"/>
      <c r="F233" s="1"/>
      <c r="H233" s="1"/>
      <c r="I233" s="1"/>
      <c r="J233" s="1"/>
      <c r="M233" s="2"/>
      <c r="N233" s="2"/>
      <c r="O233" s="2"/>
      <c r="R233" s="2"/>
      <c r="S233" s="2"/>
      <c r="T233" s="2"/>
    </row>
    <row r="234" spans="2:20" ht="15.75" customHeight="1" x14ac:dyDescent="0.25">
      <c r="B234" s="1"/>
      <c r="F234" s="1"/>
      <c r="H234" s="1"/>
      <c r="I234" s="1"/>
      <c r="J234" s="1"/>
      <c r="M234" s="2"/>
      <c r="N234" s="2"/>
      <c r="O234" s="2"/>
      <c r="R234" s="2"/>
      <c r="S234" s="2"/>
      <c r="T234" s="2"/>
    </row>
    <row r="235" spans="2:20" ht="15.75" customHeight="1" x14ac:dyDescent="0.25">
      <c r="B235" s="1"/>
      <c r="F235" s="1"/>
      <c r="H235" s="1"/>
      <c r="I235" s="1"/>
      <c r="J235" s="1"/>
      <c r="M235" s="2"/>
      <c r="N235" s="2"/>
      <c r="O235" s="2"/>
      <c r="R235" s="2"/>
      <c r="S235" s="2"/>
      <c r="T235" s="2"/>
    </row>
    <row r="236" spans="2:20" ht="15.75" customHeight="1" x14ac:dyDescent="0.25">
      <c r="B236" s="1"/>
      <c r="F236" s="1"/>
      <c r="H236" s="1"/>
      <c r="I236" s="1"/>
      <c r="J236" s="1"/>
      <c r="M236" s="2"/>
      <c r="N236" s="2"/>
      <c r="O236" s="2"/>
      <c r="R236" s="2"/>
      <c r="S236" s="2"/>
      <c r="T236" s="2"/>
    </row>
    <row r="237" spans="2:20" ht="15.75" customHeight="1" x14ac:dyDescent="0.25">
      <c r="B237" s="1"/>
      <c r="F237" s="1"/>
      <c r="H237" s="1"/>
      <c r="I237" s="1"/>
      <c r="J237" s="1"/>
      <c r="M237" s="2"/>
      <c r="N237" s="2"/>
      <c r="O237" s="2"/>
      <c r="R237" s="2"/>
      <c r="S237" s="2"/>
      <c r="T237" s="2"/>
    </row>
    <row r="238" spans="2:20" ht="15.75" customHeight="1" x14ac:dyDescent="0.25">
      <c r="B238" s="1"/>
      <c r="F238" s="1"/>
      <c r="H238" s="1"/>
      <c r="I238" s="1"/>
      <c r="J238" s="1"/>
      <c r="M238" s="2"/>
      <c r="N238" s="2"/>
      <c r="O238" s="2"/>
      <c r="R238" s="2"/>
      <c r="S238" s="2"/>
      <c r="T238" s="2"/>
    </row>
    <row r="239" spans="2:20" ht="15.75" customHeight="1" x14ac:dyDescent="0.25">
      <c r="B239" s="1"/>
      <c r="F239" s="1"/>
      <c r="H239" s="1"/>
      <c r="I239" s="1"/>
      <c r="J239" s="1"/>
      <c r="M239" s="2"/>
      <c r="N239" s="2"/>
      <c r="O239" s="2"/>
      <c r="R239" s="2"/>
      <c r="S239" s="2"/>
      <c r="T239" s="2"/>
    </row>
    <row r="240" spans="2:20" ht="15.75" customHeight="1" x14ac:dyDescent="0.25">
      <c r="B240" s="1"/>
      <c r="F240" s="1"/>
      <c r="H240" s="1"/>
      <c r="I240" s="1"/>
      <c r="J240" s="1"/>
      <c r="M240" s="2"/>
      <c r="N240" s="2"/>
      <c r="O240" s="2"/>
      <c r="R240" s="2"/>
      <c r="S240" s="2"/>
      <c r="T240" s="2"/>
    </row>
    <row r="241" spans="2:20" ht="15.75" customHeight="1" x14ac:dyDescent="0.25">
      <c r="B241" s="1"/>
      <c r="F241" s="1"/>
      <c r="H241" s="1"/>
      <c r="I241" s="1"/>
      <c r="J241" s="1"/>
      <c r="M241" s="2"/>
      <c r="N241" s="2"/>
      <c r="O241" s="2"/>
      <c r="R241" s="2"/>
      <c r="S241" s="2"/>
      <c r="T241" s="2"/>
    </row>
    <row r="242" spans="2:20" ht="15.75" customHeight="1" x14ac:dyDescent="0.25">
      <c r="B242" s="1"/>
      <c r="F242" s="1"/>
      <c r="H242" s="1"/>
      <c r="I242" s="1"/>
      <c r="J242" s="1"/>
      <c r="M242" s="2"/>
      <c r="N242" s="2"/>
      <c r="O242" s="2"/>
      <c r="R242" s="2"/>
      <c r="S242" s="2"/>
      <c r="T242" s="2"/>
    </row>
    <row r="243" spans="2:20" ht="15.75" customHeight="1" x14ac:dyDescent="0.25">
      <c r="B243" s="1"/>
      <c r="F243" s="1"/>
      <c r="H243" s="1"/>
      <c r="I243" s="1"/>
      <c r="J243" s="1"/>
      <c r="M243" s="2"/>
      <c r="N243" s="2"/>
      <c r="O243" s="2"/>
      <c r="R243" s="2"/>
      <c r="S243" s="2"/>
      <c r="T243" s="2"/>
    </row>
    <row r="244" spans="2:20" ht="15.75" customHeight="1" x14ac:dyDescent="0.25">
      <c r="B244" s="1"/>
      <c r="F244" s="1"/>
      <c r="H244" s="1"/>
      <c r="I244" s="1"/>
      <c r="J244" s="1"/>
      <c r="M244" s="2"/>
      <c r="N244" s="2"/>
      <c r="O244" s="2"/>
      <c r="R244" s="2"/>
      <c r="S244" s="2"/>
      <c r="T244" s="2"/>
    </row>
    <row r="245" spans="2:20" ht="15.75" customHeight="1" x14ac:dyDescent="0.25">
      <c r="B245" s="1"/>
      <c r="F245" s="1"/>
      <c r="H245" s="1"/>
      <c r="I245" s="1"/>
      <c r="J245" s="1"/>
      <c r="M245" s="2"/>
      <c r="N245" s="2"/>
      <c r="O245" s="2"/>
      <c r="R245" s="2"/>
      <c r="S245" s="2"/>
      <c r="T245" s="2"/>
    </row>
    <row r="246" spans="2:20" ht="15.75" customHeight="1" x14ac:dyDescent="0.25">
      <c r="B246" s="1"/>
      <c r="F246" s="1"/>
      <c r="H246" s="1"/>
      <c r="I246" s="1"/>
      <c r="J246" s="1"/>
      <c r="M246" s="2"/>
      <c r="N246" s="2"/>
      <c r="O246" s="2"/>
      <c r="R246" s="2"/>
      <c r="S246" s="2"/>
      <c r="T246" s="2"/>
    </row>
    <row r="247" spans="2:20" ht="15.75" customHeight="1" x14ac:dyDescent="0.25">
      <c r="B247" s="1"/>
      <c r="F247" s="1"/>
      <c r="H247" s="1"/>
      <c r="I247" s="1"/>
      <c r="J247" s="1"/>
      <c r="M247" s="2"/>
      <c r="N247" s="2"/>
      <c r="O247" s="2"/>
      <c r="R247" s="2"/>
      <c r="S247" s="2"/>
      <c r="T247" s="2"/>
    </row>
    <row r="248" spans="2:20" ht="15.75" customHeight="1" x14ac:dyDescent="0.25">
      <c r="B248" s="1"/>
      <c r="F248" s="1"/>
      <c r="H248" s="1"/>
      <c r="I248" s="1"/>
      <c r="J248" s="1"/>
      <c r="M248" s="2"/>
      <c r="N248" s="2"/>
      <c r="O248" s="2"/>
      <c r="R248" s="2"/>
      <c r="S248" s="2"/>
      <c r="T248" s="2"/>
    </row>
    <row r="249" spans="2:20" ht="15.75" customHeight="1" x14ac:dyDescent="0.25">
      <c r="B249" s="1"/>
      <c r="F249" s="1"/>
      <c r="H249" s="1"/>
      <c r="I249" s="1"/>
      <c r="J249" s="1"/>
      <c r="M249" s="2"/>
      <c r="N249" s="2"/>
      <c r="O249" s="2"/>
      <c r="R249" s="2"/>
      <c r="S249" s="2"/>
      <c r="T249" s="2"/>
    </row>
    <row r="250" spans="2:20" ht="15.75" customHeight="1" x14ac:dyDescent="0.25">
      <c r="B250" s="1"/>
      <c r="F250" s="1"/>
      <c r="H250" s="1"/>
      <c r="I250" s="1"/>
      <c r="J250" s="1"/>
      <c r="M250" s="2"/>
      <c r="N250" s="2"/>
      <c r="O250" s="2"/>
      <c r="R250" s="2"/>
      <c r="S250" s="2"/>
      <c r="T250" s="2"/>
    </row>
    <row r="251" spans="2:20" ht="15.75" customHeight="1" x14ac:dyDescent="0.25">
      <c r="B251" s="1"/>
      <c r="F251" s="1"/>
      <c r="H251" s="1"/>
      <c r="I251" s="1"/>
      <c r="J251" s="1"/>
      <c r="M251" s="2"/>
      <c r="N251" s="2"/>
      <c r="O251" s="2"/>
      <c r="R251" s="2"/>
      <c r="S251" s="2"/>
      <c r="T251" s="2"/>
    </row>
    <row r="252" spans="2:20" ht="15.75" customHeight="1" x14ac:dyDescent="0.25">
      <c r="B252" s="1"/>
      <c r="F252" s="1"/>
      <c r="H252" s="1"/>
      <c r="I252" s="1"/>
      <c r="J252" s="1"/>
      <c r="M252" s="2"/>
      <c r="N252" s="2"/>
      <c r="O252" s="2"/>
      <c r="R252" s="2"/>
      <c r="S252" s="2"/>
      <c r="T252" s="2"/>
    </row>
    <row r="253" spans="2:20" ht="15.75" customHeight="1" x14ac:dyDescent="0.25">
      <c r="B253" s="1"/>
      <c r="F253" s="1"/>
      <c r="H253" s="1"/>
      <c r="I253" s="1"/>
      <c r="J253" s="1"/>
      <c r="M253" s="2"/>
      <c r="N253" s="2"/>
      <c r="O253" s="2"/>
      <c r="R253" s="2"/>
      <c r="S253" s="2"/>
      <c r="T253" s="2"/>
    </row>
    <row r="254" spans="2:20" ht="15.75" customHeight="1" x14ac:dyDescent="0.25">
      <c r="B254" s="1"/>
      <c r="F254" s="1"/>
      <c r="H254" s="1"/>
      <c r="I254" s="1"/>
      <c r="J254" s="1"/>
      <c r="M254" s="2"/>
      <c r="N254" s="2"/>
      <c r="O254" s="2"/>
      <c r="R254" s="2"/>
      <c r="S254" s="2"/>
      <c r="T254" s="2"/>
    </row>
    <row r="255" spans="2:20" ht="15.75" customHeight="1" x14ac:dyDescent="0.25">
      <c r="B255" s="1"/>
      <c r="F255" s="1"/>
      <c r="H255" s="1"/>
      <c r="I255" s="1"/>
      <c r="J255" s="1"/>
      <c r="M255" s="2"/>
      <c r="N255" s="2"/>
      <c r="O255" s="2"/>
      <c r="R255" s="2"/>
      <c r="S255" s="2"/>
      <c r="T255" s="2"/>
    </row>
    <row r="256" spans="2:20" ht="15.75" customHeight="1" x14ac:dyDescent="0.25">
      <c r="B256" s="1"/>
      <c r="F256" s="1"/>
      <c r="H256" s="1"/>
      <c r="I256" s="1"/>
      <c r="J256" s="1"/>
      <c r="M256" s="2"/>
      <c r="N256" s="2"/>
      <c r="O256" s="2"/>
      <c r="R256" s="2"/>
      <c r="S256" s="2"/>
      <c r="T256" s="2"/>
    </row>
    <row r="257" spans="2:20" ht="15.75" customHeight="1" x14ac:dyDescent="0.25">
      <c r="B257" s="1"/>
      <c r="F257" s="1"/>
      <c r="H257" s="1"/>
      <c r="I257" s="1"/>
      <c r="J257" s="1"/>
      <c r="M257" s="2"/>
      <c r="N257" s="2"/>
      <c r="O257" s="2"/>
      <c r="R257" s="2"/>
      <c r="S257" s="2"/>
      <c r="T257" s="2"/>
    </row>
    <row r="258" spans="2:20" ht="15.75" customHeight="1" x14ac:dyDescent="0.25">
      <c r="B258" s="1"/>
      <c r="F258" s="1"/>
      <c r="H258" s="1"/>
      <c r="I258" s="1"/>
      <c r="J258" s="1"/>
      <c r="M258" s="2"/>
      <c r="N258" s="2"/>
      <c r="O258" s="2"/>
      <c r="R258" s="2"/>
      <c r="S258" s="2"/>
      <c r="T258" s="2"/>
    </row>
    <row r="259" spans="2:20" ht="15.75" customHeight="1" x14ac:dyDescent="0.25">
      <c r="B259" s="1"/>
      <c r="F259" s="1"/>
      <c r="H259" s="1"/>
      <c r="I259" s="1"/>
      <c r="J259" s="1"/>
      <c r="M259" s="2"/>
      <c r="N259" s="2"/>
      <c r="O259" s="2"/>
      <c r="R259" s="2"/>
      <c r="S259" s="2"/>
      <c r="T259" s="2"/>
    </row>
    <row r="260" spans="2:20" ht="15.75" customHeight="1" x14ac:dyDescent="0.25">
      <c r="B260" s="1"/>
      <c r="F260" s="1"/>
      <c r="H260" s="1"/>
      <c r="I260" s="1"/>
      <c r="J260" s="1"/>
      <c r="M260" s="2"/>
      <c r="N260" s="2"/>
      <c r="O260" s="2"/>
      <c r="R260" s="2"/>
      <c r="S260" s="2"/>
      <c r="T260" s="2"/>
    </row>
    <row r="261" spans="2:20" ht="15.75" customHeight="1" x14ac:dyDescent="0.25">
      <c r="B261" s="1"/>
      <c r="F261" s="1"/>
      <c r="H261" s="1"/>
      <c r="I261" s="1"/>
      <c r="J261" s="1"/>
      <c r="M261" s="2"/>
      <c r="N261" s="2"/>
      <c r="O261" s="2"/>
      <c r="R261" s="2"/>
      <c r="S261" s="2"/>
      <c r="T261" s="2"/>
    </row>
    <row r="262" spans="2:20" ht="15.75" customHeight="1" x14ac:dyDescent="0.25">
      <c r="B262" s="1"/>
      <c r="F262" s="1"/>
      <c r="H262" s="1"/>
      <c r="I262" s="1"/>
      <c r="J262" s="1"/>
      <c r="M262" s="2"/>
      <c r="N262" s="2"/>
      <c r="O262" s="2"/>
      <c r="R262" s="2"/>
      <c r="S262" s="2"/>
      <c r="T262" s="2"/>
    </row>
    <row r="263" spans="2:20" ht="15.75" customHeight="1" x14ac:dyDescent="0.25">
      <c r="B263" s="1"/>
      <c r="F263" s="1"/>
      <c r="H263" s="1"/>
      <c r="I263" s="1"/>
      <c r="J263" s="1"/>
      <c r="M263" s="2"/>
      <c r="N263" s="2"/>
      <c r="O263" s="2"/>
      <c r="R263" s="2"/>
      <c r="S263" s="2"/>
      <c r="T263" s="2"/>
    </row>
    <row r="264" spans="2:20" ht="15.75" customHeight="1" x14ac:dyDescent="0.25">
      <c r="B264" s="1"/>
      <c r="F264" s="1"/>
      <c r="H264" s="1"/>
      <c r="I264" s="1"/>
      <c r="J264" s="1"/>
      <c r="M264" s="2"/>
      <c r="N264" s="2"/>
      <c r="O264" s="2"/>
      <c r="R264" s="2"/>
      <c r="S264" s="2"/>
      <c r="T264" s="2"/>
    </row>
    <row r="265" spans="2:20" ht="15.75" customHeight="1" x14ac:dyDescent="0.25">
      <c r="B265" s="1"/>
      <c r="F265" s="1"/>
      <c r="H265" s="1"/>
      <c r="I265" s="1"/>
      <c r="J265" s="1"/>
      <c r="M265" s="2"/>
      <c r="N265" s="2"/>
      <c r="O265" s="2"/>
      <c r="R265" s="2"/>
      <c r="S265" s="2"/>
      <c r="T265" s="2"/>
    </row>
    <row r="266" spans="2:20" ht="15.75" customHeight="1" x14ac:dyDescent="0.25">
      <c r="B266" s="1"/>
      <c r="F266" s="1"/>
      <c r="H266" s="1"/>
      <c r="I266" s="1"/>
      <c r="J266" s="1"/>
      <c r="M266" s="2"/>
      <c r="N266" s="2"/>
      <c r="O266" s="2"/>
      <c r="R266" s="2"/>
      <c r="S266" s="2"/>
      <c r="T266" s="2"/>
    </row>
    <row r="267" spans="2:20" ht="15.75" customHeight="1" x14ac:dyDescent="0.25">
      <c r="B267" s="1"/>
      <c r="F267" s="1"/>
      <c r="H267" s="1"/>
      <c r="I267" s="1"/>
      <c r="J267" s="1"/>
      <c r="M267" s="2"/>
      <c r="N267" s="2"/>
      <c r="O267" s="2"/>
      <c r="R267" s="2"/>
      <c r="S267" s="2"/>
      <c r="T267" s="2"/>
    </row>
    <row r="268" spans="2:20" ht="15.75" customHeight="1" x14ac:dyDescent="0.25">
      <c r="B268" s="1"/>
      <c r="F268" s="1"/>
      <c r="H268" s="1"/>
      <c r="I268" s="1"/>
      <c r="J268" s="1"/>
      <c r="M268" s="2"/>
      <c r="N268" s="2"/>
      <c r="O268" s="2"/>
      <c r="R268" s="2"/>
      <c r="S268" s="2"/>
      <c r="T268" s="2"/>
    </row>
    <row r="269" spans="2:20" ht="15.75" customHeight="1" x14ac:dyDescent="0.25">
      <c r="B269" s="1"/>
      <c r="F269" s="1"/>
      <c r="H269" s="1"/>
      <c r="I269" s="1"/>
      <c r="J269" s="1"/>
      <c r="M269" s="2"/>
      <c r="N269" s="2"/>
      <c r="O269" s="2"/>
      <c r="R269" s="2"/>
      <c r="S269" s="2"/>
      <c r="T269" s="2"/>
    </row>
    <row r="270" spans="2:20" ht="15.75" customHeight="1" x14ac:dyDescent="0.25">
      <c r="B270" s="1"/>
      <c r="F270" s="1"/>
      <c r="H270" s="1"/>
      <c r="I270" s="1"/>
      <c r="J270" s="1"/>
      <c r="M270" s="2"/>
      <c r="N270" s="2"/>
      <c r="O270" s="2"/>
      <c r="R270" s="2"/>
      <c r="S270" s="2"/>
      <c r="T270" s="2"/>
    </row>
    <row r="271" spans="2:20" ht="15.75" customHeight="1" x14ac:dyDescent="0.25">
      <c r="B271" s="1"/>
      <c r="F271" s="1"/>
      <c r="H271" s="1"/>
      <c r="I271" s="1"/>
      <c r="J271" s="1"/>
      <c r="M271" s="2"/>
      <c r="N271" s="2"/>
      <c r="O271" s="2"/>
      <c r="R271" s="2"/>
      <c r="S271" s="2"/>
      <c r="T271" s="2"/>
    </row>
    <row r="272" spans="2:20" ht="15.75" customHeight="1" x14ac:dyDescent="0.25">
      <c r="B272" s="1"/>
      <c r="F272" s="1"/>
      <c r="H272" s="1"/>
      <c r="I272" s="1"/>
      <c r="J272" s="1"/>
      <c r="M272" s="2"/>
      <c r="N272" s="2"/>
      <c r="O272" s="2"/>
      <c r="R272" s="2"/>
      <c r="S272" s="2"/>
      <c r="T272" s="2"/>
    </row>
    <row r="273" spans="2:20" ht="15.75" customHeight="1" x14ac:dyDescent="0.25">
      <c r="B273" s="1"/>
      <c r="F273" s="1"/>
      <c r="H273" s="1"/>
      <c r="I273" s="1"/>
      <c r="J273" s="1"/>
      <c r="M273" s="2"/>
      <c r="N273" s="2"/>
      <c r="O273" s="2"/>
      <c r="R273" s="2"/>
      <c r="S273" s="2"/>
      <c r="T273" s="2"/>
    </row>
    <row r="274" spans="2:20" ht="15.75" customHeight="1" x14ac:dyDescent="0.25">
      <c r="B274" s="1"/>
      <c r="F274" s="1"/>
      <c r="H274" s="1"/>
      <c r="I274" s="1"/>
      <c r="J274" s="1"/>
      <c r="M274" s="2"/>
      <c r="N274" s="2"/>
      <c r="O274" s="2"/>
      <c r="R274" s="2"/>
      <c r="S274" s="2"/>
      <c r="T274" s="2"/>
    </row>
    <row r="275" spans="2:20" ht="15.75" customHeight="1" x14ac:dyDescent="0.25">
      <c r="B275" s="1"/>
      <c r="F275" s="1"/>
      <c r="H275" s="1"/>
      <c r="I275" s="1"/>
      <c r="J275" s="1"/>
      <c r="M275" s="2"/>
      <c r="N275" s="2"/>
      <c r="O275" s="2"/>
      <c r="R275" s="2"/>
      <c r="S275" s="2"/>
      <c r="T275" s="2"/>
    </row>
    <row r="276" spans="2:20" ht="15.75" customHeight="1" x14ac:dyDescent="0.25">
      <c r="B276" s="1"/>
      <c r="F276" s="1"/>
      <c r="H276" s="1"/>
      <c r="I276" s="1"/>
      <c r="J276" s="1"/>
      <c r="M276" s="2"/>
      <c r="N276" s="2"/>
      <c r="O276" s="2"/>
      <c r="R276" s="2"/>
      <c r="S276" s="2"/>
      <c r="T276" s="2"/>
    </row>
    <row r="277" spans="2:20" ht="15.75" customHeight="1" x14ac:dyDescent="0.25">
      <c r="B277" s="1"/>
      <c r="F277" s="1"/>
      <c r="H277" s="1"/>
      <c r="I277" s="1"/>
      <c r="J277" s="1"/>
      <c r="M277" s="2"/>
      <c r="N277" s="2"/>
      <c r="O277" s="2"/>
      <c r="R277" s="2"/>
      <c r="S277" s="2"/>
      <c r="T277" s="2"/>
    </row>
    <row r="278" spans="2:20" ht="15.75" customHeight="1" x14ac:dyDescent="0.25">
      <c r="B278" s="1"/>
      <c r="F278" s="1"/>
      <c r="H278" s="1"/>
      <c r="I278" s="1"/>
      <c r="J278" s="1"/>
      <c r="M278" s="2"/>
      <c r="N278" s="2"/>
      <c r="O278" s="2"/>
      <c r="R278" s="2"/>
      <c r="S278" s="2"/>
      <c r="T278" s="2"/>
    </row>
    <row r="279" spans="2:20" ht="15.75" customHeight="1" x14ac:dyDescent="0.25">
      <c r="B279" s="1"/>
      <c r="F279" s="1"/>
      <c r="H279" s="1"/>
      <c r="I279" s="1"/>
      <c r="J279" s="1"/>
      <c r="M279" s="2"/>
      <c r="N279" s="2"/>
      <c r="O279" s="2"/>
      <c r="R279" s="2"/>
      <c r="S279" s="2"/>
      <c r="T279" s="2"/>
    </row>
    <row r="280" spans="2:20" ht="15.75" customHeight="1" x14ac:dyDescent="0.25">
      <c r="B280" s="1"/>
      <c r="F280" s="1"/>
      <c r="H280" s="1"/>
      <c r="I280" s="1"/>
      <c r="J280" s="1"/>
      <c r="M280" s="2"/>
      <c r="N280" s="2"/>
      <c r="O280" s="2"/>
      <c r="R280" s="2"/>
      <c r="S280" s="2"/>
      <c r="T280" s="2"/>
    </row>
    <row r="281" spans="2:20" ht="15.75" customHeight="1" x14ac:dyDescent="0.25">
      <c r="B281" s="1"/>
      <c r="F281" s="1"/>
      <c r="H281" s="1"/>
      <c r="I281" s="1"/>
      <c r="J281" s="1"/>
      <c r="M281" s="2"/>
      <c r="N281" s="2"/>
      <c r="O281" s="2"/>
      <c r="R281" s="2"/>
      <c r="S281" s="2"/>
      <c r="T281" s="2"/>
    </row>
    <row r="282" spans="2:20" ht="15.75" customHeight="1" x14ac:dyDescent="0.25">
      <c r="B282" s="1"/>
      <c r="F282" s="1"/>
      <c r="H282" s="1"/>
      <c r="I282" s="1"/>
      <c r="J282" s="1"/>
      <c r="M282" s="2"/>
      <c r="N282" s="2"/>
      <c r="O282" s="2"/>
      <c r="R282" s="2"/>
      <c r="S282" s="2"/>
      <c r="T282" s="2"/>
    </row>
    <row r="283" spans="2:20" ht="15.75" customHeight="1" x14ac:dyDescent="0.25">
      <c r="B283" s="1"/>
      <c r="F283" s="1"/>
      <c r="H283" s="1"/>
      <c r="I283" s="1"/>
      <c r="J283" s="1"/>
      <c r="M283" s="2"/>
      <c r="N283" s="2"/>
      <c r="O283" s="2"/>
      <c r="R283" s="2"/>
      <c r="S283" s="2"/>
      <c r="T283" s="2"/>
    </row>
    <row r="284" spans="2:20" ht="15.75" customHeight="1" x14ac:dyDescent="0.25">
      <c r="B284" s="1"/>
      <c r="F284" s="1"/>
      <c r="H284" s="1"/>
      <c r="I284" s="1"/>
      <c r="J284" s="1"/>
      <c r="M284" s="2"/>
      <c r="N284" s="2"/>
      <c r="O284" s="2"/>
      <c r="R284" s="2"/>
      <c r="S284" s="2"/>
      <c r="T284" s="2"/>
    </row>
    <row r="285" spans="2:20" ht="15.75" customHeight="1" x14ac:dyDescent="0.25">
      <c r="B285" s="1"/>
      <c r="F285" s="1"/>
      <c r="H285" s="1"/>
      <c r="I285" s="1"/>
      <c r="J285" s="1"/>
      <c r="M285" s="2"/>
      <c r="N285" s="2"/>
      <c r="O285" s="2"/>
      <c r="R285" s="2"/>
      <c r="S285" s="2"/>
      <c r="T285" s="2"/>
    </row>
    <row r="286" spans="2:20" ht="15.75" customHeight="1" x14ac:dyDescent="0.25">
      <c r="B286" s="1"/>
      <c r="F286" s="1"/>
      <c r="H286" s="1"/>
      <c r="I286" s="1"/>
      <c r="J286" s="1"/>
      <c r="M286" s="2"/>
      <c r="N286" s="2"/>
      <c r="O286" s="2"/>
      <c r="R286" s="2"/>
      <c r="S286" s="2"/>
      <c r="T286" s="2"/>
    </row>
    <row r="287" spans="2:20" ht="15.75" customHeight="1" x14ac:dyDescent="0.25">
      <c r="B287" s="1"/>
      <c r="F287" s="1"/>
      <c r="H287" s="1"/>
      <c r="I287" s="1"/>
      <c r="J287" s="1"/>
      <c r="M287" s="2"/>
      <c r="N287" s="2"/>
      <c r="O287" s="2"/>
      <c r="R287" s="2"/>
      <c r="S287" s="2"/>
      <c r="T287" s="2"/>
    </row>
    <row r="288" spans="2:20" ht="15.75" customHeight="1" x14ac:dyDescent="0.25">
      <c r="B288" s="1"/>
      <c r="F288" s="1"/>
      <c r="H288" s="1"/>
      <c r="I288" s="1"/>
      <c r="J288" s="1"/>
      <c r="M288" s="2"/>
      <c r="N288" s="2"/>
      <c r="O288" s="2"/>
      <c r="R288" s="2"/>
      <c r="S288" s="2"/>
      <c r="T288" s="2"/>
    </row>
    <row r="289" spans="2:20" ht="15.75" customHeight="1" x14ac:dyDescent="0.25">
      <c r="B289" s="1"/>
      <c r="F289" s="1"/>
      <c r="H289" s="1"/>
      <c r="I289" s="1"/>
      <c r="J289" s="1"/>
      <c r="M289" s="2"/>
      <c r="N289" s="2"/>
      <c r="O289" s="2"/>
      <c r="R289" s="2"/>
      <c r="S289" s="2"/>
      <c r="T289" s="2"/>
    </row>
    <row r="290" spans="2:20" ht="15.75" customHeight="1" x14ac:dyDescent="0.25">
      <c r="B290" s="1"/>
      <c r="F290" s="1"/>
      <c r="H290" s="1"/>
      <c r="I290" s="1"/>
      <c r="J290" s="1"/>
      <c r="M290" s="2"/>
      <c r="N290" s="2"/>
      <c r="O290" s="2"/>
      <c r="R290" s="2"/>
      <c r="S290" s="2"/>
      <c r="T290" s="2"/>
    </row>
    <row r="291" spans="2:20" ht="15.75" customHeight="1" x14ac:dyDescent="0.25">
      <c r="B291" s="1"/>
      <c r="F291" s="1"/>
      <c r="H291" s="1"/>
      <c r="I291" s="1"/>
      <c r="J291" s="1"/>
      <c r="M291" s="2"/>
      <c r="N291" s="2"/>
      <c r="O291" s="2"/>
      <c r="R291" s="2"/>
      <c r="S291" s="2"/>
      <c r="T291" s="2"/>
    </row>
    <row r="292" spans="2:20" ht="15.75" customHeight="1" x14ac:dyDescent="0.25">
      <c r="B292" s="1"/>
      <c r="F292" s="1"/>
      <c r="H292" s="1"/>
      <c r="I292" s="1"/>
      <c r="J292" s="1"/>
      <c r="M292" s="2"/>
      <c r="N292" s="2"/>
      <c r="O292" s="2"/>
      <c r="R292" s="2"/>
      <c r="S292" s="2"/>
      <c r="T292" s="2"/>
    </row>
    <row r="293" spans="2:20" ht="15.75" customHeight="1" x14ac:dyDescent="0.25">
      <c r="B293" s="1"/>
      <c r="F293" s="1"/>
      <c r="H293" s="1"/>
      <c r="I293" s="1"/>
      <c r="J293" s="1"/>
      <c r="M293" s="2"/>
      <c r="N293" s="2"/>
      <c r="O293" s="2"/>
      <c r="R293" s="2"/>
      <c r="S293" s="2"/>
      <c r="T293" s="2"/>
    </row>
    <row r="294" spans="2:20" ht="15.75" customHeight="1" x14ac:dyDescent="0.25">
      <c r="B294" s="1"/>
      <c r="F294" s="1"/>
      <c r="H294" s="1"/>
      <c r="I294" s="1"/>
      <c r="J294" s="1"/>
      <c r="M294" s="2"/>
      <c r="N294" s="2"/>
      <c r="O294" s="2"/>
      <c r="R294" s="2"/>
      <c r="S294" s="2"/>
      <c r="T294" s="2"/>
    </row>
    <row r="295" spans="2:20" ht="15.75" customHeight="1" x14ac:dyDescent="0.25">
      <c r="B295" s="1"/>
      <c r="F295" s="1"/>
      <c r="H295" s="1"/>
      <c r="I295" s="1"/>
      <c r="J295" s="1"/>
      <c r="M295" s="2"/>
      <c r="N295" s="2"/>
      <c r="O295" s="2"/>
      <c r="R295" s="2"/>
      <c r="S295" s="2"/>
      <c r="T295" s="2"/>
    </row>
    <row r="296" spans="2:20" ht="15.75" customHeight="1" x14ac:dyDescent="0.25">
      <c r="B296" s="1"/>
      <c r="F296" s="1"/>
      <c r="H296" s="1"/>
      <c r="I296" s="1"/>
      <c r="J296" s="1"/>
      <c r="M296" s="2"/>
      <c r="N296" s="2"/>
      <c r="O296" s="2"/>
      <c r="R296" s="2"/>
      <c r="S296" s="2"/>
      <c r="T296" s="2"/>
    </row>
    <row r="297" spans="2:20" ht="15.75" customHeight="1" x14ac:dyDescent="0.25">
      <c r="B297" s="1"/>
      <c r="F297" s="1"/>
      <c r="H297" s="1"/>
      <c r="I297" s="1"/>
      <c r="J297" s="1"/>
      <c r="M297" s="2"/>
      <c r="N297" s="2"/>
      <c r="O297" s="2"/>
      <c r="R297" s="2"/>
      <c r="S297" s="2"/>
      <c r="T297" s="2"/>
    </row>
    <row r="298" spans="2:20" ht="15.75" customHeight="1" x14ac:dyDescent="0.25">
      <c r="B298" s="1"/>
      <c r="F298" s="1"/>
      <c r="H298" s="1"/>
      <c r="I298" s="1"/>
      <c r="J298" s="1"/>
      <c r="M298" s="2"/>
      <c r="N298" s="2"/>
      <c r="O298" s="2"/>
      <c r="R298" s="2"/>
      <c r="S298" s="2"/>
      <c r="T298" s="2"/>
    </row>
    <row r="299" spans="2:20" ht="15.75" customHeight="1" x14ac:dyDescent="0.25">
      <c r="B299" s="1"/>
      <c r="F299" s="1"/>
      <c r="H299" s="1"/>
      <c r="I299" s="1"/>
      <c r="J299" s="1"/>
      <c r="M299" s="2"/>
      <c r="N299" s="2"/>
      <c r="O299" s="2"/>
      <c r="R299" s="2"/>
      <c r="S299" s="2"/>
      <c r="T299" s="2"/>
    </row>
    <row r="300" spans="2:20" ht="15.75" customHeight="1" x14ac:dyDescent="0.25">
      <c r="B300" s="1"/>
      <c r="F300" s="1"/>
      <c r="H300" s="1"/>
      <c r="I300" s="1"/>
      <c r="J300" s="1"/>
      <c r="M300" s="2"/>
      <c r="N300" s="2"/>
      <c r="O300" s="2"/>
      <c r="R300" s="2"/>
      <c r="S300" s="2"/>
      <c r="T300" s="2"/>
    </row>
    <row r="301" spans="2:20" ht="15.75" customHeight="1" x14ac:dyDescent="0.25">
      <c r="B301" s="1"/>
      <c r="F301" s="1"/>
      <c r="H301" s="1"/>
      <c r="I301" s="1"/>
      <c r="J301" s="1"/>
      <c r="M301" s="2"/>
      <c r="N301" s="2"/>
      <c r="O301" s="2"/>
      <c r="R301" s="2"/>
      <c r="S301" s="2"/>
      <c r="T301" s="2"/>
    </row>
    <row r="302" spans="2:20" ht="15.75" customHeight="1" x14ac:dyDescent="0.25">
      <c r="B302" s="1"/>
      <c r="F302" s="1"/>
      <c r="H302" s="1"/>
      <c r="I302" s="1"/>
      <c r="J302" s="1"/>
      <c r="M302" s="2"/>
      <c r="N302" s="2"/>
      <c r="O302" s="2"/>
      <c r="R302" s="2"/>
      <c r="S302" s="2"/>
      <c r="T302" s="2"/>
    </row>
    <row r="303" spans="2:20" ht="15.75" customHeight="1" x14ac:dyDescent="0.25">
      <c r="B303" s="1"/>
      <c r="F303" s="1"/>
      <c r="H303" s="1"/>
      <c r="I303" s="1"/>
      <c r="J303" s="1"/>
      <c r="M303" s="2"/>
      <c r="N303" s="2"/>
      <c r="O303" s="2"/>
      <c r="R303" s="2"/>
      <c r="S303" s="2"/>
      <c r="T303" s="2"/>
    </row>
    <row r="304" spans="2:20" ht="15.75" customHeight="1" x14ac:dyDescent="0.25">
      <c r="B304" s="1"/>
      <c r="F304" s="1"/>
      <c r="H304" s="1"/>
      <c r="I304" s="1"/>
      <c r="J304" s="1"/>
      <c r="M304" s="2"/>
      <c r="N304" s="2"/>
      <c r="O304" s="2"/>
      <c r="R304" s="2"/>
      <c r="S304" s="2"/>
      <c r="T304" s="2"/>
    </row>
    <row r="305" spans="2:20" ht="15.75" customHeight="1" x14ac:dyDescent="0.25">
      <c r="B305" s="1"/>
      <c r="F305" s="1"/>
      <c r="H305" s="1"/>
      <c r="I305" s="1"/>
      <c r="J305" s="1"/>
      <c r="M305" s="2"/>
      <c r="N305" s="2"/>
      <c r="O305" s="2"/>
      <c r="R305" s="2"/>
      <c r="S305" s="2"/>
      <c r="T305" s="2"/>
    </row>
    <row r="306" spans="2:20" ht="15.75" customHeight="1" x14ac:dyDescent="0.25">
      <c r="B306" s="1"/>
      <c r="F306" s="1"/>
      <c r="H306" s="1"/>
      <c r="I306" s="1"/>
      <c r="J306" s="1"/>
      <c r="M306" s="2"/>
      <c r="N306" s="2"/>
      <c r="O306" s="2"/>
      <c r="R306" s="2"/>
      <c r="S306" s="2"/>
      <c r="T306" s="2"/>
    </row>
    <row r="307" spans="2:20" ht="15.75" customHeight="1" x14ac:dyDescent="0.25">
      <c r="B307" s="1"/>
      <c r="F307" s="1"/>
      <c r="H307" s="1"/>
      <c r="I307" s="1"/>
      <c r="J307" s="1"/>
      <c r="M307" s="2"/>
      <c r="N307" s="2"/>
      <c r="O307" s="2"/>
      <c r="R307" s="2"/>
      <c r="S307" s="2"/>
      <c r="T307" s="2"/>
    </row>
    <row r="308" spans="2:20" ht="15.75" customHeight="1" x14ac:dyDescent="0.25">
      <c r="B308" s="1"/>
      <c r="F308" s="1"/>
      <c r="H308" s="1"/>
      <c r="I308" s="1"/>
      <c r="J308" s="1"/>
      <c r="M308" s="2"/>
      <c r="N308" s="2"/>
      <c r="O308" s="2"/>
      <c r="R308" s="2"/>
      <c r="S308" s="2"/>
      <c r="T308" s="2"/>
    </row>
    <row r="309" spans="2:20" ht="15.75" customHeight="1" x14ac:dyDescent="0.25">
      <c r="B309" s="1"/>
      <c r="F309" s="1"/>
      <c r="H309" s="1"/>
      <c r="I309" s="1"/>
      <c r="J309" s="1"/>
      <c r="M309" s="2"/>
      <c r="N309" s="2"/>
      <c r="O309" s="2"/>
      <c r="R309" s="2"/>
      <c r="S309" s="2"/>
      <c r="T309" s="2"/>
    </row>
    <row r="310" spans="2:20" ht="15.75" customHeight="1" x14ac:dyDescent="0.25">
      <c r="B310" s="1"/>
      <c r="F310" s="1"/>
      <c r="H310" s="1"/>
      <c r="I310" s="1"/>
      <c r="J310" s="1"/>
      <c r="M310" s="2"/>
      <c r="N310" s="2"/>
      <c r="O310" s="2"/>
      <c r="R310" s="2"/>
      <c r="S310" s="2"/>
      <c r="T310" s="2"/>
    </row>
    <row r="311" spans="2:20" ht="15.75" customHeight="1" x14ac:dyDescent="0.25">
      <c r="B311" s="1"/>
      <c r="F311" s="1"/>
      <c r="H311" s="1"/>
      <c r="I311" s="1"/>
      <c r="J311" s="1"/>
      <c r="M311" s="2"/>
      <c r="N311" s="2"/>
      <c r="O311" s="2"/>
      <c r="R311" s="2"/>
      <c r="S311" s="2"/>
      <c r="T311" s="2"/>
    </row>
    <row r="312" spans="2:20" ht="15.75" customHeight="1" x14ac:dyDescent="0.25">
      <c r="B312" s="1"/>
      <c r="F312" s="1"/>
      <c r="H312" s="1"/>
      <c r="I312" s="1"/>
      <c r="J312" s="1"/>
      <c r="M312" s="2"/>
      <c r="N312" s="2"/>
      <c r="O312" s="2"/>
      <c r="R312" s="2"/>
      <c r="S312" s="2"/>
      <c r="T312" s="2"/>
    </row>
    <row r="313" spans="2:20" ht="15.75" customHeight="1" x14ac:dyDescent="0.25">
      <c r="B313" s="1"/>
      <c r="F313" s="1"/>
      <c r="H313" s="1"/>
      <c r="I313" s="1"/>
      <c r="J313" s="1"/>
      <c r="M313" s="2"/>
      <c r="N313" s="2"/>
      <c r="O313" s="2"/>
      <c r="R313" s="2"/>
      <c r="S313" s="2"/>
      <c r="T313" s="2"/>
    </row>
    <row r="314" spans="2:20" ht="15.75" customHeight="1" x14ac:dyDescent="0.25">
      <c r="B314" s="1"/>
      <c r="F314" s="1"/>
      <c r="H314" s="1"/>
      <c r="I314" s="1"/>
      <c r="J314" s="1"/>
      <c r="M314" s="2"/>
      <c r="N314" s="2"/>
      <c r="O314" s="2"/>
      <c r="R314" s="2"/>
      <c r="S314" s="2"/>
      <c r="T314" s="2"/>
    </row>
    <row r="315" spans="2:20" ht="15.75" customHeight="1" x14ac:dyDescent="0.25">
      <c r="B315" s="1"/>
      <c r="F315" s="1"/>
      <c r="H315" s="1"/>
      <c r="I315" s="1"/>
      <c r="J315" s="1"/>
      <c r="M315" s="2"/>
      <c r="N315" s="2"/>
      <c r="O315" s="2"/>
      <c r="R315" s="2"/>
      <c r="S315" s="2"/>
      <c r="T315" s="2"/>
    </row>
    <row r="316" spans="2:20" ht="15.75" customHeight="1" x14ac:dyDescent="0.25">
      <c r="B316" s="1"/>
      <c r="F316" s="1"/>
      <c r="H316" s="1"/>
      <c r="I316" s="1"/>
      <c r="J316" s="1"/>
      <c r="M316" s="2"/>
      <c r="N316" s="2"/>
      <c r="O316" s="2"/>
      <c r="R316" s="2"/>
      <c r="S316" s="2"/>
      <c r="T316" s="2"/>
    </row>
    <row r="317" spans="2:20" ht="15.75" customHeight="1" x14ac:dyDescent="0.25">
      <c r="B317" s="1"/>
      <c r="F317" s="1"/>
      <c r="H317" s="1"/>
      <c r="I317" s="1"/>
      <c r="J317" s="1"/>
      <c r="M317" s="2"/>
      <c r="N317" s="2"/>
      <c r="O317" s="2"/>
      <c r="R317" s="2"/>
      <c r="S317" s="2"/>
      <c r="T317" s="2"/>
    </row>
    <row r="318" spans="2:20" ht="15.75" customHeight="1" x14ac:dyDescent="0.25">
      <c r="B318" s="1"/>
      <c r="F318" s="1"/>
      <c r="H318" s="1"/>
      <c r="I318" s="1"/>
      <c r="J318" s="1"/>
      <c r="M318" s="2"/>
      <c r="N318" s="2"/>
      <c r="O318" s="2"/>
      <c r="R318" s="2"/>
      <c r="S318" s="2"/>
      <c r="T318" s="2"/>
    </row>
    <row r="319" spans="2:20" ht="15.75" customHeight="1" x14ac:dyDescent="0.25">
      <c r="B319" s="1"/>
      <c r="F319" s="1"/>
      <c r="H319" s="1"/>
      <c r="I319" s="1"/>
      <c r="J319" s="1"/>
      <c r="M319" s="2"/>
      <c r="N319" s="2"/>
      <c r="O319" s="2"/>
      <c r="R319" s="2"/>
      <c r="S319" s="2"/>
      <c r="T319" s="2"/>
    </row>
    <row r="320" spans="2:20" ht="15.75" customHeight="1" x14ac:dyDescent="0.25">
      <c r="B320" s="1"/>
      <c r="F320" s="1"/>
      <c r="H320" s="1"/>
      <c r="I320" s="1"/>
      <c r="J320" s="1"/>
      <c r="M320" s="2"/>
      <c r="N320" s="2"/>
      <c r="O320" s="2"/>
      <c r="R320" s="2"/>
      <c r="S320" s="2"/>
      <c r="T320" s="2"/>
    </row>
    <row r="321" spans="2:20" ht="15.75" customHeight="1" x14ac:dyDescent="0.25">
      <c r="B321" s="1"/>
      <c r="F321" s="1"/>
      <c r="H321" s="1"/>
      <c r="I321" s="1"/>
      <c r="J321" s="1"/>
      <c r="M321" s="2"/>
      <c r="N321" s="2"/>
      <c r="O321" s="2"/>
      <c r="R321" s="2"/>
      <c r="S321" s="2"/>
      <c r="T321" s="2"/>
    </row>
    <row r="322" spans="2:20" ht="15.75" customHeight="1" x14ac:dyDescent="0.25">
      <c r="B322" s="1"/>
      <c r="F322" s="1"/>
      <c r="H322" s="1"/>
      <c r="I322" s="1"/>
      <c r="J322" s="1"/>
      <c r="M322" s="2"/>
      <c r="N322" s="2"/>
      <c r="O322" s="2"/>
      <c r="R322" s="2"/>
      <c r="S322" s="2"/>
      <c r="T322" s="2"/>
    </row>
    <row r="323" spans="2:20" ht="15.75" customHeight="1" x14ac:dyDescent="0.25">
      <c r="B323" s="1"/>
      <c r="F323" s="1"/>
      <c r="H323" s="1"/>
      <c r="I323" s="1"/>
      <c r="J323" s="1"/>
      <c r="M323" s="2"/>
      <c r="N323" s="2"/>
      <c r="O323" s="2"/>
      <c r="R323" s="2"/>
      <c r="S323" s="2"/>
      <c r="T323" s="2"/>
    </row>
    <row r="324" spans="2:20" ht="15.75" customHeight="1" x14ac:dyDescent="0.25">
      <c r="B324" s="1"/>
      <c r="F324" s="1"/>
      <c r="H324" s="1"/>
      <c r="I324" s="1"/>
      <c r="J324" s="1"/>
      <c r="M324" s="2"/>
      <c r="N324" s="2"/>
      <c r="O324" s="2"/>
      <c r="R324" s="2"/>
      <c r="S324" s="2"/>
      <c r="T324" s="2"/>
    </row>
    <row r="325" spans="2:20" ht="15.75" customHeight="1" x14ac:dyDescent="0.25">
      <c r="B325" s="1"/>
      <c r="F325" s="1"/>
      <c r="H325" s="1"/>
      <c r="I325" s="1"/>
      <c r="J325" s="1"/>
      <c r="M325" s="2"/>
      <c r="N325" s="2"/>
      <c r="O325" s="2"/>
      <c r="R325" s="2"/>
      <c r="S325" s="2"/>
      <c r="T325" s="2"/>
    </row>
    <row r="326" spans="2:20" ht="15.75" customHeight="1" x14ac:dyDescent="0.25">
      <c r="B326" s="1"/>
      <c r="F326" s="1"/>
      <c r="H326" s="1"/>
      <c r="I326" s="1"/>
      <c r="J326" s="1"/>
      <c r="M326" s="2"/>
      <c r="N326" s="2"/>
      <c r="O326" s="2"/>
      <c r="R326" s="2"/>
      <c r="S326" s="2"/>
      <c r="T326" s="2"/>
    </row>
    <row r="327" spans="2:20" ht="15.75" customHeight="1" x14ac:dyDescent="0.25">
      <c r="B327" s="1"/>
      <c r="F327" s="1"/>
      <c r="H327" s="1"/>
      <c r="I327" s="1"/>
      <c r="J327" s="1"/>
      <c r="M327" s="2"/>
      <c r="N327" s="2"/>
      <c r="O327" s="2"/>
      <c r="R327" s="2"/>
      <c r="S327" s="2"/>
      <c r="T327" s="2"/>
    </row>
    <row r="328" spans="2:20" ht="15.75" customHeight="1" x14ac:dyDescent="0.25">
      <c r="B328" s="1"/>
      <c r="F328" s="1"/>
      <c r="H328" s="1"/>
      <c r="I328" s="1"/>
      <c r="J328" s="1"/>
      <c r="M328" s="2"/>
      <c r="N328" s="2"/>
      <c r="O328" s="2"/>
      <c r="R328" s="2"/>
      <c r="S328" s="2"/>
      <c r="T328" s="2"/>
    </row>
    <row r="329" spans="2:20" ht="15.75" customHeight="1" x14ac:dyDescent="0.25">
      <c r="B329" s="1"/>
      <c r="F329" s="1"/>
      <c r="H329" s="1"/>
      <c r="I329" s="1"/>
      <c r="J329" s="1"/>
      <c r="M329" s="2"/>
      <c r="N329" s="2"/>
      <c r="O329" s="2"/>
      <c r="R329" s="2"/>
      <c r="S329" s="2"/>
      <c r="T329" s="2"/>
    </row>
    <row r="330" spans="2:20" ht="15.75" customHeight="1" x14ac:dyDescent="0.25">
      <c r="B330" s="1"/>
      <c r="F330" s="1"/>
      <c r="H330" s="1"/>
      <c r="I330" s="1"/>
      <c r="J330" s="1"/>
      <c r="M330" s="2"/>
      <c r="N330" s="2"/>
      <c r="O330" s="2"/>
      <c r="R330" s="2"/>
      <c r="S330" s="2"/>
      <c r="T330" s="2"/>
    </row>
    <row r="331" spans="2:20" ht="15.75" customHeight="1" x14ac:dyDescent="0.25">
      <c r="B331" s="1"/>
      <c r="F331" s="1"/>
      <c r="H331" s="1"/>
      <c r="I331" s="1"/>
      <c r="J331" s="1"/>
      <c r="M331" s="2"/>
      <c r="N331" s="2"/>
      <c r="O331" s="2"/>
      <c r="R331" s="2"/>
      <c r="S331" s="2"/>
      <c r="T331" s="2"/>
    </row>
    <row r="332" spans="2:20" ht="15.75" customHeight="1" x14ac:dyDescent="0.25">
      <c r="B332" s="1"/>
      <c r="F332" s="1"/>
      <c r="H332" s="1"/>
      <c r="I332" s="1"/>
      <c r="J332" s="1"/>
      <c r="M332" s="2"/>
      <c r="N332" s="2"/>
      <c r="O332" s="2"/>
      <c r="R332" s="2"/>
      <c r="S332" s="2"/>
      <c r="T332" s="2"/>
    </row>
    <row r="333" spans="2:20" ht="15.75" customHeight="1" x14ac:dyDescent="0.25">
      <c r="B333" s="1"/>
      <c r="F333" s="1"/>
      <c r="H333" s="1"/>
      <c r="I333" s="1"/>
      <c r="J333" s="1"/>
      <c r="M333" s="2"/>
      <c r="N333" s="2"/>
      <c r="O333" s="2"/>
      <c r="R333" s="2"/>
      <c r="S333" s="2"/>
      <c r="T333" s="2"/>
    </row>
    <row r="334" spans="2:20" ht="15.75" customHeight="1" x14ac:dyDescent="0.25">
      <c r="B334" s="1"/>
      <c r="F334" s="1"/>
      <c r="H334" s="1"/>
      <c r="I334" s="1"/>
      <c r="J334" s="1"/>
      <c r="M334" s="2"/>
      <c r="N334" s="2"/>
      <c r="O334" s="2"/>
      <c r="R334" s="2"/>
      <c r="S334" s="2"/>
      <c r="T334" s="2"/>
    </row>
    <row r="335" spans="2:20" ht="15.75" customHeight="1" x14ac:dyDescent="0.25">
      <c r="B335" s="1"/>
      <c r="F335" s="1"/>
      <c r="H335" s="1"/>
      <c r="I335" s="1"/>
      <c r="J335" s="1"/>
      <c r="M335" s="2"/>
      <c r="N335" s="2"/>
      <c r="O335" s="2"/>
      <c r="R335" s="2"/>
      <c r="S335" s="2"/>
      <c r="T335" s="2"/>
    </row>
    <row r="336" spans="2:20" ht="15.75" customHeight="1" x14ac:dyDescent="0.25">
      <c r="B336" s="1"/>
      <c r="F336" s="1"/>
      <c r="H336" s="1"/>
      <c r="I336" s="1"/>
      <c r="J336" s="1"/>
      <c r="M336" s="2"/>
      <c r="N336" s="2"/>
      <c r="O336" s="2"/>
      <c r="R336" s="2"/>
      <c r="S336" s="2"/>
      <c r="T336" s="2"/>
    </row>
    <row r="337" spans="2:20" ht="15.75" customHeight="1" x14ac:dyDescent="0.25">
      <c r="B337" s="1"/>
      <c r="F337" s="1"/>
      <c r="H337" s="1"/>
      <c r="I337" s="1"/>
      <c r="J337" s="1"/>
      <c r="M337" s="2"/>
      <c r="N337" s="2"/>
      <c r="O337" s="2"/>
      <c r="R337" s="2"/>
      <c r="S337" s="2"/>
      <c r="T337" s="2"/>
    </row>
    <row r="338" spans="2:20" ht="15.75" customHeight="1" x14ac:dyDescent="0.25">
      <c r="B338" s="1"/>
      <c r="F338" s="1"/>
      <c r="H338" s="1"/>
      <c r="I338" s="1"/>
      <c r="J338" s="1"/>
      <c r="M338" s="2"/>
      <c r="N338" s="2"/>
      <c r="O338" s="2"/>
      <c r="R338" s="2"/>
      <c r="S338" s="2"/>
      <c r="T338" s="2"/>
    </row>
    <row r="339" spans="2:20" ht="15.75" customHeight="1" x14ac:dyDescent="0.25">
      <c r="B339" s="1"/>
      <c r="F339" s="1"/>
      <c r="H339" s="1"/>
      <c r="I339" s="1"/>
      <c r="J339" s="1"/>
      <c r="M339" s="2"/>
      <c r="N339" s="2"/>
      <c r="O339" s="2"/>
      <c r="R339" s="2"/>
      <c r="S339" s="2"/>
      <c r="T339" s="2"/>
    </row>
    <row r="340" spans="2:20" ht="15.75" customHeight="1" x14ac:dyDescent="0.25">
      <c r="B340" s="1"/>
      <c r="F340" s="1"/>
      <c r="H340" s="1"/>
      <c r="I340" s="1"/>
      <c r="J340" s="1"/>
      <c r="M340" s="2"/>
      <c r="N340" s="2"/>
      <c r="O340" s="2"/>
      <c r="R340" s="2"/>
      <c r="S340" s="2"/>
      <c r="T340" s="2"/>
    </row>
    <row r="341" spans="2:20" ht="15.75" customHeight="1" x14ac:dyDescent="0.25">
      <c r="B341" s="1"/>
      <c r="F341" s="1"/>
      <c r="H341" s="1"/>
      <c r="I341" s="1"/>
      <c r="J341" s="1"/>
      <c r="M341" s="2"/>
      <c r="N341" s="2"/>
      <c r="O341" s="2"/>
      <c r="R341" s="2"/>
      <c r="S341" s="2"/>
      <c r="T341" s="2"/>
    </row>
    <row r="342" spans="2:20" ht="15.75" customHeight="1" x14ac:dyDescent="0.25">
      <c r="B342" s="1"/>
      <c r="F342" s="1"/>
      <c r="H342" s="1"/>
      <c r="I342" s="1"/>
      <c r="J342" s="1"/>
      <c r="M342" s="2"/>
      <c r="N342" s="2"/>
      <c r="O342" s="2"/>
      <c r="R342" s="2"/>
      <c r="S342" s="2"/>
      <c r="T342" s="2"/>
    </row>
    <row r="343" spans="2:20" ht="15.75" customHeight="1" x14ac:dyDescent="0.25">
      <c r="B343" s="1"/>
      <c r="F343" s="1"/>
      <c r="H343" s="1"/>
      <c r="I343" s="1"/>
      <c r="J343" s="1"/>
      <c r="M343" s="2"/>
      <c r="N343" s="2"/>
      <c r="O343" s="2"/>
      <c r="R343" s="2"/>
      <c r="S343" s="2"/>
      <c r="T343" s="2"/>
    </row>
    <row r="344" spans="2:20" ht="15.75" customHeight="1" x14ac:dyDescent="0.25">
      <c r="B344" s="1"/>
      <c r="F344" s="1"/>
      <c r="H344" s="1"/>
      <c r="I344" s="1"/>
      <c r="J344" s="1"/>
      <c r="M344" s="2"/>
      <c r="N344" s="2"/>
      <c r="O344" s="2"/>
      <c r="R344" s="2"/>
      <c r="S344" s="2"/>
      <c r="T344" s="2"/>
    </row>
    <row r="345" spans="2:20" ht="15.75" customHeight="1" x14ac:dyDescent="0.25">
      <c r="B345" s="1"/>
      <c r="F345" s="1"/>
      <c r="H345" s="1"/>
      <c r="I345" s="1"/>
      <c r="J345" s="1"/>
      <c r="M345" s="2"/>
      <c r="N345" s="2"/>
      <c r="O345" s="2"/>
      <c r="R345" s="2"/>
      <c r="S345" s="2"/>
      <c r="T345" s="2"/>
    </row>
    <row r="346" spans="2:20" ht="15.75" customHeight="1" x14ac:dyDescent="0.25">
      <c r="B346" s="1"/>
      <c r="F346" s="1"/>
      <c r="H346" s="1"/>
      <c r="I346" s="1"/>
      <c r="J346" s="1"/>
      <c r="M346" s="2"/>
      <c r="N346" s="2"/>
      <c r="O346" s="2"/>
      <c r="R346" s="2"/>
      <c r="S346" s="2"/>
      <c r="T346" s="2"/>
    </row>
    <row r="347" spans="2:20" ht="15.75" customHeight="1" x14ac:dyDescent="0.25">
      <c r="B347" s="1"/>
      <c r="F347" s="1"/>
      <c r="H347" s="1"/>
      <c r="I347" s="1"/>
      <c r="J347" s="1"/>
      <c r="M347" s="2"/>
      <c r="N347" s="2"/>
      <c r="O347" s="2"/>
      <c r="R347" s="2"/>
      <c r="S347" s="2"/>
      <c r="T347" s="2"/>
    </row>
    <row r="348" spans="2:20" ht="15.75" customHeight="1" x14ac:dyDescent="0.25">
      <c r="B348" s="1"/>
      <c r="F348" s="1"/>
      <c r="H348" s="1"/>
      <c r="I348" s="1"/>
      <c r="J348" s="1"/>
      <c r="M348" s="2"/>
      <c r="N348" s="2"/>
      <c r="O348" s="2"/>
      <c r="R348" s="2"/>
      <c r="S348" s="2"/>
      <c r="T348" s="2"/>
    </row>
    <row r="349" spans="2:20" ht="15.75" customHeight="1" x14ac:dyDescent="0.25">
      <c r="B349" s="1"/>
      <c r="F349" s="1"/>
      <c r="H349" s="1"/>
      <c r="I349" s="1"/>
      <c r="J349" s="1"/>
      <c r="M349" s="2"/>
      <c r="N349" s="2"/>
      <c r="O349" s="2"/>
      <c r="R349" s="2"/>
      <c r="S349" s="2"/>
      <c r="T349" s="2"/>
    </row>
    <row r="350" spans="2:20" ht="15.75" customHeight="1" x14ac:dyDescent="0.25">
      <c r="B350" s="1"/>
      <c r="F350" s="1"/>
      <c r="H350" s="1"/>
      <c r="I350" s="1"/>
      <c r="J350" s="1"/>
      <c r="M350" s="2"/>
      <c r="N350" s="2"/>
      <c r="O350" s="2"/>
      <c r="R350" s="2"/>
      <c r="S350" s="2"/>
      <c r="T350" s="2"/>
    </row>
    <row r="351" spans="2:20" ht="15.75" customHeight="1" x14ac:dyDescent="0.25">
      <c r="B351" s="1"/>
      <c r="F351" s="1"/>
      <c r="H351" s="1"/>
      <c r="I351" s="1"/>
      <c r="J351" s="1"/>
      <c r="M351" s="2"/>
      <c r="N351" s="2"/>
      <c r="O351" s="2"/>
      <c r="R351" s="2"/>
      <c r="S351" s="2"/>
      <c r="T351" s="2"/>
    </row>
    <row r="352" spans="2:20" ht="15.75" customHeight="1" x14ac:dyDescent="0.25">
      <c r="B352" s="1"/>
      <c r="F352" s="1"/>
      <c r="H352" s="1"/>
      <c r="I352" s="1"/>
      <c r="J352" s="1"/>
      <c r="M352" s="2"/>
      <c r="N352" s="2"/>
      <c r="O352" s="2"/>
      <c r="R352" s="2"/>
      <c r="S352" s="2"/>
      <c r="T352" s="2"/>
    </row>
    <row r="353" spans="2:20" ht="15.75" customHeight="1" x14ac:dyDescent="0.25">
      <c r="B353" s="1"/>
      <c r="F353" s="1"/>
      <c r="H353" s="1"/>
      <c r="I353" s="1"/>
      <c r="J353" s="1"/>
      <c r="M353" s="2"/>
      <c r="N353" s="2"/>
      <c r="O353" s="2"/>
      <c r="R353" s="2"/>
      <c r="S353" s="2"/>
      <c r="T353" s="2"/>
    </row>
    <row r="354" spans="2:20" ht="15.75" customHeight="1" x14ac:dyDescent="0.25">
      <c r="B354" s="1"/>
      <c r="F354" s="1"/>
      <c r="H354" s="1"/>
      <c r="I354" s="1"/>
      <c r="J354" s="1"/>
      <c r="M354" s="2"/>
      <c r="N354" s="2"/>
      <c r="O354" s="2"/>
      <c r="R354" s="2"/>
      <c r="S354" s="2"/>
      <c r="T354" s="2"/>
    </row>
    <row r="355" spans="2:20" ht="15.75" customHeight="1" x14ac:dyDescent="0.25">
      <c r="B355" s="1"/>
      <c r="F355" s="1"/>
      <c r="H355" s="1"/>
      <c r="I355" s="1"/>
      <c r="J355" s="1"/>
      <c r="M355" s="2"/>
      <c r="N355" s="2"/>
      <c r="O355" s="2"/>
      <c r="R355" s="2"/>
      <c r="S355" s="2"/>
      <c r="T355" s="2"/>
    </row>
    <row r="356" spans="2:20" ht="15.75" customHeight="1" x14ac:dyDescent="0.25">
      <c r="B356" s="1"/>
      <c r="F356" s="1"/>
      <c r="H356" s="1"/>
      <c r="I356" s="1"/>
      <c r="J356" s="1"/>
      <c r="M356" s="2"/>
      <c r="N356" s="2"/>
      <c r="O356" s="2"/>
      <c r="R356" s="2"/>
      <c r="S356" s="2"/>
      <c r="T356" s="2"/>
    </row>
    <row r="357" spans="2:20" ht="15.75" customHeight="1" x14ac:dyDescent="0.25">
      <c r="B357" s="1"/>
      <c r="F357" s="1"/>
      <c r="H357" s="1"/>
      <c r="I357" s="1"/>
      <c r="J357" s="1"/>
      <c r="M357" s="2"/>
      <c r="N357" s="2"/>
      <c r="O357" s="2"/>
      <c r="R357" s="2"/>
      <c r="S357" s="2"/>
      <c r="T357" s="2"/>
    </row>
    <row r="358" spans="2:20" ht="15.75" customHeight="1" x14ac:dyDescent="0.25">
      <c r="B358" s="1"/>
      <c r="F358" s="1"/>
      <c r="H358" s="1"/>
      <c r="I358" s="1"/>
      <c r="J358" s="1"/>
      <c r="M358" s="2"/>
      <c r="N358" s="2"/>
      <c r="O358" s="2"/>
      <c r="R358" s="2"/>
      <c r="S358" s="2"/>
      <c r="T358" s="2"/>
    </row>
    <row r="359" spans="2:20" ht="15.75" customHeight="1" x14ac:dyDescent="0.25">
      <c r="B359" s="1"/>
      <c r="F359" s="1"/>
      <c r="H359" s="1"/>
      <c r="I359" s="1"/>
      <c r="J359" s="1"/>
      <c r="M359" s="2"/>
      <c r="N359" s="2"/>
      <c r="O359" s="2"/>
      <c r="R359" s="2"/>
      <c r="S359" s="2"/>
      <c r="T359" s="2"/>
    </row>
    <row r="360" spans="2:20" ht="15.75" customHeight="1" x14ac:dyDescent="0.25">
      <c r="B360" s="1"/>
      <c r="F360" s="1"/>
      <c r="H360" s="1"/>
      <c r="I360" s="1"/>
      <c r="J360" s="1"/>
      <c r="M360" s="2"/>
      <c r="N360" s="2"/>
      <c r="O360" s="2"/>
      <c r="R360" s="2"/>
      <c r="S360" s="2"/>
      <c r="T360" s="2"/>
    </row>
    <row r="361" spans="2:20" ht="15.75" customHeight="1" x14ac:dyDescent="0.25">
      <c r="B361" s="1"/>
      <c r="F361" s="1"/>
      <c r="H361" s="1"/>
      <c r="I361" s="1"/>
      <c r="J361" s="1"/>
      <c r="M361" s="2"/>
      <c r="N361" s="2"/>
      <c r="O361" s="2"/>
      <c r="R361" s="2"/>
      <c r="S361" s="2"/>
      <c r="T361" s="2"/>
    </row>
    <row r="362" spans="2:20" ht="15.75" customHeight="1" x14ac:dyDescent="0.25">
      <c r="B362" s="1"/>
      <c r="F362" s="1"/>
      <c r="H362" s="1"/>
      <c r="I362" s="1"/>
      <c r="J362" s="1"/>
      <c r="M362" s="2"/>
      <c r="N362" s="2"/>
      <c r="O362" s="2"/>
      <c r="R362" s="2"/>
      <c r="S362" s="2"/>
      <c r="T362" s="2"/>
    </row>
    <row r="363" spans="2:20" ht="15.75" customHeight="1" x14ac:dyDescent="0.25">
      <c r="B363" s="1"/>
      <c r="F363" s="1"/>
      <c r="H363" s="1"/>
      <c r="I363" s="1"/>
      <c r="J363" s="1"/>
      <c r="M363" s="2"/>
      <c r="N363" s="2"/>
      <c r="O363" s="2"/>
      <c r="R363" s="2"/>
      <c r="S363" s="2"/>
      <c r="T363" s="2"/>
    </row>
    <row r="364" spans="2:20" ht="15.75" customHeight="1" x14ac:dyDescent="0.25">
      <c r="B364" s="1"/>
      <c r="F364" s="1"/>
      <c r="H364" s="1"/>
      <c r="I364" s="1"/>
      <c r="J364" s="1"/>
      <c r="M364" s="2"/>
      <c r="N364" s="2"/>
      <c r="O364" s="2"/>
      <c r="R364" s="2"/>
      <c r="S364" s="2"/>
      <c r="T364" s="2"/>
    </row>
    <row r="365" spans="2:20" ht="15.75" customHeight="1" x14ac:dyDescent="0.25">
      <c r="B365" s="1"/>
      <c r="F365" s="1"/>
      <c r="H365" s="1"/>
      <c r="I365" s="1"/>
      <c r="J365" s="1"/>
      <c r="M365" s="2"/>
      <c r="N365" s="2"/>
      <c r="O365" s="2"/>
      <c r="R365" s="2"/>
      <c r="S365" s="2"/>
      <c r="T365" s="2"/>
    </row>
    <row r="366" spans="2:20" ht="15.75" customHeight="1" x14ac:dyDescent="0.25">
      <c r="B366" s="1"/>
      <c r="F366" s="1"/>
      <c r="H366" s="1"/>
      <c r="I366" s="1"/>
      <c r="J366" s="1"/>
      <c r="M366" s="2"/>
      <c r="N366" s="2"/>
      <c r="O366" s="2"/>
      <c r="R366" s="2"/>
      <c r="S366" s="2"/>
      <c r="T366" s="2"/>
    </row>
    <row r="367" spans="2:20" ht="15.75" customHeight="1" x14ac:dyDescent="0.25">
      <c r="B367" s="1"/>
      <c r="F367" s="1"/>
      <c r="H367" s="1"/>
      <c r="I367" s="1"/>
      <c r="J367" s="1"/>
      <c r="M367" s="2"/>
      <c r="N367" s="2"/>
      <c r="O367" s="2"/>
      <c r="R367" s="2"/>
      <c r="S367" s="2"/>
      <c r="T367" s="2"/>
    </row>
    <row r="368" spans="2:20" ht="15.75" customHeight="1" x14ac:dyDescent="0.25">
      <c r="B368" s="1"/>
      <c r="F368" s="1"/>
      <c r="H368" s="1"/>
      <c r="I368" s="1"/>
      <c r="J368" s="1"/>
      <c r="M368" s="2"/>
      <c r="N368" s="2"/>
      <c r="O368" s="2"/>
      <c r="R368" s="2"/>
      <c r="S368" s="2"/>
      <c r="T368" s="2"/>
    </row>
    <row r="369" spans="2:20" ht="15.75" customHeight="1" x14ac:dyDescent="0.25">
      <c r="B369" s="1"/>
      <c r="F369" s="1"/>
      <c r="H369" s="1"/>
      <c r="I369" s="1"/>
      <c r="J369" s="1"/>
      <c r="M369" s="2"/>
      <c r="N369" s="2"/>
      <c r="O369" s="2"/>
      <c r="R369" s="2"/>
      <c r="S369" s="2"/>
      <c r="T369" s="2"/>
    </row>
    <row r="370" spans="2:20" ht="15.75" customHeight="1" x14ac:dyDescent="0.25">
      <c r="B370" s="1"/>
      <c r="F370" s="1"/>
      <c r="H370" s="1"/>
      <c r="I370" s="1"/>
      <c r="J370" s="1"/>
      <c r="M370" s="2"/>
      <c r="N370" s="2"/>
      <c r="O370" s="2"/>
      <c r="R370" s="2"/>
      <c r="S370" s="2"/>
      <c r="T370" s="2"/>
    </row>
    <row r="371" spans="2:20" ht="15.75" customHeight="1" x14ac:dyDescent="0.25">
      <c r="B371" s="1"/>
      <c r="F371" s="1"/>
      <c r="H371" s="1"/>
      <c r="I371" s="1"/>
      <c r="J371" s="1"/>
      <c r="M371" s="2"/>
      <c r="N371" s="2"/>
      <c r="O371" s="2"/>
      <c r="R371" s="2"/>
      <c r="S371" s="2"/>
      <c r="T371" s="2"/>
    </row>
    <row r="372" spans="2:20" ht="15.75" customHeight="1" x14ac:dyDescent="0.25">
      <c r="B372" s="1"/>
      <c r="F372" s="1"/>
      <c r="H372" s="1"/>
      <c r="I372" s="1"/>
      <c r="J372" s="1"/>
      <c r="M372" s="2"/>
      <c r="N372" s="2"/>
      <c r="O372" s="2"/>
      <c r="R372" s="2"/>
      <c r="S372" s="2"/>
      <c r="T372" s="2"/>
    </row>
    <row r="373" spans="2:20" ht="15.75" customHeight="1" x14ac:dyDescent="0.25">
      <c r="B373" s="1"/>
      <c r="F373" s="1"/>
      <c r="H373" s="1"/>
      <c r="I373" s="1"/>
      <c r="J373" s="1"/>
      <c r="M373" s="2"/>
      <c r="N373" s="2"/>
      <c r="O373" s="2"/>
      <c r="R373" s="2"/>
      <c r="S373" s="2"/>
      <c r="T373" s="2"/>
    </row>
    <row r="374" spans="2:20" ht="15.75" customHeight="1" x14ac:dyDescent="0.25">
      <c r="B374" s="1"/>
      <c r="F374" s="1"/>
      <c r="H374" s="1"/>
      <c r="I374" s="1"/>
      <c r="J374" s="1"/>
      <c r="M374" s="2"/>
      <c r="N374" s="2"/>
      <c r="O374" s="2"/>
      <c r="R374" s="2"/>
      <c r="S374" s="2"/>
      <c r="T374" s="2"/>
    </row>
    <row r="375" spans="2:20" ht="15.75" customHeight="1" x14ac:dyDescent="0.25">
      <c r="B375" s="1"/>
      <c r="F375" s="1"/>
      <c r="H375" s="1"/>
      <c r="I375" s="1"/>
      <c r="J375" s="1"/>
      <c r="M375" s="2"/>
      <c r="N375" s="2"/>
      <c r="O375" s="2"/>
      <c r="R375" s="2"/>
      <c r="S375" s="2"/>
      <c r="T375" s="2"/>
    </row>
    <row r="376" spans="2:20" ht="15.75" customHeight="1" x14ac:dyDescent="0.25">
      <c r="B376" s="1"/>
      <c r="F376" s="1"/>
      <c r="H376" s="1"/>
      <c r="I376" s="1"/>
      <c r="J376" s="1"/>
      <c r="M376" s="2"/>
      <c r="N376" s="2"/>
      <c r="O376" s="2"/>
      <c r="R376" s="2"/>
      <c r="S376" s="2"/>
      <c r="T376" s="2"/>
    </row>
    <row r="377" spans="2:20" ht="15.75" customHeight="1" x14ac:dyDescent="0.25">
      <c r="B377" s="1"/>
      <c r="F377" s="1"/>
      <c r="H377" s="1"/>
      <c r="I377" s="1"/>
      <c r="J377" s="1"/>
      <c r="M377" s="2"/>
      <c r="N377" s="2"/>
      <c r="O377" s="2"/>
      <c r="R377" s="2"/>
      <c r="S377" s="2"/>
      <c r="T377" s="2"/>
    </row>
    <row r="378" spans="2:20" ht="15.75" customHeight="1" x14ac:dyDescent="0.25">
      <c r="B378" s="1"/>
      <c r="F378" s="1"/>
      <c r="H378" s="1"/>
      <c r="I378" s="1"/>
      <c r="J378" s="1"/>
      <c r="M378" s="2"/>
      <c r="N378" s="2"/>
      <c r="O378" s="2"/>
      <c r="R378" s="2"/>
      <c r="S378" s="2"/>
      <c r="T378" s="2"/>
    </row>
    <row r="379" spans="2:20" ht="15.75" customHeight="1" x14ac:dyDescent="0.25">
      <c r="B379" s="1"/>
      <c r="F379" s="1"/>
      <c r="H379" s="1"/>
      <c r="I379" s="1"/>
      <c r="J379" s="1"/>
      <c r="M379" s="2"/>
      <c r="N379" s="2"/>
      <c r="O379" s="2"/>
      <c r="R379" s="2"/>
      <c r="S379" s="2"/>
      <c r="T379" s="2"/>
    </row>
    <row r="380" spans="2:20" ht="15.75" customHeight="1" x14ac:dyDescent="0.25">
      <c r="B380" s="1"/>
      <c r="F380" s="1"/>
      <c r="H380" s="1"/>
      <c r="I380" s="1"/>
      <c r="J380" s="1"/>
      <c r="M380" s="2"/>
      <c r="N380" s="2"/>
      <c r="O380" s="2"/>
      <c r="R380" s="2"/>
      <c r="S380" s="2"/>
      <c r="T380" s="2"/>
    </row>
    <row r="381" spans="2:20" ht="15.75" customHeight="1" x14ac:dyDescent="0.25">
      <c r="B381" s="1"/>
      <c r="F381" s="1"/>
      <c r="H381" s="1"/>
      <c r="I381" s="1"/>
      <c r="J381" s="1"/>
      <c r="M381" s="2"/>
      <c r="N381" s="2"/>
      <c r="O381" s="2"/>
      <c r="R381" s="2"/>
      <c r="S381" s="2"/>
      <c r="T381" s="2"/>
    </row>
    <row r="382" spans="2:20" ht="15.75" customHeight="1" x14ac:dyDescent="0.25">
      <c r="B382" s="1"/>
      <c r="F382" s="1"/>
      <c r="H382" s="1"/>
      <c r="I382" s="1"/>
      <c r="J382" s="1"/>
      <c r="M382" s="2"/>
      <c r="N382" s="2"/>
      <c r="O382" s="2"/>
      <c r="R382" s="2"/>
      <c r="S382" s="2"/>
      <c r="T382" s="2"/>
    </row>
    <row r="383" spans="2:20" ht="15.75" customHeight="1" x14ac:dyDescent="0.25">
      <c r="B383" s="1"/>
      <c r="F383" s="1"/>
      <c r="H383" s="1"/>
      <c r="I383" s="1"/>
      <c r="J383" s="1"/>
      <c r="M383" s="2"/>
      <c r="N383" s="2"/>
      <c r="O383" s="2"/>
      <c r="R383" s="2"/>
      <c r="S383" s="2"/>
      <c r="T383" s="2"/>
    </row>
    <row r="384" spans="2:20" ht="15.75" customHeight="1" x14ac:dyDescent="0.25">
      <c r="B384" s="1"/>
      <c r="F384" s="1"/>
      <c r="H384" s="1"/>
      <c r="I384" s="1"/>
      <c r="J384" s="1"/>
      <c r="M384" s="2"/>
      <c r="N384" s="2"/>
      <c r="O384" s="2"/>
      <c r="R384" s="2"/>
      <c r="S384" s="2"/>
      <c r="T384" s="2"/>
    </row>
    <row r="385" spans="2:20" ht="15.75" customHeight="1" x14ac:dyDescent="0.25">
      <c r="B385" s="1"/>
      <c r="F385" s="1"/>
      <c r="H385" s="1"/>
      <c r="I385" s="1"/>
      <c r="J385" s="1"/>
      <c r="M385" s="2"/>
      <c r="N385" s="2"/>
      <c r="O385" s="2"/>
      <c r="R385" s="2"/>
      <c r="S385" s="2"/>
      <c r="T385" s="2"/>
    </row>
    <row r="386" spans="2:20" ht="15.75" customHeight="1" x14ac:dyDescent="0.25">
      <c r="B386" s="1"/>
      <c r="F386" s="1"/>
      <c r="H386" s="1"/>
      <c r="I386" s="1"/>
      <c r="J386" s="1"/>
      <c r="M386" s="2"/>
      <c r="N386" s="2"/>
      <c r="O386" s="2"/>
      <c r="R386" s="2"/>
      <c r="S386" s="2"/>
      <c r="T386" s="2"/>
    </row>
    <row r="387" spans="2:20" ht="15.75" customHeight="1" x14ac:dyDescent="0.25">
      <c r="B387" s="1"/>
      <c r="F387" s="1"/>
      <c r="H387" s="1"/>
      <c r="I387" s="1"/>
      <c r="J387" s="1"/>
      <c r="M387" s="2"/>
      <c r="N387" s="2"/>
      <c r="O387" s="2"/>
      <c r="R387" s="2"/>
      <c r="S387" s="2"/>
      <c r="T387" s="2"/>
    </row>
    <row r="388" spans="2:20" ht="15.75" customHeight="1" x14ac:dyDescent="0.25">
      <c r="B388" s="1"/>
      <c r="F388" s="1"/>
      <c r="H388" s="1"/>
      <c r="I388" s="1"/>
      <c r="J388" s="1"/>
      <c r="M388" s="2"/>
      <c r="N388" s="2"/>
      <c r="O388" s="2"/>
      <c r="R388" s="2"/>
      <c r="S388" s="2"/>
      <c r="T388" s="2"/>
    </row>
    <row r="389" spans="2:20" ht="15.75" customHeight="1" x14ac:dyDescent="0.25">
      <c r="B389" s="1"/>
      <c r="F389" s="1"/>
      <c r="H389" s="1"/>
      <c r="I389" s="1"/>
      <c r="J389" s="1"/>
      <c r="M389" s="2"/>
      <c r="N389" s="2"/>
      <c r="O389" s="2"/>
      <c r="R389" s="2"/>
      <c r="S389" s="2"/>
      <c r="T389" s="2"/>
    </row>
    <row r="390" spans="2:20" ht="15.75" customHeight="1" x14ac:dyDescent="0.25">
      <c r="B390" s="1"/>
      <c r="F390" s="1"/>
      <c r="H390" s="1"/>
      <c r="I390" s="1"/>
      <c r="J390" s="1"/>
      <c r="M390" s="2"/>
      <c r="N390" s="2"/>
      <c r="O390" s="2"/>
      <c r="R390" s="2"/>
      <c r="S390" s="2"/>
      <c r="T390" s="2"/>
    </row>
    <row r="391" spans="2:20" ht="15.75" customHeight="1" x14ac:dyDescent="0.25">
      <c r="B391" s="1"/>
      <c r="F391" s="1"/>
      <c r="H391" s="1"/>
      <c r="I391" s="1"/>
      <c r="J391" s="1"/>
      <c r="M391" s="2"/>
      <c r="N391" s="2"/>
      <c r="O391" s="2"/>
      <c r="R391" s="2"/>
      <c r="S391" s="2"/>
      <c r="T391" s="2"/>
    </row>
    <row r="392" spans="2:20" ht="15.75" customHeight="1" x14ac:dyDescent="0.25">
      <c r="B392" s="1"/>
      <c r="F392" s="1"/>
      <c r="H392" s="1"/>
      <c r="I392" s="1"/>
      <c r="J392" s="1"/>
      <c r="M392" s="2"/>
      <c r="N392" s="2"/>
      <c r="O392" s="2"/>
      <c r="R392" s="2"/>
      <c r="S392" s="2"/>
      <c r="T392" s="2"/>
    </row>
    <row r="393" spans="2:20" ht="15.75" customHeight="1" x14ac:dyDescent="0.25">
      <c r="B393" s="1"/>
      <c r="F393" s="1"/>
      <c r="H393" s="1"/>
      <c r="I393" s="1"/>
      <c r="J393" s="1"/>
      <c r="M393" s="2"/>
      <c r="N393" s="2"/>
      <c r="O393" s="2"/>
      <c r="R393" s="2"/>
      <c r="S393" s="2"/>
      <c r="T393" s="2"/>
    </row>
    <row r="394" spans="2:20" ht="15.75" customHeight="1" x14ac:dyDescent="0.25">
      <c r="B394" s="1"/>
      <c r="F394" s="1"/>
      <c r="H394" s="1"/>
      <c r="I394" s="1"/>
      <c r="J394" s="1"/>
      <c r="M394" s="2"/>
      <c r="N394" s="2"/>
      <c r="O394" s="2"/>
      <c r="R394" s="2"/>
      <c r="S394" s="2"/>
      <c r="T394" s="2"/>
    </row>
    <row r="395" spans="2:20" ht="15.75" customHeight="1" x14ac:dyDescent="0.25">
      <c r="B395" s="1"/>
      <c r="F395" s="1"/>
      <c r="H395" s="1"/>
      <c r="I395" s="1"/>
      <c r="J395" s="1"/>
      <c r="M395" s="2"/>
      <c r="N395" s="2"/>
      <c r="O395" s="2"/>
      <c r="R395" s="2"/>
      <c r="S395" s="2"/>
      <c r="T395" s="2"/>
    </row>
    <row r="396" spans="2:20" ht="15.75" customHeight="1" x14ac:dyDescent="0.25">
      <c r="B396" s="1"/>
      <c r="F396" s="1"/>
      <c r="H396" s="1"/>
      <c r="I396" s="1"/>
      <c r="J396" s="1"/>
      <c r="M396" s="2"/>
      <c r="N396" s="2"/>
      <c r="O396" s="2"/>
      <c r="R396" s="2"/>
      <c r="S396" s="2"/>
      <c r="T396" s="2"/>
    </row>
    <row r="397" spans="2:20" ht="15.75" customHeight="1" x14ac:dyDescent="0.25">
      <c r="B397" s="1"/>
      <c r="F397" s="1"/>
      <c r="H397" s="1"/>
      <c r="I397" s="1"/>
      <c r="J397" s="1"/>
      <c r="M397" s="2"/>
      <c r="N397" s="2"/>
      <c r="O397" s="2"/>
      <c r="R397" s="2"/>
      <c r="S397" s="2"/>
      <c r="T397" s="2"/>
    </row>
    <row r="398" spans="2:20" ht="15.75" customHeight="1" x14ac:dyDescent="0.25">
      <c r="B398" s="1"/>
      <c r="F398" s="1"/>
      <c r="H398" s="1"/>
      <c r="I398" s="1"/>
      <c r="J398" s="1"/>
      <c r="M398" s="2"/>
      <c r="N398" s="2"/>
      <c r="O398" s="2"/>
      <c r="R398" s="2"/>
      <c r="S398" s="2"/>
      <c r="T398" s="2"/>
    </row>
    <row r="399" spans="2:20" ht="15.75" customHeight="1" x14ac:dyDescent="0.25">
      <c r="B399" s="1"/>
      <c r="F399" s="1"/>
      <c r="H399" s="1"/>
      <c r="I399" s="1"/>
      <c r="J399" s="1"/>
      <c r="M399" s="2"/>
      <c r="N399" s="2"/>
      <c r="O399" s="2"/>
      <c r="R399" s="2"/>
      <c r="S399" s="2"/>
      <c r="T399" s="2"/>
    </row>
    <row r="400" spans="2:20" ht="15.75" customHeight="1" x14ac:dyDescent="0.25">
      <c r="B400" s="1"/>
      <c r="F400" s="1"/>
      <c r="H400" s="1"/>
      <c r="I400" s="1"/>
      <c r="J400" s="1"/>
      <c r="M400" s="2"/>
      <c r="N400" s="2"/>
      <c r="O400" s="2"/>
      <c r="R400" s="2"/>
      <c r="S400" s="2"/>
      <c r="T400" s="2"/>
    </row>
    <row r="401" spans="2:20" ht="15.75" customHeight="1" x14ac:dyDescent="0.25">
      <c r="B401" s="1"/>
      <c r="F401" s="1"/>
      <c r="H401" s="1"/>
      <c r="I401" s="1"/>
      <c r="J401" s="1"/>
      <c r="M401" s="2"/>
      <c r="N401" s="2"/>
      <c r="O401" s="2"/>
      <c r="R401" s="2"/>
      <c r="S401" s="2"/>
      <c r="T401" s="2"/>
    </row>
    <row r="402" spans="2:20" ht="15.75" customHeight="1" x14ac:dyDescent="0.25">
      <c r="B402" s="1"/>
      <c r="F402" s="1"/>
      <c r="H402" s="1"/>
      <c r="I402" s="1"/>
      <c r="J402" s="1"/>
      <c r="M402" s="2"/>
      <c r="N402" s="2"/>
      <c r="O402" s="2"/>
      <c r="R402" s="2"/>
      <c r="S402" s="2"/>
      <c r="T402" s="2"/>
    </row>
    <row r="403" spans="2:20" ht="15.75" customHeight="1" x14ac:dyDescent="0.25">
      <c r="B403" s="1"/>
      <c r="F403" s="1"/>
      <c r="H403" s="1"/>
      <c r="I403" s="1"/>
      <c r="J403" s="1"/>
      <c r="M403" s="2"/>
      <c r="N403" s="2"/>
      <c r="O403" s="2"/>
      <c r="R403" s="2"/>
      <c r="S403" s="2"/>
      <c r="T403" s="2"/>
    </row>
    <row r="404" spans="2:20" ht="15.75" customHeight="1" x14ac:dyDescent="0.25">
      <c r="B404" s="1"/>
      <c r="F404" s="1"/>
      <c r="H404" s="1"/>
      <c r="I404" s="1"/>
      <c r="J404" s="1"/>
      <c r="M404" s="2"/>
      <c r="N404" s="2"/>
      <c r="O404" s="2"/>
      <c r="R404" s="2"/>
      <c r="S404" s="2"/>
      <c r="T404" s="2"/>
    </row>
    <row r="405" spans="2:20" ht="15.75" customHeight="1" x14ac:dyDescent="0.25">
      <c r="B405" s="1"/>
      <c r="F405" s="1"/>
      <c r="H405" s="1"/>
      <c r="I405" s="1"/>
      <c r="J405" s="1"/>
      <c r="M405" s="2"/>
      <c r="N405" s="2"/>
      <c r="O405" s="2"/>
      <c r="R405" s="2"/>
      <c r="S405" s="2"/>
      <c r="T405" s="2"/>
    </row>
    <row r="406" spans="2:20" ht="15.75" customHeight="1" x14ac:dyDescent="0.25">
      <c r="B406" s="1"/>
      <c r="F406" s="1"/>
      <c r="H406" s="1"/>
      <c r="I406" s="1"/>
      <c r="J406" s="1"/>
      <c r="M406" s="2"/>
      <c r="N406" s="2"/>
      <c r="O406" s="2"/>
      <c r="R406" s="2"/>
      <c r="S406" s="2"/>
      <c r="T406" s="2"/>
    </row>
    <row r="407" spans="2:20" ht="15.75" customHeight="1" x14ac:dyDescent="0.25">
      <c r="B407" s="1"/>
      <c r="F407" s="1"/>
      <c r="H407" s="1"/>
      <c r="I407" s="1"/>
      <c r="J407" s="1"/>
      <c r="M407" s="2"/>
      <c r="N407" s="2"/>
      <c r="O407" s="2"/>
      <c r="R407" s="2"/>
      <c r="S407" s="2"/>
      <c r="T407" s="2"/>
    </row>
    <row r="408" spans="2:20" ht="15.75" customHeight="1" x14ac:dyDescent="0.25">
      <c r="B408" s="1"/>
      <c r="F408" s="1"/>
      <c r="H408" s="1"/>
      <c r="I408" s="1"/>
      <c r="J408" s="1"/>
      <c r="M408" s="2"/>
      <c r="N408" s="2"/>
      <c r="O408" s="2"/>
      <c r="R408" s="2"/>
      <c r="S408" s="2"/>
      <c r="T408" s="2"/>
    </row>
    <row r="409" spans="2:20" ht="15.75" customHeight="1" x14ac:dyDescent="0.25">
      <c r="B409" s="1"/>
      <c r="F409" s="1"/>
      <c r="H409" s="1"/>
      <c r="I409" s="1"/>
      <c r="J409" s="1"/>
      <c r="M409" s="2"/>
      <c r="N409" s="2"/>
      <c r="O409" s="2"/>
      <c r="R409" s="2"/>
      <c r="S409" s="2"/>
      <c r="T409" s="2"/>
    </row>
    <row r="410" spans="2:20" ht="15.75" customHeight="1" x14ac:dyDescent="0.25">
      <c r="B410" s="1"/>
      <c r="F410" s="1"/>
      <c r="H410" s="1"/>
      <c r="I410" s="1"/>
      <c r="J410" s="1"/>
      <c r="M410" s="2"/>
      <c r="N410" s="2"/>
      <c r="O410" s="2"/>
      <c r="R410" s="2"/>
      <c r="S410" s="2"/>
      <c r="T410" s="2"/>
    </row>
    <row r="411" spans="2:20" ht="15.75" customHeight="1" x14ac:dyDescent="0.25">
      <c r="B411" s="1"/>
      <c r="F411" s="1"/>
      <c r="H411" s="1"/>
      <c r="I411" s="1"/>
      <c r="J411" s="1"/>
      <c r="M411" s="2"/>
      <c r="N411" s="2"/>
      <c r="O411" s="2"/>
      <c r="R411" s="2"/>
      <c r="S411" s="2"/>
      <c r="T411" s="2"/>
    </row>
    <row r="412" spans="2:20" ht="15.75" customHeight="1" x14ac:dyDescent="0.25">
      <c r="B412" s="1"/>
      <c r="F412" s="1"/>
      <c r="H412" s="1"/>
      <c r="I412" s="1"/>
      <c r="J412" s="1"/>
      <c r="M412" s="2"/>
      <c r="N412" s="2"/>
      <c r="O412" s="2"/>
      <c r="R412" s="2"/>
      <c r="S412" s="2"/>
      <c r="T412" s="2"/>
    </row>
    <row r="413" spans="2:20" ht="15.75" customHeight="1" x14ac:dyDescent="0.25">
      <c r="B413" s="1"/>
      <c r="F413" s="1"/>
      <c r="H413" s="1"/>
      <c r="I413" s="1"/>
      <c r="J413" s="1"/>
      <c r="M413" s="2"/>
      <c r="N413" s="2"/>
      <c r="O413" s="2"/>
      <c r="R413" s="2"/>
      <c r="S413" s="2"/>
      <c r="T413" s="2"/>
    </row>
    <row r="414" spans="2:20" ht="15.75" customHeight="1" x14ac:dyDescent="0.25">
      <c r="B414" s="1"/>
      <c r="F414" s="1"/>
      <c r="H414" s="1"/>
      <c r="I414" s="1"/>
      <c r="J414" s="1"/>
      <c r="M414" s="2"/>
      <c r="N414" s="2"/>
      <c r="O414" s="2"/>
      <c r="R414" s="2"/>
      <c r="S414" s="2"/>
      <c r="T414" s="2"/>
    </row>
    <row r="415" spans="2:20" ht="15.75" customHeight="1" x14ac:dyDescent="0.25">
      <c r="B415" s="1"/>
      <c r="F415" s="1"/>
      <c r="H415" s="1"/>
      <c r="I415" s="1"/>
      <c r="J415" s="1"/>
      <c r="M415" s="2"/>
      <c r="N415" s="2"/>
      <c r="O415" s="2"/>
      <c r="R415" s="2"/>
      <c r="S415" s="2"/>
      <c r="T415" s="2"/>
    </row>
    <row r="416" spans="2:20" ht="15.75" customHeight="1" x14ac:dyDescent="0.25">
      <c r="B416" s="1"/>
      <c r="F416" s="1"/>
      <c r="H416" s="1"/>
      <c r="I416" s="1"/>
      <c r="J416" s="1"/>
      <c r="M416" s="2"/>
      <c r="N416" s="2"/>
      <c r="O416" s="2"/>
      <c r="R416" s="2"/>
      <c r="S416" s="2"/>
      <c r="T416" s="2"/>
    </row>
    <row r="417" spans="2:20" ht="15.75" customHeight="1" x14ac:dyDescent="0.25">
      <c r="B417" s="1"/>
      <c r="F417" s="1"/>
      <c r="H417" s="1"/>
      <c r="I417" s="1"/>
      <c r="J417" s="1"/>
      <c r="M417" s="2"/>
      <c r="N417" s="2"/>
      <c r="O417" s="2"/>
      <c r="R417" s="2"/>
      <c r="S417" s="2"/>
      <c r="T417" s="2"/>
    </row>
    <row r="418" spans="2:20" ht="15.75" customHeight="1" x14ac:dyDescent="0.25">
      <c r="B418" s="1"/>
      <c r="F418" s="1"/>
      <c r="H418" s="1"/>
      <c r="I418" s="1"/>
      <c r="J418" s="1"/>
      <c r="M418" s="2"/>
      <c r="N418" s="2"/>
      <c r="O418" s="2"/>
      <c r="R418" s="2"/>
      <c r="S418" s="2"/>
      <c r="T418" s="2"/>
    </row>
    <row r="419" spans="2:20" ht="15.75" customHeight="1" x14ac:dyDescent="0.25">
      <c r="B419" s="1"/>
      <c r="F419" s="1"/>
      <c r="H419" s="1"/>
      <c r="I419" s="1"/>
      <c r="J419" s="1"/>
      <c r="M419" s="2"/>
      <c r="N419" s="2"/>
      <c r="O419" s="2"/>
      <c r="R419" s="2"/>
      <c r="S419" s="2"/>
      <c r="T419" s="2"/>
    </row>
    <row r="420" spans="2:20" ht="15.75" customHeight="1" x14ac:dyDescent="0.25">
      <c r="B420" s="1"/>
      <c r="F420" s="1"/>
      <c r="H420" s="1"/>
      <c r="I420" s="1"/>
      <c r="J420" s="1"/>
      <c r="M420" s="2"/>
      <c r="N420" s="2"/>
      <c r="O420" s="2"/>
      <c r="R420" s="2"/>
      <c r="S420" s="2"/>
      <c r="T420" s="2"/>
    </row>
    <row r="421" spans="2:20" ht="15.75" customHeight="1" x14ac:dyDescent="0.25">
      <c r="B421" s="1"/>
      <c r="F421" s="1"/>
      <c r="H421" s="1"/>
      <c r="I421" s="1"/>
      <c r="J421" s="1"/>
      <c r="M421" s="2"/>
      <c r="N421" s="2"/>
      <c r="O421" s="2"/>
      <c r="R421" s="2"/>
      <c r="S421" s="2"/>
      <c r="T421" s="2"/>
    </row>
    <row r="422" spans="2:20" ht="15.75" customHeight="1" x14ac:dyDescent="0.25">
      <c r="B422" s="1"/>
      <c r="F422" s="1"/>
      <c r="H422" s="1"/>
      <c r="I422" s="1"/>
      <c r="J422" s="1"/>
      <c r="M422" s="2"/>
      <c r="N422" s="2"/>
      <c r="O422" s="2"/>
      <c r="R422" s="2"/>
      <c r="S422" s="2"/>
      <c r="T422" s="2"/>
    </row>
    <row r="423" spans="2:20" ht="15.75" customHeight="1" x14ac:dyDescent="0.25">
      <c r="B423" s="1"/>
      <c r="F423" s="1"/>
      <c r="H423" s="1"/>
      <c r="I423" s="1"/>
      <c r="J423" s="1"/>
      <c r="M423" s="2"/>
      <c r="N423" s="2"/>
      <c r="O423" s="2"/>
      <c r="R423" s="2"/>
      <c r="S423" s="2"/>
      <c r="T423" s="2"/>
    </row>
    <row r="424" spans="2:20" ht="15.75" customHeight="1" x14ac:dyDescent="0.25">
      <c r="B424" s="1"/>
      <c r="F424" s="1"/>
      <c r="H424" s="1"/>
      <c r="I424" s="1"/>
      <c r="J424" s="1"/>
      <c r="M424" s="2"/>
      <c r="N424" s="2"/>
      <c r="O424" s="2"/>
      <c r="R424" s="2"/>
      <c r="S424" s="2"/>
      <c r="T424" s="2"/>
    </row>
    <row r="425" spans="2:20" ht="15.75" customHeight="1" x14ac:dyDescent="0.25">
      <c r="B425" s="1"/>
      <c r="F425" s="1"/>
      <c r="H425" s="1"/>
      <c r="I425" s="1"/>
      <c r="J425" s="1"/>
      <c r="M425" s="2"/>
      <c r="N425" s="2"/>
      <c r="O425" s="2"/>
      <c r="R425" s="2"/>
      <c r="S425" s="2"/>
      <c r="T425" s="2"/>
    </row>
    <row r="426" spans="2:20" ht="15.75" customHeight="1" x14ac:dyDescent="0.25">
      <c r="B426" s="1"/>
      <c r="F426" s="1"/>
      <c r="H426" s="1"/>
      <c r="I426" s="1"/>
      <c r="J426" s="1"/>
      <c r="M426" s="2"/>
      <c r="N426" s="2"/>
      <c r="O426" s="2"/>
      <c r="R426" s="2"/>
      <c r="S426" s="2"/>
      <c r="T426" s="2"/>
    </row>
    <row r="427" spans="2:20" ht="15.75" customHeight="1" x14ac:dyDescent="0.25">
      <c r="B427" s="1"/>
      <c r="F427" s="1"/>
      <c r="H427" s="1"/>
      <c r="I427" s="1"/>
      <c r="J427" s="1"/>
      <c r="M427" s="2"/>
      <c r="N427" s="2"/>
      <c r="O427" s="2"/>
      <c r="R427" s="2"/>
      <c r="S427" s="2"/>
      <c r="T427" s="2"/>
    </row>
    <row r="428" spans="2:20" ht="15.75" customHeight="1" x14ac:dyDescent="0.25">
      <c r="B428" s="1"/>
      <c r="F428" s="1"/>
      <c r="H428" s="1"/>
      <c r="I428" s="1"/>
      <c r="J428" s="1"/>
      <c r="M428" s="2"/>
      <c r="N428" s="2"/>
      <c r="O428" s="2"/>
      <c r="R428" s="2"/>
      <c r="S428" s="2"/>
      <c r="T428" s="2"/>
    </row>
    <row r="429" spans="2:20" ht="15.75" customHeight="1" x14ac:dyDescent="0.25">
      <c r="B429" s="1"/>
      <c r="F429" s="1"/>
      <c r="H429" s="1"/>
      <c r="I429" s="1"/>
      <c r="J429" s="1"/>
      <c r="M429" s="2"/>
      <c r="N429" s="2"/>
      <c r="O429" s="2"/>
      <c r="R429" s="2"/>
      <c r="S429" s="2"/>
      <c r="T429" s="2"/>
    </row>
    <row r="430" spans="2:20" ht="15.75" customHeight="1" x14ac:dyDescent="0.25">
      <c r="B430" s="1"/>
      <c r="F430" s="1"/>
      <c r="H430" s="1"/>
      <c r="I430" s="1"/>
      <c r="J430" s="1"/>
      <c r="M430" s="2"/>
      <c r="N430" s="2"/>
      <c r="O430" s="2"/>
      <c r="R430" s="2"/>
      <c r="S430" s="2"/>
      <c r="T430" s="2"/>
    </row>
    <row r="431" spans="2:20" ht="15.75" customHeight="1" x14ac:dyDescent="0.25">
      <c r="B431" s="1"/>
      <c r="F431" s="1"/>
      <c r="H431" s="1"/>
      <c r="I431" s="1"/>
      <c r="J431" s="1"/>
      <c r="M431" s="2"/>
      <c r="N431" s="2"/>
      <c r="O431" s="2"/>
      <c r="R431" s="2"/>
      <c r="S431" s="2"/>
      <c r="T431" s="2"/>
    </row>
    <row r="432" spans="2:20" ht="15.75" customHeight="1" x14ac:dyDescent="0.25">
      <c r="B432" s="1"/>
      <c r="F432" s="1"/>
      <c r="H432" s="1"/>
      <c r="I432" s="1"/>
      <c r="J432" s="1"/>
      <c r="M432" s="2"/>
      <c r="N432" s="2"/>
      <c r="O432" s="2"/>
      <c r="R432" s="2"/>
      <c r="S432" s="2"/>
      <c r="T432" s="2"/>
    </row>
    <row r="433" spans="2:20" ht="15.75" customHeight="1" x14ac:dyDescent="0.25">
      <c r="B433" s="1"/>
      <c r="F433" s="1"/>
      <c r="H433" s="1"/>
      <c r="I433" s="1"/>
      <c r="J433" s="1"/>
      <c r="M433" s="2"/>
      <c r="N433" s="2"/>
      <c r="O433" s="2"/>
      <c r="R433" s="2"/>
      <c r="S433" s="2"/>
      <c r="T433" s="2"/>
    </row>
    <row r="434" spans="2:20" ht="15.75" customHeight="1" x14ac:dyDescent="0.25">
      <c r="B434" s="1"/>
      <c r="F434" s="1"/>
      <c r="H434" s="1"/>
      <c r="I434" s="1"/>
      <c r="J434" s="1"/>
      <c r="M434" s="2"/>
      <c r="N434" s="2"/>
      <c r="O434" s="2"/>
      <c r="R434" s="2"/>
      <c r="S434" s="2"/>
      <c r="T434" s="2"/>
    </row>
    <row r="435" spans="2:20" ht="15.75" customHeight="1" x14ac:dyDescent="0.25">
      <c r="B435" s="1"/>
      <c r="F435" s="1"/>
      <c r="H435" s="1"/>
      <c r="I435" s="1"/>
      <c r="J435" s="1"/>
      <c r="M435" s="2"/>
      <c r="N435" s="2"/>
      <c r="O435" s="2"/>
      <c r="R435" s="2"/>
      <c r="S435" s="2"/>
      <c r="T435" s="2"/>
    </row>
    <row r="436" spans="2:20" ht="15.75" customHeight="1" x14ac:dyDescent="0.25">
      <c r="B436" s="1"/>
      <c r="F436" s="1"/>
      <c r="H436" s="1"/>
      <c r="I436" s="1"/>
      <c r="J436" s="1"/>
      <c r="M436" s="2"/>
      <c r="N436" s="2"/>
      <c r="O436" s="2"/>
      <c r="R436" s="2"/>
      <c r="S436" s="2"/>
      <c r="T436" s="2"/>
    </row>
    <row r="437" spans="2:20" ht="15.75" customHeight="1" x14ac:dyDescent="0.25">
      <c r="B437" s="1"/>
      <c r="F437" s="1"/>
      <c r="H437" s="1"/>
      <c r="I437" s="1"/>
      <c r="J437" s="1"/>
      <c r="M437" s="2"/>
      <c r="N437" s="2"/>
      <c r="O437" s="2"/>
      <c r="R437" s="2"/>
      <c r="S437" s="2"/>
      <c r="T437" s="2"/>
    </row>
    <row r="438" spans="2:20" ht="15.75" customHeight="1" x14ac:dyDescent="0.25">
      <c r="B438" s="1"/>
      <c r="F438" s="1"/>
      <c r="H438" s="1"/>
      <c r="I438" s="1"/>
      <c r="J438" s="1"/>
      <c r="M438" s="2"/>
      <c r="N438" s="2"/>
      <c r="O438" s="2"/>
      <c r="R438" s="2"/>
      <c r="S438" s="2"/>
      <c r="T438" s="2"/>
    </row>
    <row r="439" spans="2:20" ht="15.75" customHeight="1" x14ac:dyDescent="0.25">
      <c r="B439" s="1"/>
      <c r="F439" s="1"/>
      <c r="H439" s="1"/>
      <c r="I439" s="1"/>
      <c r="J439" s="1"/>
      <c r="M439" s="2"/>
      <c r="N439" s="2"/>
      <c r="O439" s="2"/>
      <c r="R439" s="2"/>
      <c r="S439" s="2"/>
      <c r="T439" s="2"/>
    </row>
    <row r="440" spans="2:20" ht="15.75" customHeight="1" x14ac:dyDescent="0.25">
      <c r="B440" s="1"/>
      <c r="F440" s="1"/>
      <c r="H440" s="1"/>
      <c r="I440" s="1"/>
      <c r="J440" s="1"/>
      <c r="M440" s="2"/>
      <c r="N440" s="2"/>
      <c r="O440" s="2"/>
      <c r="R440" s="2"/>
      <c r="S440" s="2"/>
      <c r="T440" s="2"/>
    </row>
    <row r="441" spans="2:20" ht="15.75" customHeight="1" x14ac:dyDescent="0.25">
      <c r="B441" s="1"/>
      <c r="F441" s="1"/>
      <c r="H441" s="1"/>
      <c r="I441" s="1"/>
      <c r="J441" s="1"/>
      <c r="M441" s="2"/>
      <c r="N441" s="2"/>
      <c r="O441" s="2"/>
      <c r="R441" s="2"/>
      <c r="S441" s="2"/>
      <c r="T441" s="2"/>
    </row>
    <row r="442" spans="2:20" ht="15.75" customHeight="1" x14ac:dyDescent="0.25">
      <c r="B442" s="1"/>
      <c r="F442" s="1"/>
      <c r="H442" s="1"/>
      <c r="I442" s="1"/>
      <c r="J442" s="1"/>
      <c r="M442" s="2"/>
      <c r="N442" s="2"/>
      <c r="O442" s="2"/>
      <c r="R442" s="2"/>
      <c r="S442" s="2"/>
      <c r="T442" s="2"/>
    </row>
    <row r="443" spans="2:20" ht="15.75" customHeight="1" x14ac:dyDescent="0.25">
      <c r="B443" s="1"/>
      <c r="F443" s="1"/>
      <c r="H443" s="1"/>
      <c r="I443" s="1"/>
      <c r="J443" s="1"/>
      <c r="M443" s="2"/>
      <c r="N443" s="2"/>
      <c r="O443" s="2"/>
      <c r="R443" s="2"/>
      <c r="S443" s="2"/>
      <c r="T443" s="2"/>
    </row>
    <row r="444" spans="2:20" ht="15.75" customHeight="1" x14ac:dyDescent="0.25">
      <c r="B444" s="1"/>
      <c r="F444" s="1"/>
      <c r="H444" s="1"/>
      <c r="I444" s="1"/>
      <c r="J444" s="1"/>
      <c r="M444" s="2"/>
      <c r="N444" s="2"/>
      <c r="O444" s="2"/>
      <c r="R444" s="2"/>
      <c r="S444" s="2"/>
      <c r="T444" s="2"/>
    </row>
    <row r="445" spans="2:20" ht="15.75" customHeight="1" x14ac:dyDescent="0.25">
      <c r="B445" s="1"/>
      <c r="F445" s="1"/>
      <c r="H445" s="1"/>
      <c r="I445" s="1"/>
      <c r="J445" s="1"/>
      <c r="M445" s="2"/>
      <c r="N445" s="2"/>
      <c r="O445" s="2"/>
      <c r="R445" s="2"/>
      <c r="S445" s="2"/>
      <c r="T445" s="2"/>
    </row>
    <row r="446" spans="2:20" ht="15.75" customHeight="1" x14ac:dyDescent="0.25">
      <c r="B446" s="1"/>
      <c r="F446" s="1"/>
      <c r="H446" s="1"/>
      <c r="I446" s="1"/>
      <c r="J446" s="1"/>
      <c r="M446" s="2"/>
      <c r="N446" s="2"/>
      <c r="O446" s="2"/>
      <c r="R446" s="2"/>
      <c r="S446" s="2"/>
      <c r="T446" s="2"/>
    </row>
    <row r="447" spans="2:20" ht="15.75" customHeight="1" x14ac:dyDescent="0.25">
      <c r="B447" s="1"/>
      <c r="F447" s="1"/>
      <c r="H447" s="1"/>
      <c r="I447" s="1"/>
      <c r="J447" s="1"/>
      <c r="M447" s="2"/>
      <c r="N447" s="2"/>
      <c r="O447" s="2"/>
      <c r="R447" s="2"/>
      <c r="S447" s="2"/>
      <c r="T447" s="2"/>
    </row>
    <row r="448" spans="2:20" ht="15.75" customHeight="1" x14ac:dyDescent="0.25">
      <c r="B448" s="1"/>
      <c r="F448" s="1"/>
      <c r="H448" s="1"/>
      <c r="I448" s="1"/>
      <c r="J448" s="1"/>
      <c r="M448" s="2"/>
      <c r="N448" s="2"/>
      <c r="O448" s="2"/>
      <c r="R448" s="2"/>
      <c r="S448" s="2"/>
      <c r="T448" s="2"/>
    </row>
    <row r="449" spans="2:20" ht="15.75" customHeight="1" x14ac:dyDescent="0.25">
      <c r="B449" s="1"/>
      <c r="F449" s="1"/>
      <c r="H449" s="1"/>
      <c r="I449" s="1"/>
      <c r="J449" s="1"/>
      <c r="M449" s="2"/>
      <c r="N449" s="2"/>
      <c r="O449" s="2"/>
      <c r="R449" s="2"/>
      <c r="S449" s="2"/>
      <c r="T449" s="2"/>
    </row>
    <row r="450" spans="2:20" ht="15.75" customHeight="1" x14ac:dyDescent="0.25">
      <c r="B450" s="1"/>
      <c r="F450" s="1"/>
      <c r="H450" s="1"/>
      <c r="I450" s="1"/>
      <c r="J450" s="1"/>
      <c r="M450" s="2"/>
      <c r="N450" s="2"/>
      <c r="O450" s="2"/>
      <c r="R450" s="2"/>
      <c r="S450" s="2"/>
      <c r="T450" s="2"/>
    </row>
    <row r="451" spans="2:20" ht="15.75" customHeight="1" x14ac:dyDescent="0.25">
      <c r="B451" s="1"/>
      <c r="F451" s="1"/>
      <c r="H451" s="1"/>
      <c r="I451" s="1"/>
      <c r="J451" s="1"/>
      <c r="M451" s="2"/>
      <c r="N451" s="2"/>
      <c r="O451" s="2"/>
      <c r="R451" s="2"/>
      <c r="S451" s="2"/>
      <c r="T451" s="2"/>
    </row>
    <row r="452" spans="2:20" ht="15.75" customHeight="1" x14ac:dyDescent="0.25">
      <c r="B452" s="1"/>
      <c r="F452" s="1"/>
      <c r="H452" s="1"/>
      <c r="I452" s="1"/>
      <c r="J452" s="1"/>
      <c r="M452" s="2"/>
      <c r="N452" s="2"/>
      <c r="O452" s="2"/>
      <c r="R452" s="2"/>
      <c r="S452" s="2"/>
      <c r="T452" s="2"/>
    </row>
    <row r="453" spans="2:20" ht="15.75" customHeight="1" x14ac:dyDescent="0.25">
      <c r="B453" s="1"/>
      <c r="F453" s="1"/>
      <c r="H453" s="1"/>
      <c r="I453" s="1"/>
      <c r="J453" s="1"/>
      <c r="M453" s="2"/>
      <c r="N453" s="2"/>
      <c r="O453" s="2"/>
      <c r="R453" s="2"/>
      <c r="S453" s="2"/>
      <c r="T453" s="2"/>
    </row>
    <row r="454" spans="2:20" ht="15.75" customHeight="1" x14ac:dyDescent="0.25">
      <c r="B454" s="1"/>
      <c r="F454" s="1"/>
      <c r="H454" s="1"/>
      <c r="I454" s="1"/>
      <c r="J454" s="1"/>
      <c r="M454" s="2"/>
      <c r="N454" s="2"/>
      <c r="O454" s="2"/>
      <c r="R454" s="2"/>
      <c r="S454" s="2"/>
      <c r="T454" s="2"/>
    </row>
    <row r="455" spans="2:20" ht="15.75" customHeight="1" x14ac:dyDescent="0.25">
      <c r="B455" s="1"/>
      <c r="F455" s="1"/>
      <c r="H455" s="1"/>
      <c r="I455" s="1"/>
      <c r="J455" s="1"/>
      <c r="M455" s="2"/>
      <c r="N455" s="2"/>
      <c r="O455" s="2"/>
      <c r="R455" s="2"/>
      <c r="S455" s="2"/>
      <c r="T455" s="2"/>
    </row>
    <row r="456" spans="2:20" ht="15.75" customHeight="1" x14ac:dyDescent="0.25">
      <c r="B456" s="1"/>
      <c r="F456" s="1"/>
      <c r="H456" s="1"/>
      <c r="I456" s="1"/>
      <c r="J456" s="1"/>
      <c r="M456" s="2"/>
      <c r="N456" s="2"/>
      <c r="O456" s="2"/>
      <c r="R456" s="2"/>
      <c r="S456" s="2"/>
      <c r="T456" s="2"/>
    </row>
    <row r="457" spans="2:20" ht="15.75" customHeight="1" x14ac:dyDescent="0.25">
      <c r="B457" s="1"/>
      <c r="F457" s="1"/>
      <c r="H457" s="1"/>
      <c r="I457" s="1"/>
      <c r="J457" s="1"/>
      <c r="M457" s="2"/>
      <c r="N457" s="2"/>
      <c r="O457" s="2"/>
      <c r="R457" s="2"/>
      <c r="S457" s="2"/>
      <c r="T457" s="2"/>
    </row>
    <row r="458" spans="2:20" ht="15.75" customHeight="1" x14ac:dyDescent="0.25">
      <c r="B458" s="1"/>
      <c r="F458" s="1"/>
      <c r="H458" s="1"/>
      <c r="I458" s="1"/>
      <c r="J458" s="1"/>
      <c r="M458" s="2"/>
      <c r="N458" s="2"/>
      <c r="O458" s="2"/>
      <c r="R458" s="2"/>
      <c r="S458" s="2"/>
      <c r="T458" s="2"/>
    </row>
    <row r="459" spans="2:20" ht="15.75" customHeight="1" x14ac:dyDescent="0.25">
      <c r="B459" s="1"/>
      <c r="F459" s="1"/>
      <c r="H459" s="1"/>
      <c r="I459" s="1"/>
      <c r="J459" s="1"/>
      <c r="M459" s="2"/>
      <c r="N459" s="2"/>
      <c r="O459" s="2"/>
      <c r="R459" s="2"/>
      <c r="S459" s="2"/>
      <c r="T459" s="2"/>
    </row>
    <row r="460" spans="2:20" ht="15.75" customHeight="1" x14ac:dyDescent="0.25">
      <c r="B460" s="1"/>
      <c r="F460" s="1"/>
      <c r="H460" s="1"/>
      <c r="I460" s="1"/>
      <c r="J460" s="1"/>
      <c r="M460" s="2"/>
      <c r="N460" s="2"/>
      <c r="O460" s="2"/>
      <c r="R460" s="2"/>
      <c r="S460" s="2"/>
      <c r="T460" s="2"/>
    </row>
    <row r="461" spans="2:20" ht="15.75" customHeight="1" x14ac:dyDescent="0.25">
      <c r="B461" s="1"/>
      <c r="F461" s="1"/>
      <c r="H461" s="1"/>
      <c r="I461" s="1"/>
      <c r="J461" s="1"/>
      <c r="M461" s="2"/>
      <c r="N461" s="2"/>
      <c r="O461" s="2"/>
      <c r="R461" s="2"/>
      <c r="S461" s="2"/>
      <c r="T461" s="2"/>
    </row>
    <row r="462" spans="2:20" ht="15.75" customHeight="1" x14ac:dyDescent="0.25">
      <c r="B462" s="1"/>
      <c r="F462" s="1"/>
      <c r="H462" s="1"/>
      <c r="I462" s="1"/>
      <c r="J462" s="1"/>
      <c r="M462" s="2"/>
      <c r="N462" s="2"/>
      <c r="O462" s="2"/>
      <c r="R462" s="2"/>
      <c r="S462" s="2"/>
      <c r="T462" s="2"/>
    </row>
    <row r="463" spans="2:20" ht="15.75" customHeight="1" x14ac:dyDescent="0.25">
      <c r="B463" s="1"/>
      <c r="F463" s="1"/>
      <c r="H463" s="1"/>
      <c r="I463" s="1"/>
      <c r="J463" s="1"/>
      <c r="M463" s="2"/>
      <c r="N463" s="2"/>
      <c r="O463" s="2"/>
      <c r="R463" s="2"/>
      <c r="S463" s="2"/>
      <c r="T463" s="2"/>
    </row>
    <row r="464" spans="2:20" ht="15.75" customHeight="1" x14ac:dyDescent="0.25">
      <c r="B464" s="1"/>
      <c r="F464" s="1"/>
      <c r="H464" s="1"/>
      <c r="I464" s="1"/>
      <c r="J464" s="1"/>
      <c r="M464" s="2"/>
      <c r="N464" s="2"/>
      <c r="O464" s="2"/>
      <c r="R464" s="2"/>
      <c r="S464" s="2"/>
      <c r="T464" s="2"/>
    </row>
    <row r="465" spans="2:20" ht="15.75" customHeight="1" x14ac:dyDescent="0.25">
      <c r="B465" s="1"/>
      <c r="F465" s="1"/>
      <c r="H465" s="1"/>
      <c r="I465" s="1"/>
      <c r="J465" s="1"/>
      <c r="M465" s="2"/>
      <c r="N465" s="2"/>
      <c r="O465" s="2"/>
      <c r="R465" s="2"/>
      <c r="S465" s="2"/>
      <c r="T465" s="2"/>
    </row>
    <row r="466" spans="2:20" ht="15.75" customHeight="1" x14ac:dyDescent="0.25">
      <c r="B466" s="1"/>
      <c r="F466" s="1"/>
      <c r="H466" s="1"/>
      <c r="I466" s="1"/>
      <c r="J466" s="1"/>
      <c r="M466" s="2"/>
      <c r="N466" s="2"/>
      <c r="O466" s="2"/>
      <c r="R466" s="2"/>
      <c r="S466" s="2"/>
      <c r="T466" s="2"/>
    </row>
    <row r="467" spans="2:20" ht="15.75" customHeight="1" x14ac:dyDescent="0.25">
      <c r="B467" s="1"/>
      <c r="F467" s="1"/>
      <c r="H467" s="1"/>
      <c r="I467" s="1"/>
      <c r="J467" s="1"/>
      <c r="M467" s="2"/>
      <c r="N467" s="2"/>
      <c r="O467" s="2"/>
      <c r="R467" s="2"/>
      <c r="S467" s="2"/>
      <c r="T467" s="2"/>
    </row>
    <row r="468" spans="2:20" ht="15.75" customHeight="1" x14ac:dyDescent="0.25">
      <c r="B468" s="1"/>
      <c r="F468" s="1"/>
      <c r="H468" s="1"/>
      <c r="I468" s="1"/>
      <c r="J468" s="1"/>
      <c r="M468" s="2"/>
      <c r="N468" s="2"/>
      <c r="O468" s="2"/>
      <c r="R468" s="2"/>
      <c r="S468" s="2"/>
      <c r="T468" s="2"/>
    </row>
    <row r="469" spans="2:20" ht="15.75" customHeight="1" x14ac:dyDescent="0.25">
      <c r="B469" s="1"/>
      <c r="F469" s="1"/>
      <c r="H469" s="1"/>
      <c r="I469" s="1"/>
      <c r="J469" s="1"/>
      <c r="M469" s="2"/>
      <c r="N469" s="2"/>
      <c r="O469" s="2"/>
      <c r="R469" s="2"/>
      <c r="S469" s="2"/>
      <c r="T469" s="2"/>
    </row>
    <row r="470" spans="2:20" ht="15.75" customHeight="1" x14ac:dyDescent="0.25">
      <c r="B470" s="1"/>
      <c r="F470" s="1"/>
      <c r="H470" s="1"/>
      <c r="I470" s="1"/>
      <c r="J470" s="1"/>
      <c r="M470" s="2"/>
      <c r="N470" s="2"/>
      <c r="O470" s="2"/>
      <c r="R470" s="2"/>
      <c r="S470" s="2"/>
      <c r="T470" s="2"/>
    </row>
    <row r="471" spans="2:20" ht="15.75" customHeight="1" x14ac:dyDescent="0.25">
      <c r="B471" s="1"/>
      <c r="F471" s="1"/>
      <c r="H471" s="1"/>
      <c r="I471" s="1"/>
      <c r="J471" s="1"/>
      <c r="M471" s="2"/>
      <c r="N471" s="2"/>
      <c r="O471" s="2"/>
      <c r="R471" s="2"/>
      <c r="S471" s="2"/>
      <c r="T471" s="2"/>
    </row>
    <row r="472" spans="2:20" ht="15.75" customHeight="1" x14ac:dyDescent="0.25">
      <c r="B472" s="1"/>
      <c r="F472" s="1"/>
      <c r="H472" s="1"/>
      <c r="I472" s="1"/>
      <c r="J472" s="1"/>
      <c r="M472" s="2"/>
      <c r="N472" s="2"/>
      <c r="O472" s="2"/>
      <c r="R472" s="2"/>
      <c r="S472" s="2"/>
      <c r="T472" s="2"/>
    </row>
    <row r="473" spans="2:20" ht="15.75" customHeight="1" x14ac:dyDescent="0.25">
      <c r="B473" s="1"/>
      <c r="F473" s="1"/>
      <c r="H473" s="1"/>
      <c r="I473" s="1"/>
      <c r="J473" s="1"/>
      <c r="M473" s="2"/>
      <c r="N473" s="2"/>
      <c r="O473" s="2"/>
      <c r="R473" s="2"/>
      <c r="S473" s="2"/>
      <c r="T473" s="2"/>
    </row>
    <row r="474" spans="2:20" ht="15.75" customHeight="1" x14ac:dyDescent="0.25">
      <c r="B474" s="1"/>
      <c r="F474" s="1"/>
      <c r="H474" s="1"/>
      <c r="I474" s="1"/>
      <c r="J474" s="1"/>
      <c r="M474" s="2"/>
      <c r="N474" s="2"/>
      <c r="O474" s="2"/>
      <c r="R474" s="2"/>
      <c r="S474" s="2"/>
      <c r="T474" s="2"/>
    </row>
    <row r="475" spans="2:20" ht="15.75" customHeight="1" x14ac:dyDescent="0.25">
      <c r="B475" s="1"/>
      <c r="F475" s="1"/>
      <c r="H475" s="1"/>
      <c r="I475" s="1"/>
      <c r="J475" s="1"/>
      <c r="M475" s="2"/>
      <c r="N475" s="2"/>
      <c r="O475" s="2"/>
      <c r="R475" s="2"/>
      <c r="S475" s="2"/>
      <c r="T475" s="2"/>
    </row>
    <row r="476" spans="2:20" ht="15.75" customHeight="1" x14ac:dyDescent="0.25">
      <c r="B476" s="1"/>
      <c r="F476" s="1"/>
      <c r="H476" s="1"/>
      <c r="I476" s="1"/>
      <c r="J476" s="1"/>
      <c r="M476" s="2"/>
      <c r="N476" s="2"/>
      <c r="O476" s="2"/>
      <c r="R476" s="2"/>
      <c r="S476" s="2"/>
      <c r="T476" s="2"/>
    </row>
    <row r="477" spans="2:20" ht="15.75" customHeight="1" x14ac:dyDescent="0.25">
      <c r="B477" s="1"/>
      <c r="F477" s="1"/>
      <c r="H477" s="1"/>
      <c r="I477" s="1"/>
      <c r="J477" s="1"/>
      <c r="M477" s="2"/>
      <c r="N477" s="2"/>
      <c r="O477" s="2"/>
      <c r="R477" s="2"/>
      <c r="S477" s="2"/>
      <c r="T477" s="2"/>
    </row>
    <row r="478" spans="2:20" ht="15.75" customHeight="1" x14ac:dyDescent="0.25">
      <c r="B478" s="1"/>
      <c r="F478" s="1"/>
      <c r="H478" s="1"/>
      <c r="I478" s="1"/>
      <c r="J478" s="1"/>
      <c r="M478" s="2"/>
      <c r="N478" s="2"/>
      <c r="O478" s="2"/>
      <c r="R478" s="2"/>
      <c r="S478" s="2"/>
      <c r="T478" s="2"/>
    </row>
    <row r="479" spans="2:20" ht="15.75" customHeight="1" x14ac:dyDescent="0.25">
      <c r="B479" s="1"/>
      <c r="F479" s="1"/>
      <c r="H479" s="1"/>
      <c r="I479" s="1"/>
      <c r="J479" s="1"/>
      <c r="M479" s="2"/>
      <c r="N479" s="2"/>
      <c r="O479" s="2"/>
      <c r="R479" s="2"/>
      <c r="S479" s="2"/>
      <c r="T479" s="2"/>
    </row>
    <row r="480" spans="2:20" ht="15.75" customHeight="1" x14ac:dyDescent="0.25">
      <c r="B480" s="1"/>
      <c r="F480" s="1"/>
      <c r="H480" s="1"/>
      <c r="I480" s="1"/>
      <c r="J480" s="1"/>
      <c r="M480" s="2"/>
      <c r="N480" s="2"/>
      <c r="O480" s="2"/>
      <c r="R480" s="2"/>
      <c r="S480" s="2"/>
      <c r="T480" s="2"/>
    </row>
    <row r="481" spans="2:20" ht="15.75" customHeight="1" x14ac:dyDescent="0.25">
      <c r="B481" s="1"/>
      <c r="F481" s="1"/>
      <c r="H481" s="1"/>
      <c r="I481" s="1"/>
      <c r="J481" s="1"/>
      <c r="M481" s="2"/>
      <c r="N481" s="2"/>
      <c r="O481" s="2"/>
      <c r="R481" s="2"/>
      <c r="S481" s="2"/>
      <c r="T481" s="2"/>
    </row>
    <row r="482" spans="2:20" ht="15.75" customHeight="1" x14ac:dyDescent="0.25">
      <c r="B482" s="1"/>
      <c r="F482" s="1"/>
      <c r="H482" s="1"/>
      <c r="I482" s="1"/>
      <c r="J482" s="1"/>
      <c r="M482" s="2"/>
      <c r="N482" s="2"/>
      <c r="O482" s="2"/>
      <c r="R482" s="2"/>
      <c r="S482" s="2"/>
      <c r="T482" s="2"/>
    </row>
    <row r="483" spans="2:20" ht="15.75" customHeight="1" x14ac:dyDescent="0.25">
      <c r="B483" s="1"/>
      <c r="F483" s="1"/>
      <c r="H483" s="1"/>
      <c r="I483" s="1"/>
      <c r="J483" s="1"/>
      <c r="M483" s="2"/>
      <c r="N483" s="2"/>
      <c r="O483" s="2"/>
      <c r="R483" s="2"/>
      <c r="S483" s="2"/>
      <c r="T483" s="2"/>
    </row>
    <row r="484" spans="2:20" ht="15.75" customHeight="1" x14ac:dyDescent="0.25">
      <c r="B484" s="1"/>
      <c r="F484" s="1"/>
      <c r="H484" s="1"/>
      <c r="I484" s="1"/>
      <c r="J484" s="1"/>
      <c r="M484" s="2"/>
      <c r="N484" s="2"/>
      <c r="O484" s="2"/>
      <c r="R484" s="2"/>
      <c r="S484" s="2"/>
      <c r="T484" s="2"/>
    </row>
    <row r="485" spans="2:20" ht="15.75" customHeight="1" x14ac:dyDescent="0.25">
      <c r="B485" s="1"/>
      <c r="F485" s="1"/>
      <c r="H485" s="1"/>
      <c r="I485" s="1"/>
      <c r="J485" s="1"/>
      <c r="M485" s="2"/>
      <c r="N485" s="2"/>
      <c r="O485" s="2"/>
      <c r="R485" s="2"/>
      <c r="S485" s="2"/>
      <c r="T485" s="2"/>
    </row>
    <row r="486" spans="2:20" ht="15.75" customHeight="1" x14ac:dyDescent="0.25">
      <c r="B486" s="1"/>
      <c r="F486" s="1"/>
      <c r="H486" s="1"/>
      <c r="I486" s="1"/>
      <c r="J486" s="1"/>
      <c r="M486" s="2"/>
      <c r="N486" s="2"/>
      <c r="O486" s="2"/>
      <c r="R486" s="2"/>
      <c r="S486" s="2"/>
      <c r="T486" s="2"/>
    </row>
    <row r="487" spans="2:20" ht="15.75" customHeight="1" x14ac:dyDescent="0.25">
      <c r="B487" s="1"/>
      <c r="F487" s="1"/>
      <c r="H487" s="1"/>
      <c r="I487" s="1"/>
      <c r="J487" s="1"/>
      <c r="M487" s="2"/>
      <c r="N487" s="2"/>
      <c r="O487" s="2"/>
      <c r="R487" s="2"/>
      <c r="S487" s="2"/>
      <c r="T487" s="2"/>
    </row>
    <row r="488" spans="2:20" ht="15.75" customHeight="1" x14ac:dyDescent="0.25">
      <c r="B488" s="1"/>
      <c r="F488" s="1"/>
      <c r="H488" s="1"/>
      <c r="I488" s="1"/>
      <c r="J488" s="1"/>
      <c r="M488" s="2"/>
      <c r="N488" s="2"/>
      <c r="O488" s="2"/>
      <c r="R488" s="2"/>
      <c r="S488" s="2"/>
      <c r="T488" s="2"/>
    </row>
    <row r="489" spans="2:20" ht="15.75" customHeight="1" x14ac:dyDescent="0.25">
      <c r="B489" s="1"/>
      <c r="F489" s="1"/>
      <c r="H489" s="1"/>
      <c r="I489" s="1"/>
      <c r="J489" s="1"/>
      <c r="M489" s="2"/>
      <c r="N489" s="2"/>
      <c r="O489" s="2"/>
      <c r="R489" s="2"/>
      <c r="S489" s="2"/>
      <c r="T489" s="2"/>
    </row>
    <row r="490" spans="2:20" ht="15.75" customHeight="1" x14ac:dyDescent="0.25">
      <c r="B490" s="1"/>
      <c r="F490" s="1"/>
      <c r="H490" s="1"/>
      <c r="I490" s="1"/>
      <c r="J490" s="1"/>
      <c r="M490" s="2"/>
      <c r="N490" s="2"/>
      <c r="O490" s="2"/>
      <c r="R490" s="2"/>
      <c r="S490" s="2"/>
      <c r="T490" s="2"/>
    </row>
    <row r="491" spans="2:20" ht="15.75" customHeight="1" x14ac:dyDescent="0.25">
      <c r="B491" s="1"/>
      <c r="F491" s="1"/>
      <c r="H491" s="1"/>
      <c r="I491" s="1"/>
      <c r="J491" s="1"/>
      <c r="M491" s="2"/>
      <c r="N491" s="2"/>
      <c r="O491" s="2"/>
      <c r="R491" s="2"/>
      <c r="S491" s="2"/>
      <c r="T491" s="2"/>
    </row>
    <row r="492" spans="2:20" ht="15.75" customHeight="1" x14ac:dyDescent="0.25">
      <c r="B492" s="1"/>
      <c r="F492" s="1"/>
      <c r="H492" s="1"/>
      <c r="I492" s="1"/>
      <c r="J492" s="1"/>
      <c r="M492" s="2"/>
      <c r="N492" s="2"/>
      <c r="O492" s="2"/>
      <c r="R492" s="2"/>
      <c r="S492" s="2"/>
      <c r="T492" s="2"/>
    </row>
    <row r="493" spans="2:20" ht="15.75" customHeight="1" x14ac:dyDescent="0.25">
      <c r="B493" s="1"/>
      <c r="F493" s="1"/>
      <c r="H493" s="1"/>
      <c r="I493" s="1"/>
      <c r="J493" s="1"/>
      <c r="M493" s="2"/>
      <c r="N493" s="2"/>
      <c r="O493" s="2"/>
      <c r="R493" s="2"/>
      <c r="S493" s="2"/>
      <c r="T493" s="2"/>
    </row>
    <row r="494" spans="2:20" ht="15.75" customHeight="1" x14ac:dyDescent="0.25">
      <c r="B494" s="1"/>
      <c r="F494" s="1"/>
      <c r="H494" s="1"/>
      <c r="I494" s="1"/>
      <c r="J494" s="1"/>
      <c r="M494" s="2"/>
      <c r="N494" s="2"/>
      <c r="O494" s="2"/>
      <c r="R494" s="2"/>
      <c r="S494" s="2"/>
      <c r="T494" s="2"/>
    </row>
    <row r="495" spans="2:20" ht="15.75" customHeight="1" x14ac:dyDescent="0.25">
      <c r="B495" s="1"/>
      <c r="F495" s="1"/>
      <c r="H495" s="1"/>
      <c r="I495" s="1"/>
      <c r="J495" s="1"/>
      <c r="M495" s="2"/>
      <c r="N495" s="2"/>
      <c r="O495" s="2"/>
      <c r="R495" s="2"/>
      <c r="S495" s="2"/>
      <c r="T495" s="2"/>
    </row>
    <row r="496" spans="2:20" ht="15.75" customHeight="1" x14ac:dyDescent="0.25">
      <c r="B496" s="1"/>
      <c r="F496" s="1"/>
      <c r="H496" s="1"/>
      <c r="I496" s="1"/>
      <c r="J496" s="1"/>
      <c r="M496" s="2"/>
      <c r="N496" s="2"/>
      <c r="O496" s="2"/>
      <c r="R496" s="2"/>
      <c r="S496" s="2"/>
      <c r="T496" s="2"/>
    </row>
    <row r="497" spans="2:20" ht="15.75" customHeight="1" x14ac:dyDescent="0.25">
      <c r="B497" s="1"/>
      <c r="F497" s="1"/>
      <c r="H497" s="1"/>
      <c r="I497" s="1"/>
      <c r="J497" s="1"/>
      <c r="M497" s="2"/>
      <c r="N497" s="2"/>
      <c r="O497" s="2"/>
      <c r="R497" s="2"/>
      <c r="S497" s="2"/>
      <c r="T497" s="2"/>
    </row>
    <row r="498" spans="2:20" ht="15.75" customHeight="1" x14ac:dyDescent="0.25">
      <c r="B498" s="1"/>
      <c r="F498" s="1"/>
      <c r="H498" s="1"/>
      <c r="I498" s="1"/>
      <c r="J498" s="1"/>
      <c r="M498" s="2"/>
      <c r="N498" s="2"/>
      <c r="O498" s="2"/>
      <c r="R498" s="2"/>
      <c r="S498" s="2"/>
      <c r="T498" s="2"/>
    </row>
    <row r="499" spans="2:20" ht="15.75" customHeight="1" x14ac:dyDescent="0.25">
      <c r="B499" s="1"/>
      <c r="F499" s="1"/>
      <c r="H499" s="1"/>
      <c r="I499" s="1"/>
      <c r="J499" s="1"/>
      <c r="M499" s="2"/>
      <c r="N499" s="2"/>
      <c r="O499" s="2"/>
      <c r="R499" s="2"/>
      <c r="S499" s="2"/>
      <c r="T499" s="2"/>
    </row>
    <row r="500" spans="2:20" ht="15.75" customHeight="1" x14ac:dyDescent="0.25">
      <c r="B500" s="1"/>
      <c r="F500" s="1"/>
      <c r="H500" s="1"/>
      <c r="I500" s="1"/>
      <c r="J500" s="1"/>
      <c r="M500" s="2"/>
      <c r="N500" s="2"/>
      <c r="O500" s="2"/>
      <c r="R500" s="2"/>
      <c r="S500" s="2"/>
      <c r="T500" s="2"/>
    </row>
    <row r="501" spans="2:20" ht="15.75" customHeight="1" x14ac:dyDescent="0.25">
      <c r="B501" s="1"/>
      <c r="F501" s="1"/>
      <c r="H501" s="1"/>
      <c r="I501" s="1"/>
      <c r="J501" s="1"/>
      <c r="M501" s="2"/>
      <c r="N501" s="2"/>
      <c r="O501" s="2"/>
      <c r="R501" s="2"/>
      <c r="S501" s="2"/>
      <c r="T501" s="2"/>
    </row>
    <row r="502" spans="2:20" ht="15.75" customHeight="1" x14ac:dyDescent="0.25">
      <c r="B502" s="1"/>
      <c r="F502" s="1"/>
      <c r="H502" s="1"/>
      <c r="I502" s="1"/>
      <c r="J502" s="1"/>
      <c r="M502" s="2"/>
      <c r="N502" s="2"/>
      <c r="O502" s="2"/>
      <c r="R502" s="2"/>
      <c r="S502" s="2"/>
      <c r="T502" s="2"/>
    </row>
    <row r="503" spans="2:20" ht="15.75" customHeight="1" x14ac:dyDescent="0.25">
      <c r="B503" s="1"/>
      <c r="F503" s="1"/>
      <c r="H503" s="1"/>
      <c r="I503" s="1"/>
      <c r="J503" s="1"/>
      <c r="M503" s="2"/>
      <c r="N503" s="2"/>
      <c r="O503" s="2"/>
      <c r="R503" s="2"/>
      <c r="S503" s="2"/>
      <c r="T503" s="2"/>
    </row>
    <row r="504" spans="2:20" ht="15.75" customHeight="1" x14ac:dyDescent="0.25">
      <c r="B504" s="1"/>
      <c r="F504" s="1"/>
      <c r="H504" s="1"/>
      <c r="I504" s="1"/>
      <c r="J504" s="1"/>
      <c r="M504" s="2"/>
      <c r="N504" s="2"/>
      <c r="O504" s="2"/>
      <c r="R504" s="2"/>
      <c r="S504" s="2"/>
      <c r="T504" s="2"/>
    </row>
    <row r="505" spans="2:20" ht="15.75" customHeight="1" x14ac:dyDescent="0.25">
      <c r="B505" s="1"/>
      <c r="F505" s="1"/>
      <c r="H505" s="1"/>
      <c r="I505" s="1"/>
      <c r="J505" s="1"/>
      <c r="M505" s="2"/>
      <c r="N505" s="2"/>
      <c r="O505" s="2"/>
      <c r="R505" s="2"/>
      <c r="S505" s="2"/>
      <c r="T505" s="2"/>
    </row>
    <row r="506" spans="2:20" ht="15.75" customHeight="1" x14ac:dyDescent="0.25">
      <c r="B506" s="1"/>
      <c r="F506" s="1"/>
      <c r="H506" s="1"/>
      <c r="I506" s="1"/>
      <c r="J506" s="1"/>
      <c r="M506" s="2"/>
      <c r="N506" s="2"/>
      <c r="O506" s="2"/>
      <c r="R506" s="2"/>
      <c r="S506" s="2"/>
      <c r="T506" s="2"/>
    </row>
    <row r="507" spans="2:20" ht="15.75" customHeight="1" x14ac:dyDescent="0.25">
      <c r="B507" s="1"/>
      <c r="F507" s="1"/>
      <c r="H507" s="1"/>
      <c r="I507" s="1"/>
      <c r="J507" s="1"/>
      <c r="M507" s="2"/>
      <c r="N507" s="2"/>
      <c r="O507" s="2"/>
      <c r="R507" s="2"/>
      <c r="S507" s="2"/>
      <c r="T507" s="2"/>
    </row>
    <row r="508" spans="2:20" ht="15.75" customHeight="1" x14ac:dyDescent="0.25">
      <c r="B508" s="1"/>
      <c r="F508" s="1"/>
      <c r="H508" s="1"/>
      <c r="I508" s="1"/>
      <c r="J508" s="1"/>
      <c r="M508" s="2"/>
      <c r="N508" s="2"/>
      <c r="O508" s="2"/>
      <c r="R508" s="2"/>
      <c r="S508" s="2"/>
      <c r="T508" s="2"/>
    </row>
    <row r="509" spans="2:20" ht="15.75" customHeight="1" x14ac:dyDescent="0.25">
      <c r="B509" s="1"/>
      <c r="F509" s="1"/>
      <c r="H509" s="1"/>
      <c r="I509" s="1"/>
      <c r="J509" s="1"/>
      <c r="M509" s="2"/>
      <c r="N509" s="2"/>
      <c r="O509" s="2"/>
      <c r="R509" s="2"/>
      <c r="S509" s="2"/>
      <c r="T509" s="2"/>
    </row>
    <row r="510" spans="2:20" ht="15.75" customHeight="1" x14ac:dyDescent="0.25">
      <c r="B510" s="1"/>
      <c r="F510" s="1"/>
      <c r="H510" s="1"/>
      <c r="I510" s="1"/>
      <c r="J510" s="1"/>
      <c r="M510" s="2"/>
      <c r="N510" s="2"/>
      <c r="O510" s="2"/>
      <c r="R510" s="2"/>
      <c r="S510" s="2"/>
      <c r="T510" s="2"/>
    </row>
    <row r="511" spans="2:20" ht="15.75" customHeight="1" x14ac:dyDescent="0.25">
      <c r="B511" s="1"/>
      <c r="F511" s="1"/>
      <c r="H511" s="1"/>
      <c r="I511" s="1"/>
      <c r="J511" s="1"/>
      <c r="M511" s="2"/>
      <c r="N511" s="2"/>
      <c r="O511" s="2"/>
      <c r="R511" s="2"/>
      <c r="S511" s="2"/>
      <c r="T511" s="2"/>
    </row>
    <row r="512" spans="2:20" ht="15.75" customHeight="1" x14ac:dyDescent="0.25">
      <c r="B512" s="1"/>
      <c r="F512" s="1"/>
      <c r="H512" s="1"/>
      <c r="I512" s="1"/>
      <c r="J512" s="1"/>
      <c r="M512" s="2"/>
      <c r="N512" s="2"/>
      <c r="O512" s="2"/>
      <c r="R512" s="2"/>
      <c r="S512" s="2"/>
      <c r="T512" s="2"/>
    </row>
    <row r="513" spans="2:20" ht="15.75" customHeight="1" x14ac:dyDescent="0.25">
      <c r="B513" s="1"/>
      <c r="F513" s="1"/>
      <c r="H513" s="1"/>
      <c r="I513" s="1"/>
      <c r="J513" s="1"/>
      <c r="M513" s="2"/>
      <c r="N513" s="2"/>
      <c r="O513" s="2"/>
      <c r="R513" s="2"/>
      <c r="S513" s="2"/>
      <c r="T513" s="2"/>
    </row>
    <row r="514" spans="2:20" ht="15.75" customHeight="1" x14ac:dyDescent="0.25">
      <c r="B514" s="1"/>
      <c r="F514" s="1"/>
      <c r="H514" s="1"/>
      <c r="I514" s="1"/>
      <c r="J514" s="1"/>
      <c r="M514" s="2"/>
      <c r="N514" s="2"/>
      <c r="O514" s="2"/>
      <c r="R514" s="2"/>
      <c r="S514" s="2"/>
      <c r="T514" s="2"/>
    </row>
    <row r="515" spans="2:20" ht="15.75" customHeight="1" x14ac:dyDescent="0.25">
      <c r="B515" s="1"/>
      <c r="F515" s="1"/>
      <c r="H515" s="1"/>
      <c r="I515" s="1"/>
      <c r="J515" s="1"/>
      <c r="M515" s="2"/>
      <c r="N515" s="2"/>
      <c r="O515" s="2"/>
      <c r="R515" s="2"/>
      <c r="S515" s="2"/>
      <c r="T515" s="2"/>
    </row>
    <row r="516" spans="2:20" ht="15.75" customHeight="1" x14ac:dyDescent="0.25">
      <c r="B516" s="1"/>
      <c r="F516" s="1"/>
      <c r="H516" s="1"/>
      <c r="I516" s="1"/>
      <c r="J516" s="1"/>
      <c r="M516" s="2"/>
      <c r="N516" s="2"/>
      <c r="O516" s="2"/>
      <c r="R516" s="2"/>
      <c r="S516" s="2"/>
      <c r="T516" s="2"/>
    </row>
    <row r="517" spans="2:20" ht="15.75" customHeight="1" x14ac:dyDescent="0.25">
      <c r="B517" s="1"/>
      <c r="F517" s="1"/>
      <c r="H517" s="1"/>
      <c r="I517" s="1"/>
      <c r="J517" s="1"/>
      <c r="M517" s="2"/>
      <c r="N517" s="2"/>
      <c r="O517" s="2"/>
      <c r="R517" s="2"/>
      <c r="S517" s="2"/>
      <c r="T517" s="2"/>
    </row>
    <row r="518" spans="2:20" ht="15.75" customHeight="1" x14ac:dyDescent="0.25">
      <c r="B518" s="1"/>
      <c r="F518" s="1"/>
      <c r="H518" s="1"/>
      <c r="I518" s="1"/>
      <c r="J518" s="1"/>
      <c r="M518" s="2"/>
      <c r="N518" s="2"/>
      <c r="O518" s="2"/>
      <c r="R518" s="2"/>
      <c r="S518" s="2"/>
      <c r="T518" s="2"/>
    </row>
    <row r="519" spans="2:20" ht="15.75" customHeight="1" x14ac:dyDescent="0.25">
      <c r="B519" s="1"/>
      <c r="F519" s="1"/>
      <c r="H519" s="1"/>
      <c r="I519" s="1"/>
      <c r="J519" s="1"/>
      <c r="M519" s="2"/>
      <c r="N519" s="2"/>
      <c r="O519" s="2"/>
      <c r="R519" s="2"/>
      <c r="S519" s="2"/>
      <c r="T519" s="2"/>
    </row>
    <row r="520" spans="2:20" ht="15.75" customHeight="1" x14ac:dyDescent="0.25">
      <c r="B520" s="1"/>
      <c r="F520" s="1"/>
      <c r="H520" s="1"/>
      <c r="I520" s="1"/>
      <c r="J520" s="1"/>
      <c r="M520" s="2"/>
      <c r="N520" s="2"/>
      <c r="O520" s="2"/>
      <c r="R520" s="2"/>
      <c r="S520" s="2"/>
      <c r="T520" s="2"/>
    </row>
    <row r="521" spans="2:20" ht="15.75" customHeight="1" x14ac:dyDescent="0.25">
      <c r="B521" s="1"/>
      <c r="F521" s="1"/>
      <c r="H521" s="1"/>
      <c r="I521" s="1"/>
      <c r="J521" s="1"/>
      <c r="M521" s="2"/>
      <c r="N521" s="2"/>
      <c r="O521" s="2"/>
      <c r="R521" s="2"/>
      <c r="S521" s="2"/>
      <c r="T521" s="2"/>
    </row>
    <row r="522" spans="2:20" ht="15.75" customHeight="1" x14ac:dyDescent="0.25">
      <c r="B522" s="1"/>
      <c r="F522" s="1"/>
      <c r="H522" s="1"/>
      <c r="I522" s="1"/>
      <c r="J522" s="1"/>
      <c r="M522" s="2"/>
      <c r="N522" s="2"/>
      <c r="O522" s="2"/>
      <c r="R522" s="2"/>
      <c r="S522" s="2"/>
      <c r="T522" s="2"/>
    </row>
    <row r="523" spans="2:20" ht="15.75" customHeight="1" x14ac:dyDescent="0.25">
      <c r="B523" s="1"/>
      <c r="F523" s="1"/>
      <c r="H523" s="1"/>
      <c r="I523" s="1"/>
      <c r="J523" s="1"/>
      <c r="M523" s="2"/>
      <c r="N523" s="2"/>
      <c r="O523" s="2"/>
      <c r="R523" s="2"/>
      <c r="S523" s="2"/>
      <c r="T523" s="2"/>
    </row>
    <row r="524" spans="2:20" ht="15.75" customHeight="1" x14ac:dyDescent="0.25">
      <c r="B524" s="1"/>
      <c r="F524" s="1"/>
      <c r="H524" s="1"/>
      <c r="I524" s="1"/>
      <c r="J524" s="1"/>
      <c r="M524" s="2"/>
      <c r="N524" s="2"/>
      <c r="O524" s="2"/>
      <c r="R524" s="2"/>
      <c r="S524" s="2"/>
      <c r="T524" s="2"/>
    </row>
    <row r="525" spans="2:20" ht="15.75" customHeight="1" x14ac:dyDescent="0.25">
      <c r="B525" s="1"/>
      <c r="F525" s="1"/>
      <c r="H525" s="1"/>
      <c r="I525" s="1"/>
      <c r="J525" s="1"/>
      <c r="M525" s="2"/>
      <c r="N525" s="2"/>
      <c r="O525" s="2"/>
      <c r="R525" s="2"/>
      <c r="S525" s="2"/>
      <c r="T525" s="2"/>
    </row>
    <row r="526" spans="2:20" ht="15.75" customHeight="1" x14ac:dyDescent="0.25">
      <c r="B526" s="1"/>
      <c r="F526" s="1"/>
      <c r="H526" s="1"/>
      <c r="I526" s="1"/>
      <c r="J526" s="1"/>
      <c r="M526" s="2"/>
      <c r="N526" s="2"/>
      <c r="O526" s="2"/>
      <c r="R526" s="2"/>
      <c r="S526" s="2"/>
      <c r="T526" s="2"/>
    </row>
    <row r="527" spans="2:20" ht="15.75" customHeight="1" x14ac:dyDescent="0.25">
      <c r="B527" s="1"/>
      <c r="F527" s="1"/>
      <c r="H527" s="1"/>
      <c r="I527" s="1"/>
      <c r="J527" s="1"/>
      <c r="M527" s="2"/>
      <c r="N527" s="2"/>
      <c r="O527" s="2"/>
      <c r="R527" s="2"/>
      <c r="S527" s="2"/>
      <c r="T527" s="2"/>
    </row>
    <row r="528" spans="2:20" ht="15.75" customHeight="1" x14ac:dyDescent="0.25">
      <c r="B528" s="1"/>
      <c r="F528" s="1"/>
      <c r="H528" s="1"/>
      <c r="I528" s="1"/>
      <c r="J528" s="1"/>
      <c r="M528" s="2"/>
      <c r="N528" s="2"/>
      <c r="O528" s="2"/>
      <c r="R528" s="2"/>
      <c r="S528" s="2"/>
      <c r="T528" s="2"/>
    </row>
    <row r="529" spans="2:20" ht="15.75" customHeight="1" x14ac:dyDescent="0.25">
      <c r="B529" s="1"/>
      <c r="F529" s="1"/>
      <c r="H529" s="1"/>
      <c r="I529" s="1"/>
      <c r="J529" s="1"/>
      <c r="M529" s="2"/>
      <c r="N529" s="2"/>
      <c r="O529" s="2"/>
      <c r="R529" s="2"/>
      <c r="S529" s="2"/>
      <c r="T529" s="2"/>
    </row>
    <row r="530" spans="2:20" ht="15.75" customHeight="1" x14ac:dyDescent="0.25">
      <c r="B530" s="1"/>
      <c r="F530" s="1"/>
      <c r="H530" s="1"/>
      <c r="I530" s="1"/>
      <c r="J530" s="1"/>
      <c r="M530" s="2"/>
      <c r="N530" s="2"/>
      <c r="O530" s="2"/>
      <c r="R530" s="2"/>
      <c r="S530" s="2"/>
      <c r="T530" s="2"/>
    </row>
    <row r="531" spans="2:20" ht="15.75" customHeight="1" x14ac:dyDescent="0.25">
      <c r="B531" s="1"/>
      <c r="F531" s="1"/>
      <c r="H531" s="1"/>
      <c r="I531" s="1"/>
      <c r="J531" s="1"/>
      <c r="M531" s="2"/>
      <c r="N531" s="2"/>
      <c r="O531" s="2"/>
      <c r="R531" s="2"/>
      <c r="S531" s="2"/>
      <c r="T531" s="2"/>
    </row>
    <row r="532" spans="2:20" ht="15.75" customHeight="1" x14ac:dyDescent="0.25">
      <c r="B532" s="1"/>
      <c r="F532" s="1"/>
      <c r="H532" s="1"/>
      <c r="I532" s="1"/>
      <c r="J532" s="1"/>
      <c r="M532" s="2"/>
      <c r="N532" s="2"/>
      <c r="O532" s="2"/>
      <c r="R532" s="2"/>
      <c r="S532" s="2"/>
      <c r="T532" s="2"/>
    </row>
    <row r="533" spans="2:20" ht="15.75" customHeight="1" x14ac:dyDescent="0.25">
      <c r="B533" s="1"/>
      <c r="F533" s="1"/>
      <c r="H533" s="1"/>
      <c r="I533" s="1"/>
      <c r="J533" s="1"/>
      <c r="M533" s="2"/>
      <c r="N533" s="2"/>
      <c r="O533" s="2"/>
      <c r="R533" s="2"/>
      <c r="S533" s="2"/>
      <c r="T533" s="2"/>
    </row>
    <row r="534" spans="2:20" ht="15.75" customHeight="1" x14ac:dyDescent="0.25">
      <c r="B534" s="1"/>
      <c r="F534" s="1"/>
      <c r="H534" s="1"/>
      <c r="I534" s="1"/>
      <c r="J534" s="1"/>
      <c r="M534" s="2"/>
      <c r="N534" s="2"/>
      <c r="O534" s="2"/>
      <c r="R534" s="2"/>
      <c r="S534" s="2"/>
      <c r="T534" s="2"/>
    </row>
    <row r="535" spans="2:20" ht="15.75" customHeight="1" x14ac:dyDescent="0.25">
      <c r="B535" s="1"/>
      <c r="F535" s="1"/>
      <c r="H535" s="1"/>
      <c r="I535" s="1"/>
      <c r="J535" s="1"/>
      <c r="M535" s="2"/>
      <c r="N535" s="2"/>
      <c r="O535" s="2"/>
      <c r="R535" s="2"/>
      <c r="S535" s="2"/>
      <c r="T535" s="2"/>
    </row>
    <row r="536" spans="2:20" ht="15.75" customHeight="1" x14ac:dyDescent="0.25">
      <c r="B536" s="1"/>
      <c r="F536" s="1"/>
      <c r="H536" s="1"/>
      <c r="I536" s="1"/>
      <c r="J536" s="1"/>
      <c r="M536" s="2"/>
      <c r="N536" s="2"/>
      <c r="O536" s="2"/>
      <c r="R536" s="2"/>
      <c r="S536" s="2"/>
      <c r="T536" s="2"/>
    </row>
    <row r="537" spans="2:20" ht="15.75" customHeight="1" x14ac:dyDescent="0.25">
      <c r="B537" s="1"/>
      <c r="F537" s="1"/>
      <c r="H537" s="1"/>
      <c r="I537" s="1"/>
      <c r="J537" s="1"/>
      <c r="M537" s="2"/>
      <c r="N537" s="2"/>
      <c r="O537" s="2"/>
      <c r="R537" s="2"/>
      <c r="S537" s="2"/>
      <c r="T537" s="2"/>
    </row>
    <row r="538" spans="2:20" ht="15.75" customHeight="1" x14ac:dyDescent="0.25">
      <c r="B538" s="1"/>
      <c r="F538" s="1"/>
      <c r="H538" s="1"/>
      <c r="I538" s="1"/>
      <c r="J538" s="1"/>
      <c r="M538" s="2"/>
      <c r="N538" s="2"/>
      <c r="O538" s="2"/>
      <c r="R538" s="2"/>
      <c r="S538" s="2"/>
      <c r="T538" s="2"/>
    </row>
    <row r="539" spans="2:20" ht="15.75" customHeight="1" x14ac:dyDescent="0.25">
      <c r="B539" s="1"/>
      <c r="F539" s="1"/>
      <c r="H539" s="1"/>
      <c r="I539" s="1"/>
      <c r="J539" s="1"/>
      <c r="M539" s="2"/>
      <c r="N539" s="2"/>
      <c r="O539" s="2"/>
      <c r="R539" s="2"/>
      <c r="S539" s="2"/>
      <c r="T539" s="2"/>
    </row>
    <row r="540" spans="2:20" ht="15.75" customHeight="1" x14ac:dyDescent="0.25">
      <c r="B540" s="1"/>
      <c r="F540" s="1"/>
      <c r="H540" s="1"/>
      <c r="I540" s="1"/>
      <c r="J540" s="1"/>
      <c r="M540" s="2"/>
      <c r="N540" s="2"/>
      <c r="O540" s="2"/>
      <c r="R540" s="2"/>
      <c r="S540" s="2"/>
      <c r="T540" s="2"/>
    </row>
    <row r="541" spans="2:20" ht="15.75" customHeight="1" x14ac:dyDescent="0.25">
      <c r="B541" s="1"/>
      <c r="F541" s="1"/>
      <c r="H541" s="1"/>
      <c r="I541" s="1"/>
      <c r="J541" s="1"/>
      <c r="M541" s="2"/>
      <c r="N541" s="2"/>
      <c r="O541" s="2"/>
      <c r="R541" s="2"/>
      <c r="S541" s="2"/>
      <c r="T541" s="2"/>
    </row>
    <row r="542" spans="2:20" ht="15.75" customHeight="1" x14ac:dyDescent="0.25">
      <c r="B542" s="1"/>
      <c r="F542" s="1"/>
      <c r="H542" s="1"/>
      <c r="I542" s="1"/>
      <c r="J542" s="1"/>
      <c r="M542" s="2"/>
      <c r="N542" s="2"/>
      <c r="O542" s="2"/>
      <c r="R542" s="2"/>
      <c r="S542" s="2"/>
      <c r="T542" s="2"/>
    </row>
    <row r="543" spans="2:20" ht="15.75" customHeight="1" x14ac:dyDescent="0.25">
      <c r="B543" s="1"/>
      <c r="F543" s="1"/>
      <c r="H543" s="1"/>
      <c r="I543" s="1"/>
      <c r="J543" s="1"/>
      <c r="M543" s="2"/>
      <c r="N543" s="2"/>
      <c r="O543" s="2"/>
      <c r="R543" s="2"/>
      <c r="S543" s="2"/>
      <c r="T543" s="2"/>
    </row>
    <row r="544" spans="2:20" ht="15.75" customHeight="1" x14ac:dyDescent="0.25">
      <c r="B544" s="1"/>
      <c r="F544" s="1"/>
      <c r="H544" s="1"/>
      <c r="I544" s="1"/>
      <c r="J544" s="1"/>
      <c r="M544" s="2"/>
      <c r="N544" s="2"/>
      <c r="O544" s="2"/>
      <c r="R544" s="2"/>
      <c r="S544" s="2"/>
      <c r="T544" s="2"/>
    </row>
    <row r="545" spans="2:20" ht="15.75" customHeight="1" x14ac:dyDescent="0.25">
      <c r="B545" s="1"/>
      <c r="F545" s="1"/>
      <c r="H545" s="1"/>
      <c r="I545" s="1"/>
      <c r="J545" s="1"/>
      <c r="M545" s="2"/>
      <c r="N545" s="2"/>
      <c r="O545" s="2"/>
      <c r="R545" s="2"/>
      <c r="S545" s="2"/>
      <c r="T545" s="2"/>
    </row>
    <row r="546" spans="2:20" ht="15.75" customHeight="1" x14ac:dyDescent="0.25">
      <c r="B546" s="1"/>
      <c r="F546" s="1"/>
      <c r="H546" s="1"/>
      <c r="I546" s="1"/>
      <c r="J546" s="1"/>
      <c r="M546" s="2"/>
      <c r="N546" s="2"/>
      <c r="O546" s="2"/>
      <c r="R546" s="2"/>
      <c r="S546" s="2"/>
      <c r="T546" s="2"/>
    </row>
    <row r="547" spans="2:20" ht="15.75" customHeight="1" x14ac:dyDescent="0.25">
      <c r="B547" s="1"/>
      <c r="F547" s="1"/>
      <c r="H547" s="1"/>
      <c r="I547" s="1"/>
      <c r="J547" s="1"/>
      <c r="M547" s="2"/>
      <c r="N547" s="2"/>
      <c r="O547" s="2"/>
      <c r="R547" s="2"/>
      <c r="S547" s="2"/>
      <c r="T547" s="2"/>
    </row>
    <row r="548" spans="2:20" ht="15.75" customHeight="1" x14ac:dyDescent="0.25">
      <c r="B548" s="1"/>
      <c r="F548" s="1"/>
      <c r="H548" s="1"/>
      <c r="I548" s="1"/>
      <c r="J548" s="1"/>
      <c r="M548" s="2"/>
      <c r="N548" s="2"/>
      <c r="O548" s="2"/>
      <c r="R548" s="2"/>
      <c r="S548" s="2"/>
      <c r="T548" s="2"/>
    </row>
    <row r="549" spans="2:20" ht="15.75" customHeight="1" x14ac:dyDescent="0.25">
      <c r="B549" s="1"/>
      <c r="F549" s="1"/>
      <c r="H549" s="1"/>
      <c r="I549" s="1"/>
      <c r="J549" s="1"/>
      <c r="M549" s="2"/>
      <c r="N549" s="2"/>
      <c r="O549" s="2"/>
      <c r="R549" s="2"/>
      <c r="S549" s="2"/>
      <c r="T549" s="2"/>
    </row>
    <row r="550" spans="2:20" ht="15.75" customHeight="1" x14ac:dyDescent="0.25">
      <c r="B550" s="1"/>
      <c r="F550" s="1"/>
      <c r="H550" s="1"/>
      <c r="I550" s="1"/>
      <c r="J550" s="1"/>
      <c r="M550" s="2"/>
      <c r="N550" s="2"/>
      <c r="O550" s="2"/>
      <c r="R550" s="2"/>
      <c r="S550" s="2"/>
      <c r="T550" s="2"/>
    </row>
    <row r="551" spans="2:20" ht="15.75" customHeight="1" x14ac:dyDescent="0.25">
      <c r="B551" s="1"/>
      <c r="F551" s="1"/>
      <c r="H551" s="1"/>
      <c r="I551" s="1"/>
      <c r="J551" s="1"/>
      <c r="M551" s="2"/>
      <c r="N551" s="2"/>
      <c r="O551" s="2"/>
      <c r="R551" s="2"/>
      <c r="S551" s="2"/>
      <c r="T551" s="2"/>
    </row>
    <row r="552" spans="2:20" ht="15.75" customHeight="1" x14ac:dyDescent="0.25">
      <c r="B552" s="1"/>
      <c r="F552" s="1"/>
      <c r="H552" s="1"/>
      <c r="I552" s="1"/>
      <c r="J552" s="1"/>
      <c r="M552" s="2"/>
      <c r="N552" s="2"/>
      <c r="O552" s="2"/>
      <c r="R552" s="2"/>
      <c r="S552" s="2"/>
      <c r="T552" s="2"/>
    </row>
    <row r="553" spans="2:20" ht="15.75" customHeight="1" x14ac:dyDescent="0.25">
      <c r="B553" s="1"/>
      <c r="F553" s="1"/>
      <c r="H553" s="1"/>
      <c r="I553" s="1"/>
      <c r="J553" s="1"/>
      <c r="M553" s="2"/>
      <c r="N553" s="2"/>
      <c r="O553" s="2"/>
      <c r="R553" s="2"/>
      <c r="S553" s="2"/>
      <c r="T553" s="2"/>
    </row>
    <row r="554" spans="2:20" ht="15.75" customHeight="1" x14ac:dyDescent="0.25">
      <c r="B554" s="1"/>
      <c r="F554" s="1"/>
      <c r="H554" s="1"/>
      <c r="I554" s="1"/>
      <c r="J554" s="1"/>
      <c r="M554" s="2"/>
      <c r="N554" s="2"/>
      <c r="O554" s="2"/>
      <c r="R554" s="2"/>
      <c r="S554" s="2"/>
      <c r="T554" s="2"/>
    </row>
    <row r="555" spans="2:20" ht="15.75" customHeight="1" x14ac:dyDescent="0.25">
      <c r="B555" s="1"/>
      <c r="F555" s="1"/>
      <c r="H555" s="1"/>
      <c r="I555" s="1"/>
      <c r="J555" s="1"/>
      <c r="M555" s="2"/>
      <c r="N555" s="2"/>
      <c r="O555" s="2"/>
      <c r="R555" s="2"/>
      <c r="S555" s="2"/>
      <c r="T555" s="2"/>
    </row>
    <row r="556" spans="2:20" ht="15.75" customHeight="1" x14ac:dyDescent="0.25">
      <c r="B556" s="1"/>
      <c r="F556" s="1"/>
      <c r="H556" s="1"/>
      <c r="I556" s="1"/>
      <c r="J556" s="1"/>
      <c r="M556" s="2"/>
      <c r="N556" s="2"/>
      <c r="O556" s="2"/>
      <c r="R556" s="2"/>
      <c r="S556" s="2"/>
      <c r="T556" s="2"/>
    </row>
    <row r="557" spans="2:20" ht="15.75" customHeight="1" x14ac:dyDescent="0.25">
      <c r="B557" s="1"/>
      <c r="F557" s="1"/>
      <c r="H557" s="1"/>
      <c r="I557" s="1"/>
      <c r="J557" s="1"/>
      <c r="M557" s="2"/>
      <c r="N557" s="2"/>
      <c r="O557" s="2"/>
      <c r="R557" s="2"/>
      <c r="S557" s="2"/>
      <c r="T557" s="2"/>
    </row>
    <row r="558" spans="2:20" ht="15.75" customHeight="1" x14ac:dyDescent="0.25">
      <c r="B558" s="1"/>
      <c r="F558" s="1"/>
      <c r="H558" s="1"/>
      <c r="I558" s="1"/>
      <c r="J558" s="1"/>
      <c r="M558" s="2"/>
      <c r="N558" s="2"/>
      <c r="O558" s="2"/>
      <c r="R558" s="2"/>
      <c r="S558" s="2"/>
      <c r="T558" s="2"/>
    </row>
    <row r="559" spans="2:20" ht="15.75" customHeight="1" x14ac:dyDescent="0.25">
      <c r="B559" s="1"/>
      <c r="F559" s="1"/>
      <c r="H559" s="1"/>
      <c r="I559" s="1"/>
      <c r="J559" s="1"/>
      <c r="M559" s="2"/>
      <c r="N559" s="2"/>
      <c r="O559" s="2"/>
      <c r="R559" s="2"/>
      <c r="S559" s="2"/>
      <c r="T559" s="2"/>
    </row>
    <row r="560" spans="2:20" ht="15.75" customHeight="1" x14ac:dyDescent="0.25">
      <c r="B560" s="1"/>
      <c r="F560" s="1"/>
      <c r="H560" s="1"/>
      <c r="I560" s="1"/>
      <c r="J560" s="1"/>
      <c r="M560" s="2"/>
      <c r="N560" s="2"/>
      <c r="O560" s="2"/>
      <c r="R560" s="2"/>
      <c r="S560" s="2"/>
      <c r="T560" s="2"/>
    </row>
    <row r="561" spans="2:20" ht="15.75" customHeight="1" x14ac:dyDescent="0.25">
      <c r="B561" s="1"/>
      <c r="F561" s="1"/>
      <c r="H561" s="1"/>
      <c r="I561" s="1"/>
      <c r="J561" s="1"/>
      <c r="M561" s="2"/>
      <c r="N561" s="2"/>
      <c r="O561" s="2"/>
      <c r="R561" s="2"/>
      <c r="S561" s="2"/>
      <c r="T561" s="2"/>
    </row>
    <row r="562" spans="2:20" ht="15.75" customHeight="1" x14ac:dyDescent="0.25">
      <c r="B562" s="1"/>
      <c r="F562" s="1"/>
      <c r="H562" s="1"/>
      <c r="I562" s="1"/>
      <c r="J562" s="1"/>
      <c r="M562" s="2"/>
      <c r="N562" s="2"/>
      <c r="O562" s="2"/>
      <c r="R562" s="2"/>
      <c r="S562" s="2"/>
      <c r="T562" s="2"/>
    </row>
    <row r="563" spans="2:20" ht="15.75" customHeight="1" x14ac:dyDescent="0.25">
      <c r="B563" s="1"/>
      <c r="F563" s="1"/>
      <c r="H563" s="1"/>
      <c r="I563" s="1"/>
      <c r="J563" s="1"/>
      <c r="M563" s="2"/>
      <c r="N563" s="2"/>
      <c r="O563" s="2"/>
      <c r="R563" s="2"/>
      <c r="S563" s="2"/>
      <c r="T563" s="2"/>
    </row>
    <row r="564" spans="2:20" ht="15.75" customHeight="1" x14ac:dyDescent="0.25">
      <c r="B564" s="1"/>
      <c r="F564" s="1"/>
      <c r="H564" s="1"/>
      <c r="I564" s="1"/>
      <c r="J564" s="1"/>
      <c r="M564" s="2"/>
      <c r="N564" s="2"/>
      <c r="O564" s="2"/>
      <c r="R564" s="2"/>
      <c r="S564" s="2"/>
      <c r="T564" s="2"/>
    </row>
    <row r="565" spans="2:20" ht="15.75" customHeight="1" x14ac:dyDescent="0.25">
      <c r="B565" s="1"/>
      <c r="F565" s="1"/>
      <c r="H565" s="1"/>
      <c r="I565" s="1"/>
      <c r="J565" s="1"/>
      <c r="M565" s="2"/>
      <c r="N565" s="2"/>
      <c r="O565" s="2"/>
      <c r="R565" s="2"/>
      <c r="S565" s="2"/>
      <c r="T565" s="2"/>
    </row>
    <row r="566" spans="2:20" ht="15.75" customHeight="1" x14ac:dyDescent="0.25">
      <c r="B566" s="1"/>
      <c r="F566" s="1"/>
      <c r="H566" s="1"/>
      <c r="I566" s="1"/>
      <c r="J566" s="1"/>
      <c r="M566" s="2"/>
      <c r="N566" s="2"/>
      <c r="O566" s="2"/>
      <c r="R566" s="2"/>
      <c r="S566" s="2"/>
      <c r="T566" s="2"/>
    </row>
    <row r="567" spans="2:20" ht="15.75" customHeight="1" x14ac:dyDescent="0.25">
      <c r="B567" s="1"/>
      <c r="F567" s="1"/>
      <c r="H567" s="1"/>
      <c r="I567" s="1"/>
      <c r="J567" s="1"/>
      <c r="M567" s="2"/>
      <c r="N567" s="2"/>
      <c r="O567" s="2"/>
      <c r="R567" s="2"/>
      <c r="S567" s="2"/>
      <c r="T567" s="2"/>
    </row>
    <row r="568" spans="2:20" ht="15.75" customHeight="1" x14ac:dyDescent="0.25">
      <c r="B568" s="1"/>
      <c r="F568" s="1"/>
      <c r="H568" s="1"/>
      <c r="I568" s="1"/>
      <c r="J568" s="1"/>
      <c r="M568" s="2"/>
      <c r="N568" s="2"/>
      <c r="O568" s="2"/>
      <c r="R568" s="2"/>
      <c r="S568" s="2"/>
      <c r="T568" s="2"/>
    </row>
    <row r="569" spans="2:20" ht="15.75" customHeight="1" x14ac:dyDescent="0.25">
      <c r="B569" s="1"/>
      <c r="F569" s="1"/>
      <c r="H569" s="1"/>
      <c r="I569" s="1"/>
      <c r="J569" s="1"/>
      <c r="M569" s="2"/>
      <c r="N569" s="2"/>
      <c r="O569" s="2"/>
      <c r="R569" s="2"/>
      <c r="S569" s="2"/>
      <c r="T569" s="2"/>
    </row>
    <row r="570" spans="2:20" ht="15.75" customHeight="1" x14ac:dyDescent="0.25">
      <c r="B570" s="1"/>
      <c r="F570" s="1"/>
      <c r="H570" s="1"/>
      <c r="I570" s="1"/>
      <c r="J570" s="1"/>
      <c r="M570" s="2"/>
      <c r="N570" s="2"/>
      <c r="O570" s="2"/>
      <c r="R570" s="2"/>
      <c r="S570" s="2"/>
      <c r="T570" s="2"/>
    </row>
    <row r="571" spans="2:20" ht="15.75" customHeight="1" x14ac:dyDescent="0.25">
      <c r="B571" s="1"/>
      <c r="F571" s="1"/>
      <c r="H571" s="1"/>
      <c r="I571" s="1"/>
      <c r="J571" s="1"/>
      <c r="M571" s="2"/>
      <c r="N571" s="2"/>
      <c r="O571" s="2"/>
      <c r="R571" s="2"/>
      <c r="S571" s="2"/>
      <c r="T571" s="2"/>
    </row>
    <row r="572" spans="2:20" ht="15.75" customHeight="1" x14ac:dyDescent="0.25">
      <c r="B572" s="1"/>
      <c r="F572" s="1"/>
      <c r="H572" s="1"/>
      <c r="I572" s="1"/>
      <c r="J572" s="1"/>
      <c r="M572" s="2"/>
      <c r="N572" s="2"/>
      <c r="O572" s="2"/>
      <c r="R572" s="2"/>
      <c r="S572" s="2"/>
      <c r="T572" s="2"/>
    </row>
    <row r="573" spans="2:20" ht="15.75" customHeight="1" x14ac:dyDescent="0.25">
      <c r="B573" s="1"/>
      <c r="F573" s="1"/>
      <c r="H573" s="1"/>
      <c r="I573" s="1"/>
      <c r="J573" s="1"/>
      <c r="M573" s="2"/>
      <c r="N573" s="2"/>
      <c r="O573" s="2"/>
      <c r="R573" s="2"/>
      <c r="S573" s="2"/>
      <c r="T573" s="2"/>
    </row>
    <row r="574" spans="2:20" ht="15.75" customHeight="1" x14ac:dyDescent="0.25">
      <c r="B574" s="1"/>
      <c r="F574" s="1"/>
      <c r="H574" s="1"/>
      <c r="I574" s="1"/>
      <c r="J574" s="1"/>
      <c r="M574" s="2"/>
      <c r="N574" s="2"/>
      <c r="O574" s="2"/>
      <c r="R574" s="2"/>
      <c r="S574" s="2"/>
      <c r="T574" s="2"/>
    </row>
    <row r="575" spans="2:20" ht="15.75" customHeight="1" x14ac:dyDescent="0.25">
      <c r="B575" s="1"/>
      <c r="F575" s="1"/>
      <c r="H575" s="1"/>
      <c r="I575" s="1"/>
      <c r="J575" s="1"/>
      <c r="M575" s="2"/>
      <c r="N575" s="2"/>
      <c r="O575" s="2"/>
      <c r="R575" s="2"/>
      <c r="S575" s="2"/>
      <c r="T575" s="2"/>
    </row>
    <row r="576" spans="2:20" ht="15.75" customHeight="1" x14ac:dyDescent="0.25">
      <c r="B576" s="1"/>
      <c r="F576" s="1"/>
      <c r="H576" s="1"/>
      <c r="I576" s="1"/>
      <c r="J576" s="1"/>
      <c r="M576" s="2"/>
      <c r="N576" s="2"/>
      <c r="O576" s="2"/>
      <c r="R576" s="2"/>
      <c r="S576" s="2"/>
      <c r="T576" s="2"/>
    </row>
    <row r="577" spans="2:20" ht="15.75" customHeight="1" x14ac:dyDescent="0.25">
      <c r="B577" s="1"/>
      <c r="F577" s="1"/>
      <c r="H577" s="1"/>
      <c r="I577" s="1"/>
      <c r="J577" s="1"/>
      <c r="M577" s="2"/>
      <c r="N577" s="2"/>
      <c r="O577" s="2"/>
      <c r="R577" s="2"/>
      <c r="S577" s="2"/>
      <c r="T577" s="2"/>
    </row>
    <row r="578" spans="2:20" ht="15.75" customHeight="1" x14ac:dyDescent="0.25">
      <c r="B578" s="1"/>
      <c r="F578" s="1"/>
      <c r="H578" s="1"/>
      <c r="I578" s="1"/>
      <c r="J578" s="1"/>
      <c r="M578" s="2"/>
      <c r="N578" s="2"/>
      <c r="O578" s="2"/>
      <c r="R578" s="2"/>
      <c r="S578" s="2"/>
      <c r="T578" s="2"/>
    </row>
    <row r="579" spans="2:20" ht="15.75" customHeight="1" x14ac:dyDescent="0.25">
      <c r="B579" s="1"/>
      <c r="F579" s="1"/>
      <c r="H579" s="1"/>
      <c r="I579" s="1"/>
      <c r="J579" s="1"/>
      <c r="M579" s="2"/>
      <c r="N579" s="2"/>
      <c r="O579" s="2"/>
      <c r="R579" s="2"/>
      <c r="S579" s="2"/>
      <c r="T579" s="2"/>
    </row>
    <row r="580" spans="2:20" ht="15.75" customHeight="1" x14ac:dyDescent="0.25">
      <c r="B580" s="1"/>
      <c r="F580" s="1"/>
      <c r="H580" s="1"/>
      <c r="I580" s="1"/>
      <c r="J580" s="1"/>
      <c r="M580" s="2"/>
      <c r="N580" s="2"/>
      <c r="O580" s="2"/>
      <c r="R580" s="2"/>
      <c r="S580" s="2"/>
      <c r="T580" s="2"/>
    </row>
    <row r="581" spans="2:20" ht="15.75" customHeight="1" x14ac:dyDescent="0.25">
      <c r="B581" s="1"/>
      <c r="F581" s="1"/>
      <c r="H581" s="1"/>
      <c r="I581" s="1"/>
      <c r="J581" s="1"/>
      <c r="M581" s="2"/>
      <c r="N581" s="2"/>
      <c r="O581" s="2"/>
      <c r="R581" s="2"/>
      <c r="S581" s="2"/>
      <c r="T581" s="2"/>
    </row>
    <row r="582" spans="2:20" ht="15.75" customHeight="1" x14ac:dyDescent="0.25">
      <c r="B582" s="1"/>
      <c r="F582" s="1"/>
      <c r="H582" s="1"/>
      <c r="I582" s="1"/>
      <c r="J582" s="1"/>
      <c r="M582" s="2"/>
      <c r="N582" s="2"/>
      <c r="O582" s="2"/>
      <c r="R582" s="2"/>
      <c r="S582" s="2"/>
      <c r="T582" s="2"/>
    </row>
    <row r="583" spans="2:20" ht="15.75" customHeight="1" x14ac:dyDescent="0.25">
      <c r="B583" s="1"/>
      <c r="F583" s="1"/>
      <c r="H583" s="1"/>
      <c r="I583" s="1"/>
      <c r="J583" s="1"/>
      <c r="M583" s="2"/>
      <c r="N583" s="2"/>
      <c r="O583" s="2"/>
      <c r="R583" s="2"/>
      <c r="S583" s="2"/>
      <c r="T583" s="2"/>
    </row>
    <row r="584" spans="2:20" ht="15.75" customHeight="1" x14ac:dyDescent="0.25">
      <c r="B584" s="1"/>
      <c r="F584" s="1"/>
      <c r="H584" s="1"/>
      <c r="I584" s="1"/>
      <c r="J584" s="1"/>
      <c r="M584" s="2"/>
      <c r="N584" s="2"/>
      <c r="O584" s="2"/>
      <c r="R584" s="2"/>
      <c r="S584" s="2"/>
      <c r="T584" s="2"/>
    </row>
    <row r="585" spans="2:20" ht="15.75" customHeight="1" x14ac:dyDescent="0.25">
      <c r="B585" s="1"/>
      <c r="F585" s="1"/>
      <c r="H585" s="1"/>
      <c r="I585" s="1"/>
      <c r="J585" s="1"/>
      <c r="M585" s="2"/>
      <c r="N585" s="2"/>
      <c r="O585" s="2"/>
      <c r="R585" s="2"/>
      <c r="S585" s="2"/>
      <c r="T585" s="2"/>
    </row>
    <row r="586" spans="2:20" ht="15.75" customHeight="1" x14ac:dyDescent="0.25">
      <c r="B586" s="1"/>
      <c r="F586" s="1"/>
      <c r="H586" s="1"/>
      <c r="I586" s="1"/>
      <c r="J586" s="1"/>
      <c r="M586" s="2"/>
      <c r="N586" s="2"/>
      <c r="O586" s="2"/>
      <c r="R586" s="2"/>
      <c r="S586" s="2"/>
      <c r="T586" s="2"/>
    </row>
    <row r="587" spans="2:20" ht="15.75" customHeight="1" x14ac:dyDescent="0.25">
      <c r="B587" s="1"/>
      <c r="F587" s="1"/>
      <c r="H587" s="1"/>
      <c r="I587" s="1"/>
      <c r="J587" s="1"/>
      <c r="M587" s="2"/>
      <c r="N587" s="2"/>
      <c r="O587" s="2"/>
      <c r="R587" s="2"/>
      <c r="S587" s="2"/>
      <c r="T587" s="2"/>
    </row>
    <row r="588" spans="2:20" ht="15.75" customHeight="1" x14ac:dyDescent="0.25">
      <c r="B588" s="1"/>
      <c r="F588" s="1"/>
      <c r="H588" s="1"/>
      <c r="I588" s="1"/>
      <c r="J588" s="1"/>
      <c r="M588" s="2"/>
      <c r="N588" s="2"/>
      <c r="O588" s="2"/>
      <c r="R588" s="2"/>
      <c r="S588" s="2"/>
      <c r="T588" s="2"/>
    </row>
    <row r="589" spans="2:20" ht="15.75" customHeight="1" x14ac:dyDescent="0.25">
      <c r="B589" s="1"/>
      <c r="F589" s="1"/>
      <c r="H589" s="1"/>
      <c r="I589" s="1"/>
      <c r="J589" s="1"/>
      <c r="M589" s="2"/>
      <c r="N589" s="2"/>
      <c r="O589" s="2"/>
      <c r="R589" s="2"/>
      <c r="S589" s="2"/>
      <c r="T589" s="2"/>
    </row>
    <row r="590" spans="2:20" ht="15.75" customHeight="1" x14ac:dyDescent="0.25">
      <c r="B590" s="1"/>
      <c r="F590" s="1"/>
      <c r="H590" s="1"/>
      <c r="I590" s="1"/>
      <c r="J590" s="1"/>
      <c r="M590" s="2"/>
      <c r="N590" s="2"/>
      <c r="O590" s="2"/>
      <c r="R590" s="2"/>
      <c r="S590" s="2"/>
      <c r="T590" s="2"/>
    </row>
    <row r="591" spans="2:20" ht="15.75" customHeight="1" x14ac:dyDescent="0.25">
      <c r="B591" s="1"/>
      <c r="F591" s="1"/>
      <c r="H591" s="1"/>
      <c r="I591" s="1"/>
      <c r="J591" s="1"/>
      <c r="M591" s="2"/>
      <c r="N591" s="2"/>
      <c r="O591" s="2"/>
      <c r="R591" s="2"/>
      <c r="S591" s="2"/>
      <c r="T591" s="2"/>
    </row>
    <row r="592" spans="2:20" ht="15.75" customHeight="1" x14ac:dyDescent="0.25">
      <c r="B592" s="1"/>
      <c r="F592" s="1"/>
      <c r="H592" s="1"/>
      <c r="I592" s="1"/>
      <c r="J592" s="1"/>
      <c r="M592" s="2"/>
      <c r="N592" s="2"/>
      <c r="O592" s="2"/>
      <c r="R592" s="2"/>
      <c r="S592" s="2"/>
      <c r="T592" s="2"/>
    </row>
    <row r="593" spans="2:20" ht="15.75" customHeight="1" x14ac:dyDescent="0.25">
      <c r="B593" s="1"/>
      <c r="F593" s="1"/>
      <c r="H593" s="1"/>
      <c r="I593" s="1"/>
      <c r="J593" s="1"/>
      <c r="M593" s="2"/>
      <c r="N593" s="2"/>
      <c r="O593" s="2"/>
      <c r="R593" s="2"/>
      <c r="S593" s="2"/>
      <c r="T593" s="2"/>
    </row>
    <row r="594" spans="2:20" ht="15.75" customHeight="1" x14ac:dyDescent="0.25">
      <c r="B594" s="1"/>
      <c r="F594" s="1"/>
      <c r="H594" s="1"/>
      <c r="I594" s="1"/>
      <c r="J594" s="1"/>
      <c r="M594" s="2"/>
      <c r="N594" s="2"/>
      <c r="O594" s="2"/>
      <c r="R594" s="2"/>
      <c r="S594" s="2"/>
      <c r="T594" s="2"/>
    </row>
    <row r="595" spans="2:20" ht="15.75" customHeight="1" x14ac:dyDescent="0.25">
      <c r="B595" s="1"/>
      <c r="F595" s="1"/>
      <c r="H595" s="1"/>
      <c r="I595" s="1"/>
      <c r="J595" s="1"/>
      <c r="M595" s="2"/>
      <c r="N595" s="2"/>
      <c r="O595" s="2"/>
      <c r="R595" s="2"/>
      <c r="S595" s="2"/>
      <c r="T595" s="2"/>
    </row>
    <row r="596" spans="2:20" ht="15.75" customHeight="1" x14ac:dyDescent="0.25">
      <c r="B596" s="1"/>
      <c r="F596" s="1"/>
      <c r="H596" s="1"/>
      <c r="I596" s="1"/>
      <c r="J596" s="1"/>
      <c r="M596" s="2"/>
      <c r="N596" s="2"/>
      <c r="O596" s="2"/>
      <c r="R596" s="2"/>
      <c r="S596" s="2"/>
      <c r="T596" s="2"/>
    </row>
    <row r="597" spans="2:20" ht="15.75" customHeight="1" x14ac:dyDescent="0.25">
      <c r="B597" s="1"/>
      <c r="F597" s="1"/>
      <c r="H597" s="1"/>
      <c r="I597" s="1"/>
      <c r="J597" s="1"/>
      <c r="M597" s="2"/>
      <c r="N597" s="2"/>
      <c r="O597" s="2"/>
      <c r="R597" s="2"/>
      <c r="S597" s="2"/>
      <c r="T597" s="2"/>
    </row>
    <row r="598" spans="2:20" ht="15.75" customHeight="1" x14ac:dyDescent="0.25">
      <c r="B598" s="1"/>
      <c r="F598" s="1"/>
      <c r="H598" s="1"/>
      <c r="I598" s="1"/>
      <c r="J598" s="1"/>
      <c r="M598" s="2"/>
      <c r="N598" s="2"/>
      <c r="O598" s="2"/>
      <c r="R598" s="2"/>
      <c r="S598" s="2"/>
      <c r="T598" s="2"/>
    </row>
    <row r="599" spans="2:20" ht="15.75" customHeight="1" x14ac:dyDescent="0.25">
      <c r="B599" s="1"/>
      <c r="F599" s="1"/>
      <c r="H599" s="1"/>
      <c r="I599" s="1"/>
      <c r="J599" s="1"/>
      <c r="M599" s="2"/>
      <c r="N599" s="2"/>
      <c r="O599" s="2"/>
      <c r="R599" s="2"/>
      <c r="S599" s="2"/>
      <c r="T599" s="2"/>
    </row>
    <row r="600" spans="2:20" ht="15.75" customHeight="1" x14ac:dyDescent="0.25">
      <c r="B600" s="1"/>
      <c r="F600" s="1"/>
      <c r="H600" s="1"/>
      <c r="I600" s="1"/>
      <c r="J600" s="1"/>
      <c r="M600" s="2"/>
      <c r="N600" s="2"/>
      <c r="O600" s="2"/>
      <c r="R600" s="2"/>
      <c r="S600" s="2"/>
      <c r="T600" s="2"/>
    </row>
    <row r="601" spans="2:20" ht="15.75" customHeight="1" x14ac:dyDescent="0.25">
      <c r="B601" s="1"/>
      <c r="F601" s="1"/>
      <c r="H601" s="1"/>
      <c r="I601" s="1"/>
      <c r="J601" s="1"/>
      <c r="M601" s="2"/>
      <c r="N601" s="2"/>
      <c r="O601" s="2"/>
      <c r="R601" s="2"/>
      <c r="S601" s="2"/>
      <c r="T601" s="2"/>
    </row>
    <row r="602" spans="2:20" ht="15.75" customHeight="1" x14ac:dyDescent="0.25">
      <c r="B602" s="1"/>
      <c r="F602" s="1"/>
      <c r="H602" s="1"/>
      <c r="I602" s="1"/>
      <c r="J602" s="1"/>
      <c r="M602" s="2"/>
      <c r="N602" s="2"/>
      <c r="O602" s="2"/>
      <c r="R602" s="2"/>
      <c r="S602" s="2"/>
      <c r="T602" s="2"/>
    </row>
    <row r="603" spans="2:20" ht="15.75" customHeight="1" x14ac:dyDescent="0.25">
      <c r="B603" s="1"/>
      <c r="F603" s="1"/>
      <c r="H603" s="1"/>
      <c r="I603" s="1"/>
      <c r="J603" s="1"/>
      <c r="M603" s="2"/>
      <c r="N603" s="2"/>
      <c r="O603" s="2"/>
      <c r="R603" s="2"/>
      <c r="S603" s="2"/>
      <c r="T603" s="2"/>
    </row>
    <row r="604" spans="2:20" ht="15.75" customHeight="1" x14ac:dyDescent="0.25">
      <c r="B604" s="1"/>
      <c r="F604" s="1"/>
      <c r="H604" s="1"/>
      <c r="I604" s="1"/>
      <c r="J604" s="1"/>
      <c r="M604" s="2"/>
      <c r="N604" s="2"/>
      <c r="O604" s="2"/>
      <c r="R604" s="2"/>
      <c r="S604" s="2"/>
      <c r="T604" s="2"/>
    </row>
    <row r="605" spans="2:20" ht="15.75" customHeight="1" x14ac:dyDescent="0.25">
      <c r="B605" s="1"/>
      <c r="F605" s="1"/>
      <c r="H605" s="1"/>
      <c r="I605" s="1"/>
      <c r="J605" s="1"/>
      <c r="M605" s="2"/>
      <c r="N605" s="2"/>
      <c r="O605" s="2"/>
      <c r="R605" s="2"/>
      <c r="S605" s="2"/>
      <c r="T605" s="2"/>
    </row>
    <row r="606" spans="2:20" ht="15.75" customHeight="1" x14ac:dyDescent="0.25">
      <c r="B606" s="1"/>
      <c r="F606" s="1"/>
      <c r="H606" s="1"/>
      <c r="I606" s="1"/>
      <c r="J606" s="1"/>
      <c r="M606" s="2"/>
      <c r="N606" s="2"/>
      <c r="O606" s="2"/>
      <c r="R606" s="2"/>
      <c r="S606" s="2"/>
      <c r="T606" s="2"/>
    </row>
    <row r="607" spans="2:20" ht="15.75" customHeight="1" x14ac:dyDescent="0.25">
      <c r="B607" s="1"/>
      <c r="F607" s="1"/>
      <c r="H607" s="1"/>
      <c r="I607" s="1"/>
      <c r="J607" s="1"/>
      <c r="M607" s="2"/>
      <c r="N607" s="2"/>
      <c r="O607" s="2"/>
      <c r="R607" s="2"/>
      <c r="S607" s="2"/>
      <c r="T607" s="2"/>
    </row>
    <row r="608" spans="2:20" ht="15.75" customHeight="1" x14ac:dyDescent="0.25">
      <c r="B608" s="1"/>
      <c r="F608" s="1"/>
      <c r="H608" s="1"/>
      <c r="I608" s="1"/>
      <c r="J608" s="1"/>
      <c r="M608" s="2"/>
      <c r="N608" s="2"/>
      <c r="O608" s="2"/>
      <c r="R608" s="2"/>
      <c r="S608" s="2"/>
      <c r="T608" s="2"/>
    </row>
    <row r="609" spans="2:20" ht="15.75" customHeight="1" x14ac:dyDescent="0.25">
      <c r="B609" s="1"/>
      <c r="F609" s="1"/>
      <c r="H609" s="1"/>
      <c r="I609" s="1"/>
      <c r="J609" s="1"/>
      <c r="M609" s="2"/>
      <c r="N609" s="2"/>
      <c r="O609" s="2"/>
      <c r="R609" s="2"/>
      <c r="S609" s="2"/>
      <c r="T609" s="2"/>
    </row>
    <row r="610" spans="2:20" ht="15.75" customHeight="1" x14ac:dyDescent="0.25">
      <c r="B610" s="1"/>
      <c r="F610" s="1"/>
      <c r="H610" s="1"/>
      <c r="I610" s="1"/>
      <c r="J610" s="1"/>
      <c r="M610" s="2"/>
      <c r="N610" s="2"/>
      <c r="O610" s="2"/>
      <c r="R610" s="2"/>
      <c r="S610" s="2"/>
      <c r="T610" s="2"/>
    </row>
    <row r="611" spans="2:20" ht="15.75" customHeight="1" x14ac:dyDescent="0.25">
      <c r="B611" s="1"/>
      <c r="F611" s="1"/>
      <c r="H611" s="1"/>
      <c r="I611" s="1"/>
      <c r="J611" s="1"/>
      <c r="M611" s="2"/>
      <c r="N611" s="2"/>
      <c r="O611" s="2"/>
      <c r="R611" s="2"/>
      <c r="S611" s="2"/>
      <c r="T611" s="2"/>
    </row>
    <row r="612" spans="2:20" ht="15.75" customHeight="1" x14ac:dyDescent="0.25">
      <c r="B612" s="1"/>
      <c r="F612" s="1"/>
      <c r="H612" s="1"/>
      <c r="I612" s="1"/>
      <c r="J612" s="1"/>
      <c r="M612" s="2"/>
      <c r="N612" s="2"/>
      <c r="O612" s="2"/>
      <c r="R612" s="2"/>
      <c r="S612" s="2"/>
      <c r="T612" s="2"/>
    </row>
    <row r="613" spans="2:20" ht="15.75" customHeight="1" x14ac:dyDescent="0.25">
      <c r="B613" s="1"/>
      <c r="F613" s="1"/>
      <c r="H613" s="1"/>
      <c r="I613" s="1"/>
      <c r="J613" s="1"/>
      <c r="M613" s="2"/>
      <c r="N613" s="2"/>
      <c r="O613" s="2"/>
      <c r="R613" s="2"/>
      <c r="S613" s="2"/>
      <c r="T613" s="2"/>
    </row>
    <row r="614" spans="2:20" ht="15.75" customHeight="1" x14ac:dyDescent="0.25">
      <c r="B614" s="1"/>
      <c r="F614" s="1"/>
      <c r="H614" s="1"/>
      <c r="I614" s="1"/>
      <c r="J614" s="1"/>
      <c r="M614" s="2"/>
      <c r="N614" s="2"/>
      <c r="O614" s="2"/>
      <c r="R614" s="2"/>
      <c r="S614" s="2"/>
      <c r="T614" s="2"/>
    </row>
    <row r="615" spans="2:20" ht="15.75" customHeight="1" x14ac:dyDescent="0.25">
      <c r="B615" s="1"/>
      <c r="F615" s="1"/>
      <c r="H615" s="1"/>
      <c r="I615" s="1"/>
      <c r="J615" s="1"/>
      <c r="M615" s="2"/>
      <c r="N615" s="2"/>
      <c r="O615" s="2"/>
      <c r="R615" s="2"/>
      <c r="S615" s="2"/>
      <c r="T615" s="2"/>
    </row>
    <row r="616" spans="2:20" ht="15.75" customHeight="1" x14ac:dyDescent="0.25">
      <c r="B616" s="1"/>
      <c r="F616" s="1"/>
      <c r="H616" s="1"/>
      <c r="I616" s="1"/>
      <c r="J616" s="1"/>
      <c r="M616" s="2"/>
      <c r="N616" s="2"/>
      <c r="O616" s="2"/>
      <c r="R616" s="2"/>
      <c r="S616" s="2"/>
      <c r="T616" s="2"/>
    </row>
    <row r="617" spans="2:20" ht="15.75" customHeight="1" x14ac:dyDescent="0.25">
      <c r="B617" s="1"/>
      <c r="F617" s="1"/>
      <c r="H617" s="1"/>
      <c r="I617" s="1"/>
      <c r="J617" s="1"/>
      <c r="M617" s="2"/>
      <c r="N617" s="2"/>
      <c r="O617" s="2"/>
      <c r="R617" s="2"/>
      <c r="S617" s="2"/>
      <c r="T617" s="2"/>
    </row>
    <row r="618" spans="2:20" ht="15.75" customHeight="1" x14ac:dyDescent="0.25">
      <c r="B618" s="1"/>
      <c r="F618" s="1"/>
      <c r="H618" s="1"/>
      <c r="I618" s="1"/>
      <c r="J618" s="1"/>
      <c r="M618" s="2"/>
      <c r="N618" s="2"/>
      <c r="O618" s="2"/>
      <c r="R618" s="2"/>
      <c r="S618" s="2"/>
      <c r="T618" s="2"/>
    </row>
    <row r="619" spans="2:20" ht="15.75" customHeight="1" x14ac:dyDescent="0.25">
      <c r="B619" s="1"/>
      <c r="F619" s="1"/>
      <c r="H619" s="1"/>
      <c r="I619" s="1"/>
      <c r="J619" s="1"/>
      <c r="M619" s="2"/>
      <c r="N619" s="2"/>
      <c r="O619" s="2"/>
      <c r="R619" s="2"/>
      <c r="S619" s="2"/>
      <c r="T619" s="2"/>
    </row>
    <row r="620" spans="2:20" ht="15.75" customHeight="1" x14ac:dyDescent="0.25">
      <c r="B620" s="1"/>
      <c r="F620" s="1"/>
      <c r="H620" s="1"/>
      <c r="I620" s="1"/>
      <c r="J620" s="1"/>
      <c r="M620" s="2"/>
      <c r="N620" s="2"/>
      <c r="O620" s="2"/>
      <c r="R620" s="2"/>
      <c r="S620" s="2"/>
      <c r="T620" s="2"/>
    </row>
    <row r="621" spans="2:20" ht="15.75" customHeight="1" x14ac:dyDescent="0.25">
      <c r="B621" s="1"/>
      <c r="F621" s="1"/>
      <c r="H621" s="1"/>
      <c r="I621" s="1"/>
      <c r="J621" s="1"/>
      <c r="M621" s="2"/>
      <c r="N621" s="2"/>
      <c r="O621" s="2"/>
      <c r="R621" s="2"/>
      <c r="S621" s="2"/>
      <c r="T621" s="2"/>
    </row>
    <row r="622" spans="2:20" ht="15.75" customHeight="1" x14ac:dyDescent="0.25">
      <c r="B622" s="1"/>
      <c r="F622" s="1"/>
      <c r="H622" s="1"/>
      <c r="I622" s="1"/>
      <c r="J622" s="1"/>
      <c r="M622" s="2"/>
      <c r="N622" s="2"/>
      <c r="O622" s="2"/>
      <c r="R622" s="2"/>
      <c r="S622" s="2"/>
      <c r="T622" s="2"/>
    </row>
    <row r="623" spans="2:20" ht="15.75" customHeight="1" x14ac:dyDescent="0.25">
      <c r="B623" s="1"/>
      <c r="F623" s="1"/>
      <c r="H623" s="1"/>
      <c r="I623" s="1"/>
      <c r="J623" s="1"/>
      <c r="M623" s="2"/>
      <c r="N623" s="2"/>
      <c r="O623" s="2"/>
      <c r="R623" s="2"/>
      <c r="S623" s="2"/>
      <c r="T623" s="2"/>
    </row>
    <row r="624" spans="2:20" ht="15.75" customHeight="1" x14ac:dyDescent="0.25">
      <c r="B624" s="1"/>
      <c r="F624" s="1"/>
      <c r="H624" s="1"/>
      <c r="I624" s="1"/>
      <c r="J624" s="1"/>
      <c r="M624" s="2"/>
      <c r="N624" s="2"/>
      <c r="O624" s="2"/>
      <c r="R624" s="2"/>
      <c r="S624" s="2"/>
      <c r="T624" s="2"/>
    </row>
    <row r="625" spans="2:20" ht="15.75" customHeight="1" x14ac:dyDescent="0.25">
      <c r="B625" s="1"/>
      <c r="F625" s="1"/>
      <c r="H625" s="1"/>
      <c r="I625" s="1"/>
      <c r="J625" s="1"/>
      <c r="M625" s="2"/>
      <c r="N625" s="2"/>
      <c r="O625" s="2"/>
      <c r="R625" s="2"/>
      <c r="S625" s="2"/>
      <c r="T625" s="2"/>
    </row>
    <row r="626" spans="2:20" ht="15.75" customHeight="1" x14ac:dyDescent="0.25">
      <c r="B626" s="1"/>
      <c r="F626" s="1"/>
      <c r="H626" s="1"/>
      <c r="I626" s="1"/>
      <c r="J626" s="1"/>
      <c r="M626" s="2"/>
      <c r="N626" s="2"/>
      <c r="O626" s="2"/>
      <c r="R626" s="2"/>
      <c r="S626" s="2"/>
      <c r="T626" s="2"/>
    </row>
    <row r="627" spans="2:20" ht="15.75" customHeight="1" x14ac:dyDescent="0.25">
      <c r="B627" s="1"/>
      <c r="F627" s="1"/>
      <c r="H627" s="1"/>
      <c r="I627" s="1"/>
      <c r="J627" s="1"/>
      <c r="M627" s="2"/>
      <c r="N627" s="2"/>
      <c r="O627" s="2"/>
      <c r="R627" s="2"/>
      <c r="S627" s="2"/>
      <c r="T627" s="2"/>
    </row>
    <row r="628" spans="2:20" ht="15.75" customHeight="1" x14ac:dyDescent="0.25">
      <c r="B628" s="1"/>
      <c r="F628" s="1"/>
      <c r="H628" s="1"/>
      <c r="I628" s="1"/>
      <c r="J628" s="1"/>
      <c r="M628" s="2"/>
      <c r="N628" s="2"/>
      <c r="O628" s="2"/>
      <c r="R628" s="2"/>
      <c r="S628" s="2"/>
      <c r="T628" s="2"/>
    </row>
    <row r="629" spans="2:20" ht="15.75" customHeight="1" x14ac:dyDescent="0.25">
      <c r="B629" s="1"/>
      <c r="F629" s="1"/>
      <c r="H629" s="1"/>
      <c r="I629" s="1"/>
      <c r="J629" s="1"/>
      <c r="M629" s="2"/>
      <c r="N629" s="2"/>
      <c r="O629" s="2"/>
      <c r="R629" s="2"/>
      <c r="S629" s="2"/>
      <c r="T629" s="2"/>
    </row>
    <row r="630" spans="2:20" ht="15.75" customHeight="1" x14ac:dyDescent="0.25">
      <c r="B630" s="1"/>
      <c r="F630" s="1"/>
      <c r="H630" s="1"/>
      <c r="I630" s="1"/>
      <c r="J630" s="1"/>
      <c r="M630" s="2"/>
      <c r="N630" s="2"/>
      <c r="O630" s="2"/>
      <c r="R630" s="2"/>
      <c r="S630" s="2"/>
      <c r="T630" s="2"/>
    </row>
    <row r="631" spans="2:20" ht="15.75" customHeight="1" x14ac:dyDescent="0.25">
      <c r="B631" s="1"/>
      <c r="F631" s="1"/>
      <c r="H631" s="1"/>
      <c r="I631" s="1"/>
      <c r="J631" s="1"/>
      <c r="M631" s="2"/>
      <c r="N631" s="2"/>
      <c r="O631" s="2"/>
      <c r="R631" s="2"/>
      <c r="S631" s="2"/>
      <c r="T631" s="2"/>
    </row>
    <row r="632" spans="2:20" ht="15.75" customHeight="1" x14ac:dyDescent="0.25">
      <c r="B632" s="1"/>
      <c r="F632" s="1"/>
      <c r="H632" s="1"/>
      <c r="I632" s="1"/>
      <c r="J632" s="1"/>
      <c r="M632" s="2"/>
      <c r="N632" s="2"/>
      <c r="O632" s="2"/>
      <c r="R632" s="2"/>
      <c r="S632" s="2"/>
      <c r="T632" s="2"/>
    </row>
    <row r="633" spans="2:20" ht="15.75" customHeight="1" x14ac:dyDescent="0.25">
      <c r="B633" s="1"/>
      <c r="F633" s="1"/>
      <c r="H633" s="1"/>
      <c r="I633" s="1"/>
      <c r="J633" s="1"/>
      <c r="M633" s="2"/>
      <c r="N633" s="2"/>
      <c r="O633" s="2"/>
      <c r="R633" s="2"/>
      <c r="S633" s="2"/>
      <c r="T633" s="2"/>
    </row>
    <row r="634" spans="2:20" ht="15.75" customHeight="1" x14ac:dyDescent="0.25">
      <c r="B634" s="1"/>
      <c r="F634" s="1"/>
      <c r="H634" s="1"/>
      <c r="I634" s="1"/>
      <c r="J634" s="1"/>
      <c r="M634" s="2"/>
      <c r="N634" s="2"/>
      <c r="O634" s="2"/>
      <c r="R634" s="2"/>
      <c r="S634" s="2"/>
      <c r="T634" s="2"/>
    </row>
    <row r="635" spans="2:20" ht="15.75" customHeight="1" x14ac:dyDescent="0.25">
      <c r="B635" s="1"/>
      <c r="F635" s="1"/>
      <c r="H635" s="1"/>
      <c r="I635" s="1"/>
      <c r="J635" s="1"/>
      <c r="M635" s="2"/>
      <c r="N635" s="2"/>
      <c r="O635" s="2"/>
      <c r="R635" s="2"/>
      <c r="S635" s="2"/>
      <c r="T635" s="2"/>
    </row>
    <row r="636" spans="2:20" ht="15.75" customHeight="1" x14ac:dyDescent="0.25">
      <c r="B636" s="1"/>
      <c r="F636" s="1"/>
      <c r="H636" s="1"/>
      <c r="I636" s="1"/>
      <c r="J636" s="1"/>
      <c r="M636" s="2"/>
      <c r="N636" s="2"/>
      <c r="O636" s="2"/>
      <c r="R636" s="2"/>
      <c r="S636" s="2"/>
      <c r="T636" s="2"/>
    </row>
    <row r="637" spans="2:20" ht="15.75" customHeight="1" x14ac:dyDescent="0.25">
      <c r="B637" s="1"/>
      <c r="F637" s="1"/>
      <c r="H637" s="1"/>
      <c r="I637" s="1"/>
      <c r="J637" s="1"/>
      <c r="M637" s="2"/>
      <c r="N637" s="2"/>
      <c r="O637" s="2"/>
      <c r="R637" s="2"/>
      <c r="S637" s="2"/>
      <c r="T637" s="2"/>
    </row>
    <row r="638" spans="2:20" ht="15.75" customHeight="1" x14ac:dyDescent="0.25">
      <c r="B638" s="1"/>
      <c r="F638" s="1"/>
      <c r="H638" s="1"/>
      <c r="I638" s="1"/>
      <c r="J638" s="1"/>
      <c r="M638" s="2"/>
      <c r="N638" s="2"/>
      <c r="O638" s="2"/>
      <c r="R638" s="2"/>
      <c r="S638" s="2"/>
      <c r="T638" s="2"/>
    </row>
    <row r="639" spans="2:20" ht="15.75" customHeight="1" x14ac:dyDescent="0.25">
      <c r="B639" s="1"/>
      <c r="F639" s="1"/>
      <c r="H639" s="1"/>
      <c r="I639" s="1"/>
      <c r="J639" s="1"/>
      <c r="M639" s="2"/>
      <c r="N639" s="2"/>
      <c r="O639" s="2"/>
      <c r="R639" s="2"/>
      <c r="S639" s="2"/>
      <c r="T639" s="2"/>
    </row>
    <row r="640" spans="2:20" ht="15.75" customHeight="1" x14ac:dyDescent="0.25">
      <c r="B640" s="1"/>
      <c r="F640" s="1"/>
      <c r="H640" s="1"/>
      <c r="I640" s="1"/>
      <c r="J640" s="1"/>
      <c r="M640" s="2"/>
      <c r="N640" s="2"/>
      <c r="O640" s="2"/>
      <c r="R640" s="2"/>
      <c r="S640" s="2"/>
      <c r="T640" s="2"/>
    </row>
    <row r="641" spans="2:20" ht="15.75" customHeight="1" x14ac:dyDescent="0.25">
      <c r="B641" s="1"/>
      <c r="F641" s="1"/>
      <c r="H641" s="1"/>
      <c r="I641" s="1"/>
      <c r="J641" s="1"/>
      <c r="M641" s="2"/>
      <c r="N641" s="2"/>
      <c r="O641" s="2"/>
      <c r="R641" s="2"/>
      <c r="S641" s="2"/>
      <c r="T641" s="2"/>
    </row>
    <row r="642" spans="2:20" ht="15.75" customHeight="1" x14ac:dyDescent="0.25">
      <c r="B642" s="1"/>
      <c r="F642" s="1"/>
      <c r="H642" s="1"/>
      <c r="I642" s="1"/>
      <c r="J642" s="1"/>
      <c r="M642" s="2"/>
      <c r="N642" s="2"/>
      <c r="O642" s="2"/>
      <c r="R642" s="2"/>
      <c r="S642" s="2"/>
      <c r="T642" s="2"/>
    </row>
    <row r="643" spans="2:20" ht="15.75" customHeight="1" x14ac:dyDescent="0.25">
      <c r="B643" s="1"/>
      <c r="F643" s="1"/>
      <c r="H643" s="1"/>
      <c r="I643" s="1"/>
      <c r="J643" s="1"/>
      <c r="M643" s="2"/>
      <c r="N643" s="2"/>
      <c r="O643" s="2"/>
      <c r="R643" s="2"/>
      <c r="S643" s="2"/>
      <c r="T643" s="2"/>
    </row>
    <row r="644" spans="2:20" ht="15.75" customHeight="1" x14ac:dyDescent="0.25">
      <c r="B644" s="1"/>
      <c r="F644" s="1"/>
      <c r="H644" s="1"/>
      <c r="I644" s="1"/>
      <c r="J644" s="1"/>
      <c r="M644" s="2"/>
      <c r="N644" s="2"/>
      <c r="O644" s="2"/>
      <c r="R644" s="2"/>
      <c r="S644" s="2"/>
      <c r="T644" s="2"/>
    </row>
    <row r="645" spans="2:20" ht="15.75" customHeight="1" x14ac:dyDescent="0.25">
      <c r="B645" s="1"/>
      <c r="F645" s="1"/>
      <c r="H645" s="1"/>
      <c r="I645" s="1"/>
      <c r="J645" s="1"/>
      <c r="M645" s="2"/>
      <c r="N645" s="2"/>
      <c r="O645" s="2"/>
      <c r="R645" s="2"/>
      <c r="S645" s="2"/>
      <c r="T645" s="2"/>
    </row>
    <row r="646" spans="2:20" ht="15.75" customHeight="1" x14ac:dyDescent="0.25">
      <c r="B646" s="1"/>
      <c r="F646" s="1"/>
      <c r="H646" s="1"/>
      <c r="I646" s="1"/>
      <c r="J646" s="1"/>
      <c r="M646" s="2"/>
      <c r="N646" s="2"/>
      <c r="O646" s="2"/>
      <c r="R646" s="2"/>
      <c r="S646" s="2"/>
      <c r="T646" s="2"/>
    </row>
    <row r="647" spans="2:20" ht="15.75" customHeight="1" x14ac:dyDescent="0.25">
      <c r="B647" s="1"/>
      <c r="F647" s="1"/>
      <c r="H647" s="1"/>
      <c r="I647" s="1"/>
      <c r="J647" s="1"/>
      <c r="M647" s="2"/>
      <c r="N647" s="2"/>
      <c r="O647" s="2"/>
      <c r="R647" s="2"/>
      <c r="S647" s="2"/>
      <c r="T647" s="2"/>
    </row>
    <row r="648" spans="2:20" ht="15.75" customHeight="1" x14ac:dyDescent="0.25">
      <c r="B648" s="1"/>
      <c r="F648" s="1"/>
      <c r="H648" s="1"/>
      <c r="I648" s="1"/>
      <c r="J648" s="1"/>
      <c r="M648" s="2"/>
      <c r="N648" s="2"/>
      <c r="O648" s="2"/>
      <c r="R648" s="2"/>
      <c r="S648" s="2"/>
      <c r="T648" s="2"/>
    </row>
    <row r="649" spans="2:20" ht="15.75" customHeight="1" x14ac:dyDescent="0.25">
      <c r="B649" s="1"/>
      <c r="F649" s="1"/>
      <c r="H649" s="1"/>
      <c r="I649" s="1"/>
      <c r="J649" s="1"/>
      <c r="M649" s="2"/>
      <c r="N649" s="2"/>
      <c r="O649" s="2"/>
      <c r="R649" s="2"/>
      <c r="S649" s="2"/>
      <c r="T649" s="2"/>
    </row>
    <row r="650" spans="2:20" ht="15.75" customHeight="1" x14ac:dyDescent="0.25">
      <c r="B650" s="1"/>
      <c r="F650" s="1"/>
      <c r="H650" s="1"/>
      <c r="I650" s="1"/>
      <c r="J650" s="1"/>
      <c r="M650" s="2"/>
      <c r="N650" s="2"/>
      <c r="O650" s="2"/>
      <c r="R650" s="2"/>
      <c r="S650" s="2"/>
      <c r="T650" s="2"/>
    </row>
    <row r="651" spans="2:20" ht="15.75" customHeight="1" x14ac:dyDescent="0.25">
      <c r="B651" s="1"/>
      <c r="F651" s="1"/>
      <c r="H651" s="1"/>
      <c r="I651" s="1"/>
      <c r="J651" s="1"/>
      <c r="M651" s="2"/>
      <c r="N651" s="2"/>
      <c r="O651" s="2"/>
      <c r="R651" s="2"/>
      <c r="S651" s="2"/>
      <c r="T651" s="2"/>
    </row>
    <row r="652" spans="2:20" ht="15.75" customHeight="1" x14ac:dyDescent="0.25">
      <c r="B652" s="1"/>
      <c r="F652" s="1"/>
      <c r="H652" s="1"/>
      <c r="I652" s="1"/>
      <c r="J652" s="1"/>
      <c r="M652" s="2"/>
      <c r="N652" s="2"/>
      <c r="O652" s="2"/>
      <c r="R652" s="2"/>
      <c r="S652" s="2"/>
      <c r="T652" s="2"/>
    </row>
    <row r="653" spans="2:20" ht="15.75" customHeight="1" x14ac:dyDescent="0.25">
      <c r="B653" s="1"/>
      <c r="F653" s="1"/>
      <c r="H653" s="1"/>
      <c r="I653" s="1"/>
      <c r="J653" s="1"/>
      <c r="M653" s="2"/>
      <c r="N653" s="2"/>
      <c r="O653" s="2"/>
      <c r="R653" s="2"/>
      <c r="S653" s="2"/>
      <c r="T653" s="2"/>
    </row>
    <row r="654" spans="2:20" ht="15.75" customHeight="1" x14ac:dyDescent="0.25">
      <c r="B654" s="1"/>
      <c r="F654" s="1"/>
      <c r="H654" s="1"/>
      <c r="I654" s="1"/>
      <c r="J654" s="1"/>
      <c r="M654" s="2"/>
      <c r="N654" s="2"/>
      <c r="O654" s="2"/>
      <c r="R654" s="2"/>
      <c r="S654" s="2"/>
      <c r="T654" s="2"/>
    </row>
    <row r="655" spans="2:20" ht="15.75" customHeight="1" x14ac:dyDescent="0.25">
      <c r="B655" s="1"/>
      <c r="F655" s="1"/>
      <c r="H655" s="1"/>
      <c r="I655" s="1"/>
      <c r="J655" s="1"/>
      <c r="M655" s="2"/>
      <c r="N655" s="2"/>
      <c r="O655" s="2"/>
      <c r="R655" s="2"/>
      <c r="S655" s="2"/>
      <c r="T655" s="2"/>
    </row>
    <row r="656" spans="2:20" ht="15.75" customHeight="1" x14ac:dyDescent="0.25">
      <c r="B656" s="1"/>
      <c r="F656" s="1"/>
      <c r="H656" s="1"/>
      <c r="I656" s="1"/>
      <c r="J656" s="1"/>
      <c r="M656" s="2"/>
      <c r="N656" s="2"/>
      <c r="O656" s="2"/>
      <c r="R656" s="2"/>
      <c r="S656" s="2"/>
      <c r="T656" s="2"/>
    </row>
    <row r="657" spans="2:20" ht="15.75" customHeight="1" x14ac:dyDescent="0.25">
      <c r="B657" s="1"/>
      <c r="F657" s="1"/>
      <c r="H657" s="1"/>
      <c r="I657" s="1"/>
      <c r="J657" s="1"/>
      <c r="M657" s="2"/>
      <c r="N657" s="2"/>
      <c r="O657" s="2"/>
      <c r="R657" s="2"/>
      <c r="S657" s="2"/>
      <c r="T657" s="2"/>
    </row>
    <row r="658" spans="2:20" ht="15.75" customHeight="1" x14ac:dyDescent="0.25">
      <c r="B658" s="1"/>
      <c r="F658" s="1"/>
      <c r="H658" s="1"/>
      <c r="I658" s="1"/>
      <c r="J658" s="1"/>
      <c r="M658" s="2"/>
      <c r="N658" s="2"/>
      <c r="O658" s="2"/>
      <c r="R658" s="2"/>
      <c r="S658" s="2"/>
      <c r="T658" s="2"/>
    </row>
    <row r="659" spans="2:20" ht="15.75" customHeight="1" x14ac:dyDescent="0.25">
      <c r="B659" s="1"/>
      <c r="F659" s="1"/>
      <c r="H659" s="1"/>
      <c r="I659" s="1"/>
      <c r="J659" s="1"/>
      <c r="M659" s="2"/>
      <c r="N659" s="2"/>
      <c r="O659" s="2"/>
      <c r="R659" s="2"/>
      <c r="S659" s="2"/>
      <c r="T659" s="2"/>
    </row>
    <row r="660" spans="2:20" ht="15.75" customHeight="1" x14ac:dyDescent="0.25">
      <c r="B660" s="1"/>
      <c r="F660" s="1"/>
      <c r="H660" s="1"/>
      <c r="I660" s="1"/>
      <c r="J660" s="1"/>
      <c r="M660" s="2"/>
      <c r="N660" s="2"/>
      <c r="O660" s="2"/>
      <c r="R660" s="2"/>
      <c r="S660" s="2"/>
      <c r="T660" s="2"/>
    </row>
    <row r="661" spans="2:20" ht="15.75" customHeight="1" x14ac:dyDescent="0.25">
      <c r="B661" s="1"/>
      <c r="F661" s="1"/>
      <c r="H661" s="1"/>
      <c r="I661" s="1"/>
      <c r="J661" s="1"/>
      <c r="M661" s="2"/>
      <c r="N661" s="2"/>
      <c r="O661" s="2"/>
      <c r="R661" s="2"/>
      <c r="S661" s="2"/>
      <c r="T661" s="2"/>
    </row>
    <row r="662" spans="2:20" ht="15.75" customHeight="1" x14ac:dyDescent="0.25">
      <c r="B662" s="1"/>
      <c r="F662" s="1"/>
      <c r="H662" s="1"/>
      <c r="I662" s="1"/>
      <c r="J662" s="1"/>
      <c r="M662" s="2"/>
      <c r="N662" s="2"/>
      <c r="O662" s="2"/>
      <c r="R662" s="2"/>
      <c r="S662" s="2"/>
      <c r="T662" s="2"/>
    </row>
    <row r="663" spans="2:20" ht="15.75" customHeight="1" x14ac:dyDescent="0.25">
      <c r="B663" s="1"/>
      <c r="F663" s="1"/>
      <c r="H663" s="1"/>
      <c r="I663" s="1"/>
      <c r="J663" s="1"/>
      <c r="M663" s="2"/>
      <c r="N663" s="2"/>
      <c r="O663" s="2"/>
      <c r="R663" s="2"/>
      <c r="S663" s="2"/>
      <c r="T663" s="2"/>
    </row>
    <row r="664" spans="2:20" ht="15.75" customHeight="1" x14ac:dyDescent="0.25">
      <c r="B664" s="1"/>
      <c r="F664" s="1"/>
      <c r="H664" s="1"/>
      <c r="I664" s="1"/>
      <c r="J664" s="1"/>
      <c r="M664" s="2"/>
      <c r="N664" s="2"/>
      <c r="O664" s="2"/>
      <c r="R664" s="2"/>
      <c r="S664" s="2"/>
      <c r="T664" s="2"/>
    </row>
    <row r="665" spans="2:20" ht="15.75" customHeight="1" x14ac:dyDescent="0.25">
      <c r="B665" s="1"/>
      <c r="F665" s="1"/>
      <c r="H665" s="1"/>
      <c r="I665" s="1"/>
      <c r="J665" s="1"/>
      <c r="M665" s="2"/>
      <c r="N665" s="2"/>
      <c r="O665" s="2"/>
      <c r="R665" s="2"/>
      <c r="S665" s="2"/>
      <c r="T665" s="2"/>
    </row>
    <row r="666" spans="2:20" ht="15.75" customHeight="1" x14ac:dyDescent="0.25">
      <c r="B666" s="1"/>
      <c r="F666" s="1"/>
      <c r="H666" s="1"/>
      <c r="I666" s="1"/>
      <c r="J666" s="1"/>
      <c r="M666" s="2"/>
      <c r="N666" s="2"/>
      <c r="O666" s="2"/>
      <c r="R666" s="2"/>
      <c r="S666" s="2"/>
      <c r="T666" s="2"/>
    </row>
    <row r="667" spans="2:20" ht="15.75" customHeight="1" x14ac:dyDescent="0.25">
      <c r="B667" s="1"/>
      <c r="F667" s="1"/>
      <c r="H667" s="1"/>
      <c r="I667" s="1"/>
      <c r="J667" s="1"/>
      <c r="M667" s="2"/>
      <c r="N667" s="2"/>
      <c r="O667" s="2"/>
      <c r="R667" s="2"/>
      <c r="S667" s="2"/>
      <c r="T667" s="2"/>
    </row>
    <row r="668" spans="2:20" ht="15.75" customHeight="1" x14ac:dyDescent="0.25">
      <c r="B668" s="1"/>
      <c r="F668" s="1"/>
      <c r="H668" s="1"/>
      <c r="I668" s="1"/>
      <c r="J668" s="1"/>
      <c r="M668" s="2"/>
      <c r="N668" s="2"/>
      <c r="O668" s="2"/>
      <c r="R668" s="2"/>
      <c r="S668" s="2"/>
      <c r="T668" s="2"/>
    </row>
    <row r="669" spans="2:20" ht="15.75" customHeight="1" x14ac:dyDescent="0.25">
      <c r="B669" s="1"/>
      <c r="F669" s="1"/>
      <c r="H669" s="1"/>
      <c r="I669" s="1"/>
      <c r="J669" s="1"/>
      <c r="M669" s="2"/>
      <c r="N669" s="2"/>
      <c r="O669" s="2"/>
      <c r="R669" s="2"/>
      <c r="S669" s="2"/>
      <c r="T669" s="2"/>
    </row>
    <row r="670" spans="2:20" ht="15.75" customHeight="1" x14ac:dyDescent="0.25">
      <c r="B670" s="1"/>
      <c r="F670" s="1"/>
      <c r="H670" s="1"/>
      <c r="I670" s="1"/>
      <c r="J670" s="1"/>
      <c r="M670" s="2"/>
      <c r="N670" s="2"/>
      <c r="O670" s="2"/>
      <c r="R670" s="2"/>
      <c r="S670" s="2"/>
      <c r="T670" s="2"/>
    </row>
    <row r="671" spans="2:20" ht="15.75" customHeight="1" x14ac:dyDescent="0.25">
      <c r="B671" s="1"/>
      <c r="F671" s="1"/>
      <c r="H671" s="1"/>
      <c r="I671" s="1"/>
      <c r="J671" s="1"/>
      <c r="M671" s="2"/>
      <c r="N671" s="2"/>
      <c r="O671" s="2"/>
      <c r="R671" s="2"/>
      <c r="S671" s="2"/>
      <c r="T671" s="2"/>
    </row>
    <row r="672" spans="2:20" ht="15.75" customHeight="1" x14ac:dyDescent="0.25">
      <c r="B672" s="1"/>
      <c r="F672" s="1"/>
      <c r="H672" s="1"/>
      <c r="I672" s="1"/>
      <c r="J672" s="1"/>
      <c r="M672" s="2"/>
      <c r="N672" s="2"/>
      <c r="O672" s="2"/>
      <c r="R672" s="2"/>
      <c r="S672" s="2"/>
      <c r="T672" s="2"/>
    </row>
    <row r="673" spans="2:20" ht="15.75" customHeight="1" x14ac:dyDescent="0.25">
      <c r="B673" s="1"/>
      <c r="F673" s="1"/>
      <c r="H673" s="1"/>
      <c r="I673" s="1"/>
      <c r="J673" s="1"/>
      <c r="M673" s="2"/>
      <c r="N673" s="2"/>
      <c r="O673" s="2"/>
      <c r="R673" s="2"/>
      <c r="S673" s="2"/>
      <c r="T673" s="2"/>
    </row>
    <row r="674" spans="2:20" ht="15.75" customHeight="1" x14ac:dyDescent="0.25">
      <c r="B674" s="1"/>
      <c r="F674" s="1"/>
      <c r="H674" s="1"/>
      <c r="I674" s="1"/>
      <c r="J674" s="1"/>
      <c r="M674" s="2"/>
      <c r="N674" s="2"/>
      <c r="O674" s="2"/>
      <c r="R674" s="2"/>
      <c r="S674" s="2"/>
      <c r="T674" s="2"/>
    </row>
    <row r="675" spans="2:20" ht="15.75" customHeight="1" x14ac:dyDescent="0.25">
      <c r="B675" s="1"/>
      <c r="F675" s="1"/>
      <c r="H675" s="1"/>
      <c r="I675" s="1"/>
      <c r="J675" s="1"/>
      <c r="M675" s="2"/>
      <c r="N675" s="2"/>
      <c r="O675" s="2"/>
      <c r="R675" s="2"/>
      <c r="S675" s="2"/>
      <c r="T675" s="2"/>
    </row>
    <row r="676" spans="2:20" ht="15.75" customHeight="1" x14ac:dyDescent="0.25">
      <c r="B676" s="1"/>
      <c r="F676" s="1"/>
      <c r="H676" s="1"/>
      <c r="I676" s="1"/>
      <c r="J676" s="1"/>
      <c r="M676" s="2"/>
      <c r="N676" s="2"/>
      <c r="O676" s="2"/>
      <c r="R676" s="2"/>
      <c r="S676" s="2"/>
      <c r="T676" s="2"/>
    </row>
    <row r="677" spans="2:20" ht="15.75" customHeight="1" x14ac:dyDescent="0.25">
      <c r="B677" s="1"/>
      <c r="F677" s="1"/>
      <c r="H677" s="1"/>
      <c r="I677" s="1"/>
      <c r="J677" s="1"/>
      <c r="M677" s="2"/>
      <c r="N677" s="2"/>
      <c r="O677" s="2"/>
      <c r="R677" s="2"/>
      <c r="S677" s="2"/>
      <c r="T677" s="2"/>
    </row>
    <row r="678" spans="2:20" ht="15.75" customHeight="1" x14ac:dyDescent="0.25">
      <c r="B678" s="1"/>
      <c r="F678" s="1"/>
      <c r="H678" s="1"/>
      <c r="I678" s="1"/>
      <c r="J678" s="1"/>
      <c r="M678" s="2"/>
      <c r="N678" s="2"/>
      <c r="O678" s="2"/>
      <c r="R678" s="2"/>
      <c r="S678" s="2"/>
      <c r="T678" s="2"/>
    </row>
    <row r="679" spans="2:20" ht="15.75" customHeight="1" x14ac:dyDescent="0.25">
      <c r="B679" s="1"/>
      <c r="F679" s="1"/>
      <c r="H679" s="1"/>
      <c r="I679" s="1"/>
      <c r="J679" s="1"/>
      <c r="M679" s="2"/>
      <c r="N679" s="2"/>
      <c r="O679" s="2"/>
      <c r="R679" s="2"/>
      <c r="S679" s="2"/>
      <c r="T679" s="2"/>
    </row>
    <row r="680" spans="2:20" ht="15.75" customHeight="1" x14ac:dyDescent="0.25">
      <c r="B680" s="1"/>
      <c r="F680" s="1"/>
      <c r="H680" s="1"/>
      <c r="I680" s="1"/>
      <c r="J680" s="1"/>
      <c r="M680" s="2"/>
      <c r="N680" s="2"/>
      <c r="O680" s="2"/>
      <c r="R680" s="2"/>
      <c r="S680" s="2"/>
      <c r="T680" s="2"/>
    </row>
    <row r="681" spans="2:20" ht="15.75" customHeight="1" x14ac:dyDescent="0.25">
      <c r="B681" s="1"/>
      <c r="F681" s="1"/>
      <c r="H681" s="1"/>
      <c r="I681" s="1"/>
      <c r="J681" s="1"/>
      <c r="M681" s="2"/>
      <c r="N681" s="2"/>
      <c r="O681" s="2"/>
      <c r="R681" s="2"/>
      <c r="S681" s="2"/>
      <c r="T681" s="2"/>
    </row>
    <row r="682" spans="2:20" ht="15.75" customHeight="1" x14ac:dyDescent="0.25">
      <c r="B682" s="1"/>
      <c r="F682" s="1"/>
      <c r="H682" s="1"/>
      <c r="I682" s="1"/>
      <c r="J682" s="1"/>
      <c r="M682" s="2"/>
      <c r="N682" s="2"/>
      <c r="O682" s="2"/>
      <c r="R682" s="2"/>
      <c r="S682" s="2"/>
      <c r="T682" s="2"/>
    </row>
    <row r="683" spans="2:20" ht="15.75" customHeight="1" x14ac:dyDescent="0.25">
      <c r="B683" s="1"/>
      <c r="F683" s="1"/>
      <c r="H683" s="1"/>
      <c r="I683" s="1"/>
      <c r="J683" s="1"/>
      <c r="M683" s="2"/>
      <c r="N683" s="2"/>
      <c r="O683" s="2"/>
      <c r="R683" s="2"/>
      <c r="S683" s="2"/>
      <c r="T683" s="2"/>
    </row>
    <row r="684" spans="2:20" ht="15.75" customHeight="1" x14ac:dyDescent="0.25">
      <c r="B684" s="1"/>
      <c r="F684" s="1"/>
      <c r="H684" s="1"/>
      <c r="I684" s="1"/>
      <c r="J684" s="1"/>
      <c r="M684" s="2"/>
      <c r="N684" s="2"/>
      <c r="O684" s="2"/>
      <c r="R684" s="2"/>
      <c r="S684" s="2"/>
      <c r="T684" s="2"/>
    </row>
    <row r="685" spans="2:20" ht="15.75" customHeight="1" x14ac:dyDescent="0.25">
      <c r="B685" s="1"/>
      <c r="F685" s="1"/>
      <c r="H685" s="1"/>
      <c r="I685" s="1"/>
      <c r="J685" s="1"/>
      <c r="M685" s="2"/>
      <c r="N685" s="2"/>
      <c r="O685" s="2"/>
      <c r="R685" s="2"/>
      <c r="S685" s="2"/>
      <c r="T685" s="2"/>
    </row>
    <row r="686" spans="2:20" ht="15.75" customHeight="1" x14ac:dyDescent="0.25">
      <c r="B686" s="1"/>
      <c r="F686" s="1"/>
      <c r="H686" s="1"/>
      <c r="I686" s="1"/>
      <c r="J686" s="1"/>
      <c r="M686" s="2"/>
      <c r="N686" s="2"/>
      <c r="O686" s="2"/>
      <c r="R686" s="2"/>
      <c r="S686" s="2"/>
      <c r="T686" s="2"/>
    </row>
    <row r="687" spans="2:20" ht="15.75" customHeight="1" x14ac:dyDescent="0.25">
      <c r="B687" s="1"/>
      <c r="F687" s="1"/>
      <c r="H687" s="1"/>
      <c r="I687" s="1"/>
      <c r="J687" s="1"/>
      <c r="M687" s="2"/>
      <c r="N687" s="2"/>
      <c r="O687" s="2"/>
      <c r="R687" s="2"/>
      <c r="S687" s="2"/>
      <c r="T687" s="2"/>
    </row>
    <row r="688" spans="2:20" ht="15.75" customHeight="1" x14ac:dyDescent="0.25">
      <c r="B688" s="1"/>
      <c r="F688" s="1"/>
      <c r="H688" s="1"/>
      <c r="I688" s="1"/>
      <c r="J688" s="1"/>
      <c r="M688" s="2"/>
      <c r="N688" s="2"/>
      <c r="O688" s="2"/>
      <c r="R688" s="2"/>
      <c r="S688" s="2"/>
      <c r="T688" s="2"/>
    </row>
    <row r="689" spans="2:20" ht="15.75" customHeight="1" x14ac:dyDescent="0.25">
      <c r="B689" s="1"/>
      <c r="F689" s="1"/>
      <c r="H689" s="1"/>
      <c r="I689" s="1"/>
      <c r="J689" s="1"/>
      <c r="M689" s="2"/>
      <c r="N689" s="2"/>
      <c r="O689" s="2"/>
      <c r="R689" s="2"/>
      <c r="S689" s="2"/>
      <c r="T689" s="2"/>
    </row>
    <row r="690" spans="2:20" ht="15.75" customHeight="1" x14ac:dyDescent="0.25">
      <c r="B690" s="1"/>
      <c r="F690" s="1"/>
      <c r="H690" s="1"/>
      <c r="I690" s="1"/>
      <c r="J690" s="1"/>
      <c r="M690" s="2"/>
      <c r="N690" s="2"/>
      <c r="O690" s="2"/>
      <c r="R690" s="2"/>
      <c r="S690" s="2"/>
      <c r="T690" s="2"/>
    </row>
    <row r="691" spans="2:20" ht="15.75" customHeight="1" x14ac:dyDescent="0.25">
      <c r="B691" s="1"/>
      <c r="F691" s="1"/>
      <c r="H691" s="1"/>
      <c r="I691" s="1"/>
      <c r="J691" s="1"/>
      <c r="M691" s="2"/>
      <c r="N691" s="2"/>
      <c r="O691" s="2"/>
      <c r="R691" s="2"/>
      <c r="S691" s="2"/>
      <c r="T691" s="2"/>
    </row>
    <row r="692" spans="2:20" ht="15.75" customHeight="1" x14ac:dyDescent="0.25">
      <c r="B692" s="1"/>
      <c r="F692" s="1"/>
      <c r="H692" s="1"/>
      <c r="I692" s="1"/>
      <c r="J692" s="1"/>
      <c r="M692" s="2"/>
      <c r="N692" s="2"/>
      <c r="O692" s="2"/>
      <c r="R692" s="2"/>
      <c r="S692" s="2"/>
      <c r="T692" s="2"/>
    </row>
    <row r="693" spans="2:20" ht="15.75" customHeight="1" x14ac:dyDescent="0.25">
      <c r="B693" s="1"/>
      <c r="F693" s="1"/>
      <c r="H693" s="1"/>
      <c r="I693" s="1"/>
      <c r="J693" s="1"/>
      <c r="M693" s="2"/>
      <c r="N693" s="2"/>
      <c r="O693" s="2"/>
      <c r="R693" s="2"/>
      <c r="S693" s="2"/>
      <c r="T693" s="2"/>
    </row>
    <row r="694" spans="2:20" ht="15.75" customHeight="1" x14ac:dyDescent="0.25">
      <c r="B694" s="1"/>
      <c r="F694" s="1"/>
      <c r="H694" s="1"/>
      <c r="I694" s="1"/>
      <c r="J694" s="1"/>
      <c r="M694" s="2"/>
      <c r="N694" s="2"/>
      <c r="O694" s="2"/>
      <c r="R694" s="2"/>
      <c r="S694" s="2"/>
      <c r="T694" s="2"/>
    </row>
    <row r="695" spans="2:20" ht="15.75" customHeight="1" x14ac:dyDescent="0.25">
      <c r="B695" s="1"/>
      <c r="F695" s="1"/>
      <c r="H695" s="1"/>
      <c r="I695" s="1"/>
      <c r="J695" s="1"/>
      <c r="M695" s="2"/>
      <c r="N695" s="2"/>
      <c r="O695" s="2"/>
      <c r="R695" s="2"/>
      <c r="S695" s="2"/>
      <c r="T695" s="2"/>
    </row>
    <row r="696" spans="2:20" ht="15.75" customHeight="1" x14ac:dyDescent="0.25">
      <c r="B696" s="1"/>
      <c r="F696" s="1"/>
      <c r="H696" s="1"/>
      <c r="I696" s="1"/>
      <c r="J696" s="1"/>
      <c r="M696" s="2"/>
      <c r="N696" s="2"/>
      <c r="O696" s="2"/>
      <c r="R696" s="2"/>
      <c r="S696" s="2"/>
      <c r="T696" s="2"/>
    </row>
    <row r="697" spans="2:20" ht="15.75" customHeight="1" x14ac:dyDescent="0.25">
      <c r="B697" s="1"/>
      <c r="F697" s="1"/>
      <c r="H697" s="1"/>
      <c r="I697" s="1"/>
      <c r="J697" s="1"/>
      <c r="M697" s="2"/>
      <c r="N697" s="2"/>
      <c r="O697" s="2"/>
      <c r="R697" s="2"/>
      <c r="S697" s="2"/>
      <c r="T697" s="2"/>
    </row>
    <row r="698" spans="2:20" ht="15.75" customHeight="1" x14ac:dyDescent="0.25">
      <c r="B698" s="1"/>
      <c r="F698" s="1"/>
      <c r="H698" s="1"/>
      <c r="I698" s="1"/>
      <c r="J698" s="1"/>
      <c r="M698" s="2"/>
      <c r="N698" s="2"/>
      <c r="O698" s="2"/>
      <c r="R698" s="2"/>
      <c r="S698" s="2"/>
      <c r="T698" s="2"/>
    </row>
    <row r="699" spans="2:20" ht="15.75" customHeight="1" x14ac:dyDescent="0.25">
      <c r="B699" s="1"/>
      <c r="F699" s="1"/>
      <c r="H699" s="1"/>
      <c r="I699" s="1"/>
      <c r="J699" s="1"/>
      <c r="M699" s="2"/>
      <c r="N699" s="2"/>
      <c r="O699" s="2"/>
      <c r="R699" s="2"/>
      <c r="S699" s="2"/>
      <c r="T699" s="2"/>
    </row>
    <row r="700" spans="2:20" ht="15.75" customHeight="1" x14ac:dyDescent="0.25">
      <c r="B700" s="1"/>
      <c r="F700" s="1"/>
      <c r="H700" s="1"/>
      <c r="I700" s="1"/>
      <c r="J700" s="1"/>
      <c r="M700" s="2"/>
      <c r="N700" s="2"/>
      <c r="O700" s="2"/>
      <c r="R700" s="2"/>
      <c r="S700" s="2"/>
      <c r="T700" s="2"/>
    </row>
    <row r="701" spans="2:20" ht="15.75" customHeight="1" x14ac:dyDescent="0.25">
      <c r="B701" s="1"/>
      <c r="F701" s="1"/>
      <c r="H701" s="1"/>
      <c r="I701" s="1"/>
      <c r="J701" s="1"/>
      <c r="M701" s="2"/>
      <c r="N701" s="2"/>
      <c r="O701" s="2"/>
      <c r="R701" s="2"/>
      <c r="S701" s="2"/>
      <c r="T701" s="2"/>
    </row>
    <row r="702" spans="2:20" ht="15.75" customHeight="1" x14ac:dyDescent="0.25">
      <c r="B702" s="1"/>
      <c r="F702" s="1"/>
      <c r="H702" s="1"/>
      <c r="I702" s="1"/>
      <c r="J702" s="1"/>
      <c r="M702" s="2"/>
      <c r="N702" s="2"/>
      <c r="O702" s="2"/>
      <c r="R702" s="2"/>
      <c r="S702" s="2"/>
      <c r="T702" s="2"/>
    </row>
    <row r="703" spans="2:20" ht="15.75" customHeight="1" x14ac:dyDescent="0.25">
      <c r="B703" s="1"/>
      <c r="F703" s="1"/>
      <c r="H703" s="1"/>
      <c r="I703" s="1"/>
      <c r="J703" s="1"/>
      <c r="M703" s="2"/>
      <c r="N703" s="2"/>
      <c r="O703" s="2"/>
      <c r="R703" s="2"/>
      <c r="S703" s="2"/>
      <c r="T703" s="2"/>
    </row>
    <row r="704" spans="2:20" ht="15.75" customHeight="1" x14ac:dyDescent="0.25">
      <c r="B704" s="1"/>
      <c r="F704" s="1"/>
      <c r="H704" s="1"/>
      <c r="I704" s="1"/>
      <c r="J704" s="1"/>
      <c r="M704" s="2"/>
      <c r="N704" s="2"/>
      <c r="O704" s="2"/>
      <c r="R704" s="2"/>
      <c r="S704" s="2"/>
      <c r="T704" s="2"/>
    </row>
    <row r="705" spans="2:20" ht="15.75" customHeight="1" x14ac:dyDescent="0.25">
      <c r="B705" s="1"/>
      <c r="F705" s="1"/>
      <c r="H705" s="1"/>
      <c r="I705" s="1"/>
      <c r="J705" s="1"/>
      <c r="M705" s="2"/>
      <c r="N705" s="2"/>
      <c r="O705" s="2"/>
      <c r="R705" s="2"/>
      <c r="S705" s="2"/>
      <c r="T705" s="2"/>
    </row>
    <row r="706" spans="2:20" ht="15.75" customHeight="1" x14ac:dyDescent="0.25">
      <c r="B706" s="1"/>
      <c r="F706" s="1"/>
      <c r="H706" s="1"/>
      <c r="I706" s="1"/>
      <c r="J706" s="1"/>
      <c r="M706" s="2"/>
      <c r="N706" s="2"/>
      <c r="O706" s="2"/>
      <c r="R706" s="2"/>
      <c r="S706" s="2"/>
      <c r="T706" s="2"/>
    </row>
    <row r="707" spans="2:20" ht="15.75" customHeight="1" x14ac:dyDescent="0.25">
      <c r="B707" s="1"/>
      <c r="F707" s="1"/>
      <c r="H707" s="1"/>
      <c r="I707" s="1"/>
      <c r="J707" s="1"/>
      <c r="M707" s="2"/>
      <c r="N707" s="2"/>
      <c r="O707" s="2"/>
      <c r="R707" s="2"/>
      <c r="S707" s="2"/>
      <c r="T707" s="2"/>
    </row>
    <row r="708" spans="2:20" ht="15.75" customHeight="1" x14ac:dyDescent="0.25">
      <c r="B708" s="1"/>
      <c r="F708" s="1"/>
      <c r="H708" s="1"/>
      <c r="I708" s="1"/>
      <c r="J708" s="1"/>
      <c r="M708" s="2"/>
      <c r="N708" s="2"/>
      <c r="O708" s="2"/>
      <c r="R708" s="2"/>
      <c r="S708" s="2"/>
      <c r="T708" s="2"/>
    </row>
    <row r="709" spans="2:20" ht="15.75" customHeight="1" x14ac:dyDescent="0.25">
      <c r="B709" s="1"/>
      <c r="F709" s="1"/>
      <c r="H709" s="1"/>
      <c r="I709" s="1"/>
      <c r="J709" s="1"/>
      <c r="M709" s="2"/>
      <c r="N709" s="2"/>
      <c r="O709" s="2"/>
      <c r="R709" s="2"/>
      <c r="S709" s="2"/>
      <c r="T709" s="2"/>
    </row>
    <row r="710" spans="2:20" ht="15.75" customHeight="1" x14ac:dyDescent="0.25">
      <c r="B710" s="1"/>
      <c r="F710" s="1"/>
      <c r="H710" s="1"/>
      <c r="I710" s="1"/>
      <c r="J710" s="1"/>
      <c r="M710" s="2"/>
      <c r="N710" s="2"/>
      <c r="O710" s="2"/>
      <c r="R710" s="2"/>
      <c r="S710" s="2"/>
      <c r="T710" s="2"/>
    </row>
    <row r="711" spans="2:20" ht="15.75" customHeight="1" x14ac:dyDescent="0.25">
      <c r="B711" s="1"/>
      <c r="F711" s="1"/>
      <c r="H711" s="1"/>
      <c r="I711" s="1"/>
      <c r="J711" s="1"/>
      <c r="M711" s="2"/>
      <c r="N711" s="2"/>
      <c r="O711" s="2"/>
      <c r="R711" s="2"/>
      <c r="S711" s="2"/>
      <c r="T711" s="2"/>
    </row>
    <row r="712" spans="2:20" ht="15.75" customHeight="1" x14ac:dyDescent="0.25">
      <c r="B712" s="1"/>
      <c r="F712" s="1"/>
      <c r="H712" s="1"/>
      <c r="I712" s="1"/>
      <c r="J712" s="1"/>
      <c r="M712" s="2"/>
      <c r="N712" s="2"/>
      <c r="O712" s="2"/>
      <c r="R712" s="2"/>
      <c r="S712" s="2"/>
      <c r="T712" s="2"/>
    </row>
    <row r="713" spans="2:20" ht="15.75" customHeight="1" x14ac:dyDescent="0.25">
      <c r="B713" s="1"/>
      <c r="F713" s="1"/>
      <c r="H713" s="1"/>
      <c r="I713" s="1"/>
      <c r="J713" s="1"/>
      <c r="M713" s="2"/>
      <c r="N713" s="2"/>
      <c r="O713" s="2"/>
      <c r="R713" s="2"/>
      <c r="S713" s="2"/>
      <c r="T713" s="2"/>
    </row>
    <row r="714" spans="2:20" ht="15.75" customHeight="1" x14ac:dyDescent="0.25">
      <c r="B714" s="1"/>
      <c r="F714" s="1"/>
      <c r="H714" s="1"/>
      <c r="I714" s="1"/>
      <c r="J714" s="1"/>
      <c r="M714" s="2"/>
      <c r="N714" s="2"/>
      <c r="O714" s="2"/>
      <c r="R714" s="2"/>
      <c r="S714" s="2"/>
      <c r="T714" s="2"/>
    </row>
    <row r="715" spans="2:20" ht="15.75" customHeight="1" x14ac:dyDescent="0.25">
      <c r="B715" s="1"/>
      <c r="F715" s="1"/>
      <c r="H715" s="1"/>
      <c r="I715" s="1"/>
      <c r="J715" s="1"/>
      <c r="M715" s="2"/>
      <c r="N715" s="2"/>
      <c r="O715" s="2"/>
      <c r="R715" s="2"/>
      <c r="S715" s="2"/>
      <c r="T715" s="2"/>
    </row>
    <row r="716" spans="2:20" ht="15.75" customHeight="1" x14ac:dyDescent="0.25">
      <c r="B716" s="1"/>
      <c r="F716" s="1"/>
      <c r="H716" s="1"/>
      <c r="I716" s="1"/>
      <c r="J716" s="1"/>
      <c r="M716" s="2"/>
      <c r="N716" s="2"/>
      <c r="O716" s="2"/>
      <c r="R716" s="2"/>
      <c r="S716" s="2"/>
      <c r="T716" s="2"/>
    </row>
    <row r="717" spans="2:20" ht="15.75" customHeight="1" x14ac:dyDescent="0.25">
      <c r="B717" s="1"/>
      <c r="F717" s="1"/>
      <c r="H717" s="1"/>
      <c r="I717" s="1"/>
      <c r="J717" s="1"/>
      <c r="M717" s="2"/>
      <c r="N717" s="2"/>
      <c r="O717" s="2"/>
      <c r="R717" s="2"/>
      <c r="S717" s="2"/>
      <c r="T717" s="2"/>
    </row>
    <row r="718" spans="2:20" ht="15.75" customHeight="1" x14ac:dyDescent="0.25">
      <c r="B718" s="1"/>
      <c r="F718" s="1"/>
      <c r="H718" s="1"/>
      <c r="I718" s="1"/>
      <c r="J718" s="1"/>
      <c r="M718" s="2"/>
      <c r="N718" s="2"/>
      <c r="O718" s="2"/>
      <c r="R718" s="2"/>
      <c r="S718" s="2"/>
      <c r="T718" s="2"/>
    </row>
    <row r="719" spans="2:20" ht="15.75" customHeight="1" x14ac:dyDescent="0.25">
      <c r="B719" s="1"/>
      <c r="F719" s="1"/>
      <c r="H719" s="1"/>
      <c r="I719" s="1"/>
      <c r="J719" s="1"/>
      <c r="M719" s="2"/>
      <c r="N719" s="2"/>
      <c r="O719" s="2"/>
      <c r="R719" s="2"/>
      <c r="S719" s="2"/>
      <c r="T719" s="2"/>
    </row>
    <row r="720" spans="2:20" ht="15.75" customHeight="1" x14ac:dyDescent="0.25">
      <c r="B720" s="1"/>
      <c r="F720" s="1"/>
      <c r="H720" s="1"/>
      <c r="I720" s="1"/>
      <c r="J720" s="1"/>
      <c r="M720" s="2"/>
      <c r="N720" s="2"/>
      <c r="O720" s="2"/>
      <c r="R720" s="2"/>
      <c r="S720" s="2"/>
      <c r="T720" s="2"/>
    </row>
    <row r="721" spans="2:20" ht="15.75" customHeight="1" x14ac:dyDescent="0.25">
      <c r="B721" s="1"/>
      <c r="F721" s="1"/>
      <c r="H721" s="1"/>
      <c r="I721" s="1"/>
      <c r="J721" s="1"/>
      <c r="M721" s="2"/>
      <c r="N721" s="2"/>
      <c r="O721" s="2"/>
      <c r="R721" s="2"/>
      <c r="S721" s="2"/>
      <c r="T721" s="2"/>
    </row>
    <row r="722" spans="2:20" ht="15.75" customHeight="1" x14ac:dyDescent="0.25">
      <c r="B722" s="1"/>
      <c r="F722" s="1"/>
      <c r="H722" s="1"/>
      <c r="I722" s="1"/>
      <c r="J722" s="1"/>
      <c r="M722" s="2"/>
      <c r="N722" s="2"/>
      <c r="O722" s="2"/>
      <c r="R722" s="2"/>
      <c r="S722" s="2"/>
      <c r="T722" s="2"/>
    </row>
    <row r="723" spans="2:20" ht="15.75" customHeight="1" x14ac:dyDescent="0.25">
      <c r="B723" s="1"/>
      <c r="F723" s="1"/>
      <c r="H723" s="1"/>
      <c r="I723" s="1"/>
      <c r="J723" s="1"/>
      <c r="M723" s="2"/>
      <c r="N723" s="2"/>
      <c r="O723" s="2"/>
      <c r="R723" s="2"/>
      <c r="S723" s="2"/>
      <c r="T723" s="2"/>
    </row>
    <row r="724" spans="2:20" ht="15.75" customHeight="1" x14ac:dyDescent="0.25">
      <c r="B724" s="1"/>
      <c r="F724" s="1"/>
      <c r="H724" s="1"/>
      <c r="I724" s="1"/>
      <c r="J724" s="1"/>
      <c r="M724" s="2"/>
      <c r="N724" s="2"/>
      <c r="O724" s="2"/>
      <c r="R724" s="2"/>
      <c r="S724" s="2"/>
      <c r="T724" s="2"/>
    </row>
    <row r="725" spans="2:20" ht="15.75" customHeight="1" x14ac:dyDescent="0.25">
      <c r="B725" s="1"/>
      <c r="F725" s="1"/>
      <c r="H725" s="1"/>
      <c r="I725" s="1"/>
      <c r="J725" s="1"/>
      <c r="M725" s="2"/>
      <c r="N725" s="2"/>
      <c r="O725" s="2"/>
      <c r="R725" s="2"/>
      <c r="S725" s="2"/>
      <c r="T725" s="2"/>
    </row>
    <row r="726" spans="2:20" ht="15.75" customHeight="1" x14ac:dyDescent="0.25">
      <c r="B726" s="1"/>
      <c r="F726" s="1"/>
      <c r="H726" s="1"/>
      <c r="I726" s="1"/>
      <c r="J726" s="1"/>
      <c r="M726" s="2"/>
      <c r="N726" s="2"/>
      <c r="O726" s="2"/>
      <c r="R726" s="2"/>
      <c r="S726" s="2"/>
      <c r="T726" s="2"/>
    </row>
    <row r="727" spans="2:20" ht="15.75" customHeight="1" x14ac:dyDescent="0.25">
      <c r="B727" s="1"/>
      <c r="F727" s="1"/>
      <c r="H727" s="1"/>
      <c r="I727" s="1"/>
      <c r="J727" s="1"/>
      <c r="M727" s="2"/>
      <c r="N727" s="2"/>
      <c r="O727" s="2"/>
      <c r="R727" s="2"/>
      <c r="S727" s="2"/>
      <c r="T727" s="2"/>
    </row>
    <row r="728" spans="2:20" ht="15.75" customHeight="1" x14ac:dyDescent="0.25">
      <c r="B728" s="1"/>
      <c r="F728" s="1"/>
      <c r="H728" s="1"/>
      <c r="I728" s="1"/>
      <c r="J728" s="1"/>
      <c r="M728" s="2"/>
      <c r="N728" s="2"/>
      <c r="O728" s="2"/>
      <c r="R728" s="2"/>
      <c r="S728" s="2"/>
      <c r="T728" s="2"/>
    </row>
    <row r="729" spans="2:20" ht="15.75" customHeight="1" x14ac:dyDescent="0.25">
      <c r="B729" s="1"/>
      <c r="F729" s="1"/>
      <c r="H729" s="1"/>
      <c r="I729" s="1"/>
      <c r="J729" s="1"/>
      <c r="M729" s="2"/>
      <c r="N729" s="2"/>
      <c r="O729" s="2"/>
      <c r="R729" s="2"/>
      <c r="S729" s="2"/>
      <c r="T729" s="2"/>
    </row>
    <row r="730" spans="2:20" ht="15.75" customHeight="1" x14ac:dyDescent="0.25">
      <c r="B730" s="1"/>
      <c r="F730" s="1"/>
      <c r="H730" s="1"/>
      <c r="I730" s="1"/>
      <c r="J730" s="1"/>
      <c r="M730" s="2"/>
      <c r="N730" s="2"/>
      <c r="O730" s="2"/>
      <c r="R730" s="2"/>
      <c r="S730" s="2"/>
      <c r="T730" s="2"/>
    </row>
    <row r="731" spans="2:20" ht="15.75" customHeight="1" x14ac:dyDescent="0.25">
      <c r="B731" s="1"/>
      <c r="F731" s="1"/>
      <c r="H731" s="1"/>
      <c r="I731" s="1"/>
      <c r="J731" s="1"/>
      <c r="M731" s="2"/>
      <c r="N731" s="2"/>
      <c r="O731" s="2"/>
      <c r="R731" s="2"/>
      <c r="S731" s="2"/>
      <c r="T731" s="2"/>
    </row>
    <row r="732" spans="2:20" ht="15.75" customHeight="1" x14ac:dyDescent="0.25">
      <c r="B732" s="1"/>
      <c r="F732" s="1"/>
      <c r="H732" s="1"/>
      <c r="I732" s="1"/>
      <c r="J732" s="1"/>
      <c r="M732" s="2"/>
      <c r="N732" s="2"/>
      <c r="O732" s="2"/>
      <c r="R732" s="2"/>
      <c r="S732" s="2"/>
      <c r="T732" s="2"/>
    </row>
    <row r="733" spans="2:20" ht="15.75" customHeight="1" x14ac:dyDescent="0.25">
      <c r="B733" s="1"/>
      <c r="F733" s="1"/>
      <c r="H733" s="1"/>
      <c r="I733" s="1"/>
      <c r="J733" s="1"/>
      <c r="M733" s="2"/>
      <c r="N733" s="2"/>
      <c r="O733" s="2"/>
      <c r="R733" s="2"/>
      <c r="S733" s="2"/>
      <c r="T733" s="2"/>
    </row>
    <row r="734" spans="2:20" ht="15.75" customHeight="1" x14ac:dyDescent="0.25">
      <c r="B734" s="1"/>
      <c r="F734" s="1"/>
      <c r="H734" s="1"/>
      <c r="I734" s="1"/>
      <c r="J734" s="1"/>
      <c r="M734" s="2"/>
      <c r="N734" s="2"/>
      <c r="O734" s="2"/>
      <c r="R734" s="2"/>
      <c r="S734" s="2"/>
      <c r="T734" s="2"/>
    </row>
    <row r="735" spans="2:20" ht="15.75" customHeight="1" x14ac:dyDescent="0.25">
      <c r="B735" s="1"/>
      <c r="F735" s="1"/>
      <c r="H735" s="1"/>
      <c r="I735" s="1"/>
      <c r="J735" s="1"/>
      <c r="M735" s="2"/>
      <c r="N735" s="2"/>
      <c r="O735" s="2"/>
      <c r="R735" s="2"/>
      <c r="S735" s="2"/>
      <c r="T735" s="2"/>
    </row>
    <row r="736" spans="2:20" ht="15.75" customHeight="1" x14ac:dyDescent="0.25">
      <c r="B736" s="1"/>
      <c r="F736" s="1"/>
      <c r="H736" s="1"/>
      <c r="I736" s="1"/>
      <c r="J736" s="1"/>
      <c r="M736" s="2"/>
      <c r="N736" s="2"/>
      <c r="O736" s="2"/>
      <c r="R736" s="2"/>
      <c r="S736" s="2"/>
      <c r="T736" s="2"/>
    </row>
    <row r="737" spans="2:20" ht="15.75" customHeight="1" x14ac:dyDescent="0.25">
      <c r="B737" s="1"/>
      <c r="F737" s="1"/>
      <c r="H737" s="1"/>
      <c r="I737" s="1"/>
      <c r="J737" s="1"/>
      <c r="M737" s="2"/>
      <c r="N737" s="2"/>
      <c r="O737" s="2"/>
      <c r="R737" s="2"/>
      <c r="S737" s="2"/>
      <c r="T737" s="2"/>
    </row>
    <row r="738" spans="2:20" ht="15.75" customHeight="1" x14ac:dyDescent="0.25">
      <c r="B738" s="1"/>
      <c r="F738" s="1"/>
      <c r="H738" s="1"/>
      <c r="I738" s="1"/>
      <c r="J738" s="1"/>
      <c r="M738" s="2"/>
      <c r="N738" s="2"/>
      <c r="O738" s="2"/>
      <c r="R738" s="2"/>
      <c r="S738" s="2"/>
      <c r="T738" s="2"/>
    </row>
    <row r="739" spans="2:20" ht="15.75" customHeight="1" x14ac:dyDescent="0.25">
      <c r="B739" s="1"/>
      <c r="F739" s="1"/>
      <c r="H739" s="1"/>
      <c r="I739" s="1"/>
      <c r="J739" s="1"/>
      <c r="M739" s="2"/>
      <c r="N739" s="2"/>
      <c r="O739" s="2"/>
      <c r="R739" s="2"/>
      <c r="S739" s="2"/>
      <c r="T739" s="2"/>
    </row>
    <row r="740" spans="2:20" ht="15.75" customHeight="1" x14ac:dyDescent="0.25">
      <c r="B740" s="1"/>
      <c r="F740" s="1"/>
      <c r="H740" s="1"/>
      <c r="I740" s="1"/>
      <c r="J740" s="1"/>
      <c r="M740" s="2"/>
      <c r="N740" s="2"/>
      <c r="O740" s="2"/>
      <c r="R740" s="2"/>
      <c r="S740" s="2"/>
      <c r="T740" s="2"/>
    </row>
    <row r="741" spans="2:20" ht="15.75" customHeight="1" x14ac:dyDescent="0.25">
      <c r="B741" s="1"/>
      <c r="F741" s="1"/>
      <c r="H741" s="1"/>
      <c r="I741" s="1"/>
      <c r="J741" s="1"/>
      <c r="M741" s="2"/>
      <c r="N741" s="2"/>
      <c r="O741" s="2"/>
      <c r="R741" s="2"/>
      <c r="S741" s="2"/>
      <c r="T741" s="2"/>
    </row>
    <row r="742" spans="2:20" ht="15.75" customHeight="1" x14ac:dyDescent="0.25">
      <c r="B742" s="1"/>
      <c r="F742" s="1"/>
      <c r="H742" s="1"/>
      <c r="I742" s="1"/>
      <c r="J742" s="1"/>
      <c r="M742" s="2"/>
      <c r="N742" s="2"/>
      <c r="O742" s="2"/>
      <c r="R742" s="2"/>
      <c r="S742" s="2"/>
      <c r="T742" s="2"/>
    </row>
    <row r="743" spans="2:20" ht="15.75" customHeight="1" x14ac:dyDescent="0.25">
      <c r="B743" s="1"/>
      <c r="F743" s="1"/>
      <c r="H743" s="1"/>
      <c r="I743" s="1"/>
      <c r="J743" s="1"/>
      <c r="M743" s="2"/>
      <c r="N743" s="2"/>
      <c r="O743" s="2"/>
      <c r="R743" s="2"/>
      <c r="S743" s="2"/>
      <c r="T743" s="2"/>
    </row>
    <row r="744" spans="2:20" ht="15.75" customHeight="1" x14ac:dyDescent="0.25">
      <c r="B744" s="1"/>
      <c r="F744" s="1"/>
      <c r="H744" s="1"/>
      <c r="I744" s="1"/>
      <c r="J744" s="1"/>
      <c r="M744" s="2"/>
      <c r="N744" s="2"/>
      <c r="O744" s="2"/>
      <c r="R744" s="2"/>
      <c r="S744" s="2"/>
      <c r="T744" s="2"/>
    </row>
    <row r="745" spans="2:20" ht="15.75" customHeight="1" x14ac:dyDescent="0.25">
      <c r="B745" s="1"/>
      <c r="F745" s="1"/>
      <c r="H745" s="1"/>
      <c r="I745" s="1"/>
      <c r="J745" s="1"/>
      <c r="M745" s="2"/>
      <c r="N745" s="2"/>
      <c r="O745" s="2"/>
      <c r="R745" s="2"/>
      <c r="S745" s="2"/>
      <c r="T745" s="2"/>
    </row>
    <row r="746" spans="2:20" ht="15.75" customHeight="1" x14ac:dyDescent="0.25">
      <c r="B746" s="1"/>
      <c r="F746" s="1"/>
      <c r="H746" s="1"/>
      <c r="I746" s="1"/>
      <c r="J746" s="1"/>
      <c r="M746" s="2"/>
      <c r="N746" s="2"/>
      <c r="O746" s="2"/>
      <c r="R746" s="2"/>
      <c r="S746" s="2"/>
      <c r="T746" s="2"/>
    </row>
    <row r="747" spans="2:20" ht="15.75" customHeight="1" x14ac:dyDescent="0.25">
      <c r="B747" s="1"/>
      <c r="F747" s="1"/>
      <c r="H747" s="1"/>
      <c r="I747" s="1"/>
      <c r="J747" s="1"/>
      <c r="M747" s="2"/>
      <c r="N747" s="2"/>
      <c r="O747" s="2"/>
      <c r="R747" s="2"/>
      <c r="S747" s="2"/>
      <c r="T747" s="2"/>
    </row>
    <row r="748" spans="2:20" ht="15.75" customHeight="1" x14ac:dyDescent="0.25">
      <c r="B748" s="1"/>
      <c r="F748" s="1"/>
      <c r="H748" s="1"/>
      <c r="I748" s="1"/>
      <c r="J748" s="1"/>
      <c r="M748" s="2"/>
      <c r="N748" s="2"/>
      <c r="O748" s="2"/>
      <c r="R748" s="2"/>
      <c r="S748" s="2"/>
      <c r="T748" s="2"/>
    </row>
    <row r="749" spans="2:20" ht="15.75" customHeight="1" x14ac:dyDescent="0.25">
      <c r="B749" s="1"/>
      <c r="F749" s="1"/>
      <c r="H749" s="1"/>
      <c r="I749" s="1"/>
      <c r="J749" s="1"/>
      <c r="M749" s="2"/>
      <c r="N749" s="2"/>
      <c r="O749" s="2"/>
      <c r="R749" s="2"/>
      <c r="S749" s="2"/>
      <c r="T749" s="2"/>
    </row>
    <row r="750" spans="2:20" ht="15.75" customHeight="1" x14ac:dyDescent="0.25">
      <c r="B750" s="1"/>
      <c r="F750" s="1"/>
      <c r="H750" s="1"/>
      <c r="I750" s="1"/>
      <c r="J750" s="1"/>
      <c r="M750" s="2"/>
      <c r="N750" s="2"/>
      <c r="O750" s="2"/>
      <c r="R750" s="2"/>
      <c r="S750" s="2"/>
      <c r="T750" s="2"/>
    </row>
    <row r="751" spans="2:20" ht="15.75" customHeight="1" x14ac:dyDescent="0.25">
      <c r="B751" s="1"/>
      <c r="F751" s="1"/>
      <c r="H751" s="1"/>
      <c r="I751" s="1"/>
      <c r="J751" s="1"/>
      <c r="M751" s="2"/>
      <c r="N751" s="2"/>
      <c r="O751" s="2"/>
      <c r="R751" s="2"/>
      <c r="S751" s="2"/>
      <c r="T751" s="2"/>
    </row>
    <row r="752" spans="2:20" ht="15.75" customHeight="1" x14ac:dyDescent="0.25">
      <c r="B752" s="1"/>
      <c r="F752" s="1"/>
      <c r="H752" s="1"/>
      <c r="I752" s="1"/>
      <c r="J752" s="1"/>
      <c r="M752" s="2"/>
      <c r="N752" s="2"/>
      <c r="O752" s="2"/>
      <c r="R752" s="2"/>
      <c r="S752" s="2"/>
      <c r="T752" s="2"/>
    </row>
    <row r="753" spans="2:20" ht="15.75" customHeight="1" x14ac:dyDescent="0.25">
      <c r="B753" s="1"/>
      <c r="F753" s="1"/>
      <c r="H753" s="1"/>
      <c r="I753" s="1"/>
      <c r="J753" s="1"/>
      <c r="M753" s="2"/>
      <c r="N753" s="2"/>
      <c r="O753" s="2"/>
      <c r="R753" s="2"/>
      <c r="S753" s="2"/>
      <c r="T753" s="2"/>
    </row>
    <row r="754" spans="2:20" ht="15.75" customHeight="1" x14ac:dyDescent="0.25">
      <c r="B754" s="1"/>
      <c r="F754" s="1"/>
      <c r="H754" s="1"/>
      <c r="I754" s="1"/>
      <c r="J754" s="1"/>
      <c r="M754" s="2"/>
      <c r="N754" s="2"/>
      <c r="O754" s="2"/>
      <c r="R754" s="2"/>
      <c r="S754" s="2"/>
      <c r="T754" s="2"/>
    </row>
    <row r="755" spans="2:20" ht="15.75" customHeight="1" x14ac:dyDescent="0.25">
      <c r="B755" s="1"/>
      <c r="F755" s="1"/>
      <c r="H755" s="1"/>
      <c r="I755" s="1"/>
      <c r="J755" s="1"/>
      <c r="M755" s="2"/>
      <c r="N755" s="2"/>
      <c r="O755" s="2"/>
      <c r="R755" s="2"/>
      <c r="S755" s="2"/>
      <c r="T755" s="2"/>
    </row>
    <row r="756" spans="2:20" ht="15.75" customHeight="1" x14ac:dyDescent="0.25">
      <c r="B756" s="1"/>
      <c r="F756" s="1"/>
      <c r="H756" s="1"/>
      <c r="I756" s="1"/>
      <c r="J756" s="1"/>
      <c r="M756" s="2"/>
      <c r="N756" s="2"/>
      <c r="O756" s="2"/>
      <c r="R756" s="2"/>
      <c r="S756" s="2"/>
      <c r="T756" s="2"/>
    </row>
    <row r="757" spans="2:20" ht="15.75" customHeight="1" x14ac:dyDescent="0.25">
      <c r="B757" s="1"/>
      <c r="F757" s="1"/>
      <c r="H757" s="1"/>
      <c r="I757" s="1"/>
      <c r="J757" s="1"/>
      <c r="M757" s="2"/>
      <c r="N757" s="2"/>
      <c r="O757" s="2"/>
      <c r="R757" s="2"/>
      <c r="S757" s="2"/>
      <c r="T757" s="2"/>
    </row>
    <row r="758" spans="2:20" ht="15.75" customHeight="1" x14ac:dyDescent="0.25">
      <c r="B758" s="1"/>
      <c r="F758" s="1"/>
      <c r="H758" s="1"/>
      <c r="I758" s="1"/>
      <c r="J758" s="1"/>
      <c r="M758" s="2"/>
      <c r="N758" s="2"/>
      <c r="O758" s="2"/>
      <c r="R758" s="2"/>
      <c r="S758" s="2"/>
      <c r="T758" s="2"/>
    </row>
    <row r="759" spans="2:20" ht="15.75" customHeight="1" x14ac:dyDescent="0.25">
      <c r="B759" s="1"/>
      <c r="F759" s="1"/>
      <c r="H759" s="1"/>
      <c r="I759" s="1"/>
      <c r="J759" s="1"/>
      <c r="M759" s="2"/>
      <c r="N759" s="2"/>
      <c r="O759" s="2"/>
      <c r="R759" s="2"/>
      <c r="S759" s="2"/>
      <c r="T759" s="2"/>
    </row>
    <row r="760" spans="2:20" ht="15.75" customHeight="1" x14ac:dyDescent="0.25">
      <c r="B760" s="1"/>
      <c r="F760" s="1"/>
      <c r="H760" s="1"/>
      <c r="I760" s="1"/>
      <c r="J760" s="1"/>
      <c r="M760" s="2"/>
      <c r="N760" s="2"/>
      <c r="O760" s="2"/>
      <c r="R760" s="2"/>
      <c r="S760" s="2"/>
      <c r="T760" s="2"/>
    </row>
    <row r="761" spans="2:20" ht="15.75" customHeight="1" x14ac:dyDescent="0.25">
      <c r="B761" s="1"/>
      <c r="F761" s="1"/>
      <c r="H761" s="1"/>
      <c r="I761" s="1"/>
      <c r="J761" s="1"/>
      <c r="M761" s="2"/>
      <c r="N761" s="2"/>
      <c r="O761" s="2"/>
      <c r="R761" s="2"/>
      <c r="S761" s="2"/>
      <c r="T761" s="2"/>
    </row>
    <row r="762" spans="2:20" ht="15.75" customHeight="1" x14ac:dyDescent="0.25">
      <c r="B762" s="1"/>
      <c r="F762" s="1"/>
      <c r="H762" s="1"/>
      <c r="I762" s="1"/>
      <c r="J762" s="1"/>
      <c r="M762" s="2"/>
      <c r="N762" s="2"/>
      <c r="O762" s="2"/>
      <c r="R762" s="2"/>
      <c r="S762" s="2"/>
      <c r="T762" s="2"/>
    </row>
    <row r="763" spans="2:20" ht="15.75" customHeight="1" x14ac:dyDescent="0.25">
      <c r="B763" s="1"/>
      <c r="F763" s="1"/>
      <c r="H763" s="1"/>
      <c r="I763" s="1"/>
      <c r="J763" s="1"/>
      <c r="M763" s="2"/>
      <c r="N763" s="2"/>
      <c r="O763" s="2"/>
      <c r="R763" s="2"/>
      <c r="S763" s="2"/>
      <c r="T763" s="2"/>
    </row>
    <row r="764" spans="2:20" ht="15.75" customHeight="1" x14ac:dyDescent="0.25">
      <c r="B764" s="1"/>
      <c r="F764" s="1"/>
      <c r="H764" s="1"/>
      <c r="I764" s="1"/>
      <c r="J764" s="1"/>
      <c r="M764" s="2"/>
      <c r="N764" s="2"/>
      <c r="O764" s="2"/>
      <c r="R764" s="2"/>
      <c r="S764" s="2"/>
      <c r="T764" s="2"/>
    </row>
    <row r="765" spans="2:20" ht="15.75" customHeight="1" x14ac:dyDescent="0.25">
      <c r="B765" s="1"/>
      <c r="F765" s="1"/>
      <c r="H765" s="1"/>
      <c r="I765" s="1"/>
      <c r="J765" s="1"/>
      <c r="M765" s="2"/>
      <c r="N765" s="2"/>
      <c r="O765" s="2"/>
      <c r="R765" s="2"/>
      <c r="S765" s="2"/>
      <c r="T765" s="2"/>
    </row>
    <row r="766" spans="2:20" ht="15.75" customHeight="1" x14ac:dyDescent="0.25">
      <c r="B766" s="1"/>
      <c r="F766" s="1"/>
      <c r="H766" s="1"/>
      <c r="I766" s="1"/>
      <c r="J766" s="1"/>
      <c r="M766" s="2"/>
      <c r="N766" s="2"/>
      <c r="O766" s="2"/>
      <c r="R766" s="2"/>
      <c r="S766" s="2"/>
      <c r="T766" s="2"/>
    </row>
    <row r="767" spans="2:20" ht="15.75" customHeight="1" x14ac:dyDescent="0.25">
      <c r="B767" s="1"/>
      <c r="F767" s="1"/>
      <c r="H767" s="1"/>
      <c r="I767" s="1"/>
      <c r="J767" s="1"/>
      <c r="M767" s="2"/>
      <c r="N767" s="2"/>
      <c r="O767" s="2"/>
      <c r="R767" s="2"/>
      <c r="S767" s="2"/>
      <c r="T767" s="2"/>
    </row>
    <row r="768" spans="2:20" ht="15.75" customHeight="1" x14ac:dyDescent="0.25">
      <c r="B768" s="1"/>
      <c r="F768" s="1"/>
      <c r="H768" s="1"/>
      <c r="I768" s="1"/>
      <c r="J768" s="1"/>
      <c r="M768" s="2"/>
      <c r="N768" s="2"/>
      <c r="O768" s="2"/>
      <c r="R768" s="2"/>
      <c r="S768" s="2"/>
      <c r="T768" s="2"/>
    </row>
    <row r="769" spans="2:20" ht="15.75" customHeight="1" x14ac:dyDescent="0.25">
      <c r="B769" s="1"/>
      <c r="F769" s="1"/>
      <c r="H769" s="1"/>
      <c r="I769" s="1"/>
      <c r="J769" s="1"/>
      <c r="M769" s="2"/>
      <c r="N769" s="2"/>
      <c r="O769" s="2"/>
      <c r="R769" s="2"/>
      <c r="S769" s="2"/>
      <c r="T769" s="2"/>
    </row>
    <row r="770" spans="2:20" ht="15.75" customHeight="1" x14ac:dyDescent="0.25">
      <c r="B770" s="1"/>
      <c r="F770" s="1"/>
      <c r="H770" s="1"/>
      <c r="I770" s="1"/>
      <c r="J770" s="1"/>
      <c r="M770" s="2"/>
      <c r="N770" s="2"/>
      <c r="O770" s="2"/>
      <c r="R770" s="2"/>
      <c r="S770" s="2"/>
      <c r="T770" s="2"/>
    </row>
    <row r="771" spans="2:20" ht="15.75" customHeight="1" x14ac:dyDescent="0.25">
      <c r="B771" s="1"/>
      <c r="F771" s="1"/>
      <c r="H771" s="1"/>
      <c r="I771" s="1"/>
      <c r="J771" s="1"/>
      <c r="M771" s="2"/>
      <c r="N771" s="2"/>
      <c r="O771" s="2"/>
      <c r="R771" s="2"/>
      <c r="S771" s="2"/>
      <c r="T771" s="2"/>
    </row>
    <row r="772" spans="2:20" ht="15.75" customHeight="1" x14ac:dyDescent="0.25">
      <c r="B772" s="1"/>
      <c r="F772" s="1"/>
      <c r="H772" s="1"/>
      <c r="I772" s="1"/>
      <c r="J772" s="1"/>
      <c r="M772" s="2"/>
      <c r="N772" s="2"/>
      <c r="O772" s="2"/>
      <c r="R772" s="2"/>
      <c r="S772" s="2"/>
      <c r="T772" s="2"/>
    </row>
    <row r="773" spans="2:20" ht="15.75" customHeight="1" x14ac:dyDescent="0.25">
      <c r="B773" s="1"/>
      <c r="F773" s="1"/>
      <c r="H773" s="1"/>
      <c r="I773" s="1"/>
      <c r="J773" s="1"/>
      <c r="M773" s="2"/>
      <c r="N773" s="2"/>
      <c r="O773" s="2"/>
      <c r="R773" s="2"/>
      <c r="S773" s="2"/>
      <c r="T773" s="2"/>
    </row>
    <row r="774" spans="2:20" ht="15.75" customHeight="1" x14ac:dyDescent="0.25">
      <c r="B774" s="1"/>
      <c r="F774" s="1"/>
      <c r="H774" s="1"/>
      <c r="I774" s="1"/>
      <c r="J774" s="1"/>
      <c r="M774" s="2"/>
      <c r="N774" s="2"/>
      <c r="O774" s="2"/>
      <c r="R774" s="2"/>
      <c r="S774" s="2"/>
      <c r="T774" s="2"/>
    </row>
    <row r="775" spans="2:20" ht="15.75" customHeight="1" x14ac:dyDescent="0.25">
      <c r="B775" s="1"/>
      <c r="F775" s="1"/>
      <c r="H775" s="1"/>
      <c r="I775" s="1"/>
      <c r="J775" s="1"/>
      <c r="M775" s="2"/>
      <c r="N775" s="2"/>
      <c r="O775" s="2"/>
      <c r="R775" s="2"/>
      <c r="S775" s="2"/>
      <c r="T775" s="2"/>
    </row>
    <row r="776" spans="2:20" ht="15.75" customHeight="1" x14ac:dyDescent="0.25">
      <c r="B776" s="1"/>
      <c r="F776" s="1"/>
      <c r="H776" s="1"/>
      <c r="I776" s="1"/>
      <c r="J776" s="1"/>
      <c r="M776" s="2"/>
      <c r="N776" s="2"/>
      <c r="O776" s="2"/>
      <c r="R776" s="2"/>
      <c r="S776" s="2"/>
      <c r="T776" s="2"/>
    </row>
    <row r="777" spans="2:20" ht="15.75" customHeight="1" x14ac:dyDescent="0.25">
      <c r="B777" s="1"/>
      <c r="F777" s="1"/>
      <c r="H777" s="1"/>
      <c r="I777" s="1"/>
      <c r="J777" s="1"/>
      <c r="M777" s="2"/>
      <c r="N777" s="2"/>
      <c r="O777" s="2"/>
      <c r="R777" s="2"/>
      <c r="S777" s="2"/>
      <c r="T777" s="2"/>
    </row>
    <row r="778" spans="2:20" ht="15.75" customHeight="1" x14ac:dyDescent="0.25">
      <c r="B778" s="1"/>
      <c r="F778" s="1"/>
      <c r="H778" s="1"/>
      <c r="I778" s="1"/>
      <c r="J778" s="1"/>
      <c r="M778" s="2"/>
      <c r="N778" s="2"/>
      <c r="O778" s="2"/>
      <c r="R778" s="2"/>
      <c r="S778" s="2"/>
      <c r="T778" s="2"/>
    </row>
    <row r="779" spans="2:20" ht="15.75" customHeight="1" x14ac:dyDescent="0.25">
      <c r="B779" s="1"/>
      <c r="F779" s="1"/>
      <c r="H779" s="1"/>
      <c r="I779" s="1"/>
      <c r="J779" s="1"/>
      <c r="M779" s="2"/>
      <c r="N779" s="2"/>
      <c r="O779" s="2"/>
      <c r="R779" s="2"/>
      <c r="S779" s="2"/>
      <c r="T779" s="2"/>
    </row>
    <row r="780" spans="2:20" ht="15.75" customHeight="1" x14ac:dyDescent="0.25">
      <c r="B780" s="1"/>
      <c r="F780" s="1"/>
      <c r="H780" s="1"/>
      <c r="I780" s="1"/>
      <c r="J780" s="1"/>
      <c r="M780" s="2"/>
      <c r="N780" s="2"/>
      <c r="O780" s="2"/>
      <c r="R780" s="2"/>
      <c r="S780" s="2"/>
      <c r="T780" s="2"/>
    </row>
    <row r="781" spans="2:20" ht="15.75" customHeight="1" x14ac:dyDescent="0.25">
      <c r="B781" s="1"/>
      <c r="F781" s="1"/>
      <c r="H781" s="1"/>
      <c r="I781" s="1"/>
      <c r="J781" s="1"/>
      <c r="M781" s="2"/>
      <c r="N781" s="2"/>
      <c r="O781" s="2"/>
      <c r="R781" s="2"/>
      <c r="S781" s="2"/>
      <c r="T781" s="2"/>
    </row>
    <row r="782" spans="2:20" ht="15.75" customHeight="1" x14ac:dyDescent="0.25">
      <c r="B782" s="1"/>
      <c r="F782" s="1"/>
      <c r="H782" s="1"/>
      <c r="I782" s="1"/>
      <c r="J782" s="1"/>
      <c r="M782" s="2"/>
      <c r="N782" s="2"/>
      <c r="O782" s="2"/>
      <c r="R782" s="2"/>
      <c r="S782" s="2"/>
      <c r="T782" s="2"/>
    </row>
    <row r="783" spans="2:20" ht="15.75" customHeight="1" x14ac:dyDescent="0.25">
      <c r="B783" s="1"/>
      <c r="F783" s="1"/>
      <c r="H783" s="1"/>
      <c r="I783" s="1"/>
      <c r="J783" s="1"/>
      <c r="M783" s="2"/>
      <c r="N783" s="2"/>
      <c r="O783" s="2"/>
      <c r="R783" s="2"/>
      <c r="S783" s="2"/>
      <c r="T783" s="2"/>
    </row>
    <row r="784" spans="2:20" ht="15.75" customHeight="1" x14ac:dyDescent="0.25">
      <c r="B784" s="1"/>
      <c r="F784" s="1"/>
      <c r="H784" s="1"/>
      <c r="I784" s="1"/>
      <c r="J784" s="1"/>
      <c r="M784" s="2"/>
      <c r="N784" s="2"/>
      <c r="O784" s="2"/>
      <c r="R784" s="2"/>
      <c r="S784" s="2"/>
      <c r="T784" s="2"/>
    </row>
    <row r="785" spans="2:20" ht="15.75" customHeight="1" x14ac:dyDescent="0.25">
      <c r="B785" s="1"/>
      <c r="F785" s="1"/>
      <c r="H785" s="1"/>
      <c r="I785" s="1"/>
      <c r="J785" s="1"/>
      <c r="M785" s="2"/>
      <c r="N785" s="2"/>
      <c r="O785" s="2"/>
      <c r="R785" s="2"/>
      <c r="S785" s="2"/>
      <c r="T785" s="2"/>
    </row>
    <row r="786" spans="2:20" ht="15.75" customHeight="1" x14ac:dyDescent="0.25">
      <c r="B786" s="1"/>
      <c r="F786" s="1"/>
      <c r="H786" s="1"/>
      <c r="I786" s="1"/>
      <c r="J786" s="1"/>
      <c r="M786" s="2"/>
      <c r="N786" s="2"/>
      <c r="O786" s="2"/>
      <c r="R786" s="2"/>
      <c r="S786" s="2"/>
      <c r="T786" s="2"/>
    </row>
    <row r="787" spans="2:20" ht="15.75" customHeight="1" x14ac:dyDescent="0.25">
      <c r="B787" s="1"/>
      <c r="F787" s="1"/>
      <c r="H787" s="1"/>
      <c r="I787" s="1"/>
      <c r="J787" s="1"/>
      <c r="M787" s="2"/>
      <c r="N787" s="2"/>
      <c r="O787" s="2"/>
      <c r="R787" s="2"/>
      <c r="S787" s="2"/>
      <c r="T787" s="2"/>
    </row>
    <row r="788" spans="2:20" ht="15.75" customHeight="1" x14ac:dyDescent="0.25">
      <c r="B788" s="1"/>
      <c r="F788" s="1"/>
      <c r="H788" s="1"/>
      <c r="I788" s="1"/>
      <c r="J788" s="1"/>
      <c r="M788" s="2"/>
      <c r="N788" s="2"/>
      <c r="O788" s="2"/>
      <c r="R788" s="2"/>
      <c r="S788" s="2"/>
      <c r="T788" s="2"/>
    </row>
    <row r="789" spans="2:20" ht="15.75" customHeight="1" x14ac:dyDescent="0.25">
      <c r="B789" s="1"/>
      <c r="F789" s="1"/>
      <c r="H789" s="1"/>
      <c r="I789" s="1"/>
      <c r="J789" s="1"/>
      <c r="M789" s="2"/>
      <c r="N789" s="2"/>
      <c r="O789" s="2"/>
      <c r="R789" s="2"/>
      <c r="S789" s="2"/>
      <c r="T789" s="2"/>
    </row>
    <row r="790" spans="2:20" ht="15.75" customHeight="1" x14ac:dyDescent="0.25">
      <c r="B790" s="1"/>
      <c r="F790" s="1"/>
      <c r="H790" s="1"/>
      <c r="I790" s="1"/>
      <c r="J790" s="1"/>
      <c r="M790" s="2"/>
      <c r="N790" s="2"/>
      <c r="O790" s="2"/>
      <c r="R790" s="2"/>
      <c r="S790" s="2"/>
      <c r="T790" s="2"/>
    </row>
    <row r="791" spans="2:20" ht="15.75" customHeight="1" x14ac:dyDescent="0.25">
      <c r="B791" s="1"/>
      <c r="F791" s="1"/>
      <c r="H791" s="1"/>
      <c r="I791" s="1"/>
      <c r="J791" s="1"/>
      <c r="M791" s="2"/>
      <c r="N791" s="2"/>
      <c r="O791" s="2"/>
      <c r="R791" s="2"/>
      <c r="S791" s="2"/>
      <c r="T791" s="2"/>
    </row>
    <row r="792" spans="2:20" ht="15.75" customHeight="1" x14ac:dyDescent="0.25">
      <c r="B792" s="1"/>
      <c r="F792" s="1"/>
      <c r="H792" s="1"/>
      <c r="I792" s="1"/>
      <c r="J792" s="1"/>
      <c r="M792" s="2"/>
      <c r="N792" s="2"/>
      <c r="O792" s="2"/>
      <c r="R792" s="2"/>
      <c r="S792" s="2"/>
      <c r="T792" s="2"/>
    </row>
    <row r="793" spans="2:20" ht="15.75" customHeight="1" x14ac:dyDescent="0.25">
      <c r="B793" s="1"/>
      <c r="F793" s="1"/>
      <c r="H793" s="1"/>
      <c r="I793" s="1"/>
      <c r="J793" s="1"/>
      <c r="M793" s="2"/>
      <c r="N793" s="2"/>
      <c r="O793" s="2"/>
      <c r="R793" s="2"/>
      <c r="S793" s="2"/>
      <c r="T793" s="2"/>
    </row>
    <row r="794" spans="2:20" ht="15.75" customHeight="1" x14ac:dyDescent="0.25">
      <c r="B794" s="1"/>
      <c r="F794" s="1"/>
      <c r="H794" s="1"/>
      <c r="I794" s="1"/>
      <c r="J794" s="1"/>
      <c r="M794" s="2"/>
      <c r="N794" s="2"/>
      <c r="O794" s="2"/>
      <c r="R794" s="2"/>
      <c r="S794" s="2"/>
      <c r="T794" s="2"/>
    </row>
    <row r="795" spans="2:20" ht="15.75" customHeight="1" x14ac:dyDescent="0.25">
      <c r="B795" s="1"/>
      <c r="F795" s="1"/>
      <c r="H795" s="1"/>
      <c r="I795" s="1"/>
      <c r="J795" s="1"/>
      <c r="M795" s="2"/>
      <c r="N795" s="2"/>
      <c r="O795" s="2"/>
      <c r="R795" s="2"/>
      <c r="S795" s="2"/>
      <c r="T795" s="2"/>
    </row>
    <row r="796" spans="2:20" ht="15.75" customHeight="1" x14ac:dyDescent="0.25">
      <c r="B796" s="1"/>
      <c r="F796" s="1"/>
      <c r="H796" s="1"/>
      <c r="I796" s="1"/>
      <c r="J796" s="1"/>
      <c r="M796" s="2"/>
      <c r="N796" s="2"/>
      <c r="O796" s="2"/>
      <c r="R796" s="2"/>
      <c r="S796" s="2"/>
      <c r="T796" s="2"/>
    </row>
    <row r="797" spans="2:20" ht="15.75" customHeight="1" x14ac:dyDescent="0.25">
      <c r="B797" s="1"/>
      <c r="F797" s="1"/>
      <c r="H797" s="1"/>
      <c r="I797" s="1"/>
      <c r="J797" s="1"/>
      <c r="M797" s="2"/>
      <c r="N797" s="2"/>
      <c r="O797" s="2"/>
      <c r="R797" s="2"/>
      <c r="S797" s="2"/>
      <c r="T797" s="2"/>
    </row>
    <row r="798" spans="2:20" ht="15.75" customHeight="1" x14ac:dyDescent="0.25">
      <c r="B798" s="1"/>
      <c r="F798" s="1"/>
      <c r="H798" s="1"/>
      <c r="I798" s="1"/>
      <c r="J798" s="1"/>
      <c r="M798" s="2"/>
      <c r="N798" s="2"/>
      <c r="O798" s="2"/>
      <c r="R798" s="2"/>
      <c r="S798" s="2"/>
      <c r="T798" s="2"/>
    </row>
    <row r="799" spans="2:20" ht="15.75" customHeight="1" x14ac:dyDescent="0.25">
      <c r="B799" s="1"/>
      <c r="F799" s="1"/>
      <c r="H799" s="1"/>
      <c r="I799" s="1"/>
      <c r="J799" s="1"/>
      <c r="M799" s="2"/>
      <c r="N799" s="2"/>
      <c r="O799" s="2"/>
      <c r="R799" s="2"/>
      <c r="S799" s="2"/>
      <c r="T799" s="2"/>
    </row>
    <row r="800" spans="2:20" ht="15.75" customHeight="1" x14ac:dyDescent="0.25">
      <c r="B800" s="1"/>
      <c r="F800" s="1"/>
      <c r="H800" s="1"/>
      <c r="I800" s="1"/>
      <c r="J800" s="1"/>
      <c r="M800" s="2"/>
      <c r="N800" s="2"/>
      <c r="O800" s="2"/>
      <c r="R800" s="2"/>
      <c r="S800" s="2"/>
      <c r="T800" s="2"/>
    </row>
    <row r="801" spans="2:20" ht="15.75" customHeight="1" x14ac:dyDescent="0.25">
      <c r="B801" s="1"/>
      <c r="F801" s="1"/>
      <c r="H801" s="1"/>
      <c r="I801" s="1"/>
      <c r="J801" s="1"/>
      <c r="M801" s="2"/>
      <c r="N801" s="2"/>
      <c r="O801" s="2"/>
      <c r="R801" s="2"/>
      <c r="S801" s="2"/>
      <c r="T801" s="2"/>
    </row>
    <row r="802" spans="2:20" ht="15.75" customHeight="1" x14ac:dyDescent="0.25">
      <c r="B802" s="1"/>
      <c r="F802" s="1"/>
      <c r="H802" s="1"/>
      <c r="I802" s="1"/>
      <c r="J802" s="1"/>
      <c r="M802" s="2"/>
      <c r="N802" s="2"/>
      <c r="O802" s="2"/>
      <c r="R802" s="2"/>
      <c r="S802" s="2"/>
      <c r="T802" s="2"/>
    </row>
    <row r="803" spans="2:20" ht="15.75" customHeight="1" x14ac:dyDescent="0.25">
      <c r="B803" s="1"/>
      <c r="F803" s="1"/>
      <c r="H803" s="1"/>
      <c r="I803" s="1"/>
      <c r="J803" s="1"/>
      <c r="M803" s="2"/>
      <c r="N803" s="2"/>
      <c r="O803" s="2"/>
      <c r="R803" s="2"/>
      <c r="S803" s="2"/>
      <c r="T803" s="2"/>
    </row>
    <row r="804" spans="2:20" ht="15.75" customHeight="1" x14ac:dyDescent="0.25">
      <c r="B804" s="1"/>
      <c r="F804" s="1"/>
      <c r="H804" s="1"/>
      <c r="I804" s="1"/>
      <c r="J804" s="1"/>
      <c r="M804" s="2"/>
      <c r="N804" s="2"/>
      <c r="O804" s="2"/>
      <c r="R804" s="2"/>
      <c r="S804" s="2"/>
      <c r="T804" s="2"/>
    </row>
    <row r="805" spans="2:20" ht="15.75" customHeight="1" x14ac:dyDescent="0.25">
      <c r="B805" s="1"/>
      <c r="F805" s="1"/>
      <c r="H805" s="1"/>
      <c r="I805" s="1"/>
      <c r="J805" s="1"/>
      <c r="M805" s="2"/>
      <c r="N805" s="2"/>
      <c r="O805" s="2"/>
      <c r="R805" s="2"/>
      <c r="S805" s="2"/>
      <c r="T805" s="2"/>
    </row>
    <row r="806" spans="2:20" ht="15.75" customHeight="1" x14ac:dyDescent="0.25">
      <c r="B806" s="1"/>
      <c r="F806" s="1"/>
      <c r="H806" s="1"/>
      <c r="I806" s="1"/>
      <c r="J806" s="1"/>
      <c r="M806" s="2"/>
      <c r="N806" s="2"/>
      <c r="O806" s="2"/>
      <c r="R806" s="2"/>
      <c r="S806" s="2"/>
      <c r="T806" s="2"/>
    </row>
    <row r="807" spans="2:20" ht="15.75" customHeight="1" x14ac:dyDescent="0.25">
      <c r="B807" s="1"/>
      <c r="F807" s="1"/>
      <c r="H807" s="1"/>
      <c r="I807" s="1"/>
      <c r="J807" s="1"/>
      <c r="M807" s="2"/>
      <c r="N807" s="2"/>
      <c r="O807" s="2"/>
      <c r="R807" s="2"/>
      <c r="S807" s="2"/>
      <c r="T807" s="2"/>
    </row>
    <row r="808" spans="2:20" ht="15.75" customHeight="1" x14ac:dyDescent="0.25">
      <c r="B808" s="1"/>
      <c r="F808" s="1"/>
      <c r="H808" s="1"/>
      <c r="I808" s="1"/>
      <c r="J808" s="1"/>
      <c r="M808" s="2"/>
      <c r="N808" s="2"/>
      <c r="O808" s="2"/>
      <c r="R808" s="2"/>
      <c r="S808" s="2"/>
      <c r="T808" s="2"/>
    </row>
    <row r="809" spans="2:20" ht="15.75" customHeight="1" x14ac:dyDescent="0.25">
      <c r="B809" s="1"/>
      <c r="F809" s="1"/>
      <c r="H809" s="1"/>
      <c r="I809" s="1"/>
      <c r="J809" s="1"/>
      <c r="M809" s="2"/>
      <c r="N809" s="2"/>
      <c r="O809" s="2"/>
      <c r="R809" s="2"/>
      <c r="S809" s="2"/>
      <c r="T809" s="2"/>
    </row>
    <row r="810" spans="2:20" ht="15.75" customHeight="1" x14ac:dyDescent="0.25">
      <c r="B810" s="1"/>
      <c r="F810" s="1"/>
      <c r="H810" s="1"/>
      <c r="I810" s="1"/>
      <c r="J810" s="1"/>
      <c r="M810" s="2"/>
      <c r="N810" s="2"/>
      <c r="O810" s="2"/>
      <c r="R810" s="2"/>
      <c r="S810" s="2"/>
      <c r="T810" s="2"/>
    </row>
    <row r="811" spans="2:20" ht="15.75" customHeight="1" x14ac:dyDescent="0.25">
      <c r="B811" s="1"/>
      <c r="F811" s="1"/>
      <c r="H811" s="1"/>
      <c r="I811" s="1"/>
      <c r="J811" s="1"/>
      <c r="M811" s="2"/>
      <c r="N811" s="2"/>
      <c r="O811" s="2"/>
      <c r="R811" s="2"/>
      <c r="S811" s="2"/>
      <c r="T811" s="2"/>
    </row>
    <row r="812" spans="2:20" ht="15.75" customHeight="1" x14ac:dyDescent="0.25">
      <c r="B812" s="1"/>
      <c r="F812" s="1"/>
      <c r="H812" s="1"/>
      <c r="I812" s="1"/>
      <c r="J812" s="1"/>
      <c r="M812" s="2"/>
      <c r="N812" s="2"/>
      <c r="O812" s="2"/>
      <c r="R812" s="2"/>
      <c r="S812" s="2"/>
      <c r="T812" s="2"/>
    </row>
    <row r="813" spans="2:20" ht="15.75" customHeight="1" x14ac:dyDescent="0.25">
      <c r="B813" s="1"/>
      <c r="F813" s="1"/>
      <c r="H813" s="1"/>
      <c r="I813" s="1"/>
      <c r="J813" s="1"/>
      <c r="M813" s="2"/>
      <c r="N813" s="2"/>
      <c r="O813" s="2"/>
      <c r="R813" s="2"/>
      <c r="S813" s="2"/>
      <c r="T813" s="2"/>
    </row>
    <row r="814" spans="2:20" ht="15.75" customHeight="1" x14ac:dyDescent="0.25">
      <c r="B814" s="1"/>
      <c r="F814" s="1"/>
      <c r="H814" s="1"/>
      <c r="I814" s="1"/>
      <c r="J814" s="1"/>
      <c r="M814" s="2"/>
      <c r="N814" s="2"/>
      <c r="O814" s="2"/>
      <c r="R814" s="2"/>
      <c r="S814" s="2"/>
      <c r="T814" s="2"/>
    </row>
    <row r="815" spans="2:20" ht="15.75" customHeight="1" x14ac:dyDescent="0.25">
      <c r="B815" s="1"/>
      <c r="F815" s="1"/>
      <c r="H815" s="1"/>
      <c r="I815" s="1"/>
      <c r="J815" s="1"/>
      <c r="M815" s="2"/>
      <c r="N815" s="2"/>
      <c r="O815" s="2"/>
      <c r="R815" s="2"/>
      <c r="S815" s="2"/>
      <c r="T815" s="2"/>
    </row>
    <row r="816" spans="2:20" ht="15.75" customHeight="1" x14ac:dyDescent="0.25">
      <c r="B816" s="1"/>
      <c r="F816" s="1"/>
      <c r="H816" s="1"/>
      <c r="I816" s="1"/>
      <c r="J816" s="1"/>
      <c r="M816" s="2"/>
      <c r="N816" s="2"/>
      <c r="O816" s="2"/>
      <c r="R816" s="2"/>
      <c r="S816" s="2"/>
      <c r="T816" s="2"/>
    </row>
    <row r="817" spans="2:20" ht="15.75" customHeight="1" x14ac:dyDescent="0.25">
      <c r="B817" s="1"/>
      <c r="F817" s="1"/>
      <c r="H817" s="1"/>
      <c r="I817" s="1"/>
      <c r="J817" s="1"/>
      <c r="M817" s="2"/>
      <c r="N817" s="2"/>
      <c r="O817" s="2"/>
      <c r="R817" s="2"/>
      <c r="S817" s="2"/>
      <c r="T817" s="2"/>
    </row>
    <row r="818" spans="2:20" ht="15.75" customHeight="1" x14ac:dyDescent="0.25">
      <c r="B818" s="1"/>
      <c r="F818" s="1"/>
      <c r="H818" s="1"/>
      <c r="I818" s="1"/>
      <c r="J818" s="1"/>
      <c r="M818" s="2"/>
      <c r="N818" s="2"/>
      <c r="O818" s="2"/>
      <c r="R818" s="2"/>
      <c r="S818" s="2"/>
      <c r="T818" s="2"/>
    </row>
    <row r="819" spans="2:20" ht="15.75" customHeight="1" x14ac:dyDescent="0.25">
      <c r="B819" s="1"/>
      <c r="F819" s="1"/>
      <c r="H819" s="1"/>
      <c r="I819" s="1"/>
      <c r="J819" s="1"/>
      <c r="M819" s="2"/>
      <c r="N819" s="2"/>
      <c r="O819" s="2"/>
      <c r="R819" s="2"/>
      <c r="S819" s="2"/>
      <c r="T819" s="2"/>
    </row>
    <row r="820" spans="2:20" ht="15.75" customHeight="1" x14ac:dyDescent="0.25">
      <c r="B820" s="1"/>
      <c r="F820" s="1"/>
      <c r="H820" s="1"/>
      <c r="I820" s="1"/>
      <c r="J820" s="1"/>
      <c r="M820" s="2"/>
      <c r="N820" s="2"/>
      <c r="O820" s="2"/>
      <c r="R820" s="2"/>
      <c r="S820" s="2"/>
      <c r="T820" s="2"/>
    </row>
    <row r="821" spans="2:20" ht="15.75" customHeight="1" x14ac:dyDescent="0.25">
      <c r="B821" s="1"/>
      <c r="F821" s="1"/>
      <c r="H821" s="1"/>
      <c r="I821" s="1"/>
      <c r="J821" s="1"/>
      <c r="M821" s="2"/>
      <c r="N821" s="2"/>
      <c r="O821" s="2"/>
      <c r="R821" s="2"/>
      <c r="S821" s="2"/>
      <c r="T821" s="2"/>
    </row>
    <row r="822" spans="2:20" ht="15.75" customHeight="1" x14ac:dyDescent="0.25">
      <c r="B822" s="1"/>
      <c r="F822" s="1"/>
      <c r="H822" s="1"/>
      <c r="I822" s="1"/>
      <c r="J822" s="1"/>
      <c r="M822" s="2"/>
      <c r="N822" s="2"/>
      <c r="O822" s="2"/>
      <c r="R822" s="2"/>
      <c r="S822" s="2"/>
      <c r="T822" s="2"/>
    </row>
    <row r="823" spans="2:20" ht="15.75" customHeight="1" x14ac:dyDescent="0.25">
      <c r="B823" s="1"/>
      <c r="F823" s="1"/>
      <c r="H823" s="1"/>
      <c r="I823" s="1"/>
      <c r="J823" s="1"/>
      <c r="M823" s="2"/>
      <c r="N823" s="2"/>
      <c r="O823" s="2"/>
      <c r="R823" s="2"/>
      <c r="S823" s="2"/>
      <c r="T823" s="2"/>
    </row>
    <row r="824" spans="2:20" ht="15.75" customHeight="1" x14ac:dyDescent="0.25">
      <c r="B824" s="1"/>
      <c r="F824" s="1"/>
      <c r="H824" s="1"/>
      <c r="I824" s="1"/>
      <c r="J824" s="1"/>
      <c r="M824" s="2"/>
      <c r="N824" s="2"/>
      <c r="O824" s="2"/>
      <c r="R824" s="2"/>
      <c r="S824" s="2"/>
      <c r="T824" s="2"/>
    </row>
    <row r="825" spans="2:20" ht="15.75" customHeight="1" x14ac:dyDescent="0.25">
      <c r="B825" s="1"/>
      <c r="F825" s="1"/>
      <c r="H825" s="1"/>
      <c r="I825" s="1"/>
      <c r="J825" s="1"/>
      <c r="M825" s="2"/>
      <c r="N825" s="2"/>
      <c r="O825" s="2"/>
      <c r="R825" s="2"/>
      <c r="S825" s="2"/>
      <c r="T825" s="2"/>
    </row>
    <row r="826" spans="2:20" ht="15.75" customHeight="1" x14ac:dyDescent="0.25">
      <c r="B826" s="1"/>
      <c r="F826" s="1"/>
      <c r="H826" s="1"/>
      <c r="I826" s="1"/>
      <c r="J826" s="1"/>
      <c r="M826" s="2"/>
      <c r="N826" s="2"/>
      <c r="O826" s="2"/>
      <c r="R826" s="2"/>
      <c r="S826" s="2"/>
      <c r="T826" s="2"/>
    </row>
    <row r="827" spans="2:20" ht="15.75" customHeight="1" x14ac:dyDescent="0.25">
      <c r="B827" s="1"/>
      <c r="F827" s="1"/>
      <c r="H827" s="1"/>
      <c r="I827" s="1"/>
      <c r="J827" s="1"/>
      <c r="M827" s="2"/>
      <c r="N827" s="2"/>
      <c r="O827" s="2"/>
      <c r="R827" s="2"/>
      <c r="S827" s="2"/>
      <c r="T827" s="2"/>
    </row>
    <row r="828" spans="2:20" ht="15.75" customHeight="1" x14ac:dyDescent="0.25">
      <c r="B828" s="1"/>
      <c r="F828" s="1"/>
      <c r="H828" s="1"/>
      <c r="I828" s="1"/>
      <c r="J828" s="1"/>
      <c r="M828" s="2"/>
      <c r="N828" s="2"/>
      <c r="O828" s="2"/>
      <c r="R828" s="2"/>
      <c r="S828" s="2"/>
      <c r="T828" s="2"/>
    </row>
    <row r="829" spans="2:20" ht="15.75" customHeight="1" x14ac:dyDescent="0.25">
      <c r="B829" s="1"/>
      <c r="F829" s="1"/>
      <c r="H829" s="1"/>
      <c r="I829" s="1"/>
      <c r="J829" s="1"/>
      <c r="M829" s="2"/>
      <c r="N829" s="2"/>
      <c r="O829" s="2"/>
      <c r="R829" s="2"/>
      <c r="S829" s="2"/>
      <c r="T829" s="2"/>
    </row>
    <row r="830" spans="2:20" ht="15.75" customHeight="1" x14ac:dyDescent="0.25">
      <c r="B830" s="1"/>
      <c r="F830" s="1"/>
      <c r="H830" s="1"/>
      <c r="I830" s="1"/>
      <c r="J830" s="1"/>
      <c r="M830" s="2"/>
      <c r="N830" s="2"/>
      <c r="O830" s="2"/>
      <c r="R830" s="2"/>
      <c r="S830" s="2"/>
      <c r="T830" s="2"/>
    </row>
    <row r="831" spans="2:20" ht="15.75" customHeight="1" x14ac:dyDescent="0.25">
      <c r="B831" s="1"/>
      <c r="F831" s="1"/>
      <c r="H831" s="1"/>
      <c r="I831" s="1"/>
      <c r="J831" s="1"/>
      <c r="M831" s="2"/>
      <c r="N831" s="2"/>
      <c r="O831" s="2"/>
      <c r="R831" s="2"/>
      <c r="S831" s="2"/>
      <c r="T831" s="2"/>
    </row>
    <row r="832" spans="2:20" ht="15.75" customHeight="1" x14ac:dyDescent="0.25">
      <c r="B832" s="1"/>
      <c r="F832" s="1"/>
      <c r="H832" s="1"/>
      <c r="I832" s="1"/>
      <c r="J832" s="1"/>
      <c r="M832" s="2"/>
      <c r="N832" s="2"/>
      <c r="O832" s="2"/>
      <c r="R832" s="2"/>
      <c r="S832" s="2"/>
      <c r="T832" s="2"/>
    </row>
    <row r="833" spans="2:20" ht="15.75" customHeight="1" x14ac:dyDescent="0.25">
      <c r="B833" s="1"/>
      <c r="F833" s="1"/>
      <c r="H833" s="1"/>
      <c r="I833" s="1"/>
      <c r="J833" s="1"/>
      <c r="M833" s="2"/>
      <c r="N833" s="2"/>
      <c r="O833" s="2"/>
      <c r="R833" s="2"/>
      <c r="S833" s="2"/>
      <c r="T833" s="2"/>
    </row>
    <row r="834" spans="2:20" ht="15.75" customHeight="1" x14ac:dyDescent="0.25">
      <c r="B834" s="1"/>
      <c r="F834" s="1"/>
      <c r="H834" s="1"/>
      <c r="I834" s="1"/>
      <c r="J834" s="1"/>
      <c r="M834" s="2"/>
      <c r="N834" s="2"/>
      <c r="O834" s="2"/>
      <c r="R834" s="2"/>
      <c r="S834" s="2"/>
      <c r="T834" s="2"/>
    </row>
    <row r="835" spans="2:20" ht="15.75" customHeight="1" x14ac:dyDescent="0.25">
      <c r="B835" s="1"/>
      <c r="F835" s="1"/>
      <c r="H835" s="1"/>
      <c r="I835" s="1"/>
      <c r="J835" s="1"/>
      <c r="M835" s="2"/>
      <c r="N835" s="2"/>
      <c r="O835" s="2"/>
      <c r="R835" s="2"/>
      <c r="S835" s="2"/>
      <c r="T835" s="2"/>
    </row>
    <row r="836" spans="2:20" ht="15.75" customHeight="1" x14ac:dyDescent="0.25">
      <c r="B836" s="1"/>
      <c r="F836" s="1"/>
      <c r="H836" s="1"/>
      <c r="I836" s="1"/>
      <c r="J836" s="1"/>
      <c r="M836" s="2"/>
      <c r="N836" s="2"/>
      <c r="O836" s="2"/>
      <c r="R836" s="2"/>
      <c r="S836" s="2"/>
      <c r="T836" s="2"/>
    </row>
    <row r="837" spans="2:20" ht="15.75" customHeight="1" x14ac:dyDescent="0.25">
      <c r="B837" s="1"/>
      <c r="F837" s="1"/>
      <c r="H837" s="1"/>
      <c r="I837" s="1"/>
      <c r="J837" s="1"/>
      <c r="M837" s="2"/>
      <c r="N837" s="2"/>
      <c r="O837" s="2"/>
      <c r="R837" s="2"/>
      <c r="S837" s="2"/>
      <c r="T837" s="2"/>
    </row>
    <row r="838" spans="2:20" ht="15.75" customHeight="1" x14ac:dyDescent="0.25">
      <c r="B838" s="1"/>
      <c r="F838" s="1"/>
      <c r="H838" s="1"/>
      <c r="I838" s="1"/>
      <c r="J838" s="1"/>
      <c r="M838" s="2"/>
      <c r="N838" s="2"/>
      <c r="O838" s="2"/>
      <c r="R838" s="2"/>
      <c r="S838" s="2"/>
      <c r="T838" s="2"/>
    </row>
    <row r="839" spans="2:20" ht="15.75" customHeight="1" x14ac:dyDescent="0.25">
      <c r="B839" s="1"/>
      <c r="F839" s="1"/>
      <c r="H839" s="1"/>
      <c r="I839" s="1"/>
      <c r="J839" s="1"/>
      <c r="M839" s="2"/>
      <c r="N839" s="2"/>
      <c r="O839" s="2"/>
      <c r="R839" s="2"/>
      <c r="S839" s="2"/>
      <c r="T839" s="2"/>
    </row>
    <row r="840" spans="2:20" ht="15.75" customHeight="1" x14ac:dyDescent="0.25">
      <c r="B840" s="1"/>
      <c r="F840" s="1"/>
      <c r="H840" s="1"/>
      <c r="I840" s="1"/>
      <c r="J840" s="1"/>
      <c r="M840" s="2"/>
      <c r="N840" s="2"/>
      <c r="O840" s="2"/>
      <c r="R840" s="2"/>
      <c r="S840" s="2"/>
      <c r="T840" s="2"/>
    </row>
    <row r="841" spans="2:20" ht="15.75" customHeight="1" x14ac:dyDescent="0.25">
      <c r="B841" s="1"/>
      <c r="F841" s="1"/>
      <c r="H841" s="1"/>
      <c r="I841" s="1"/>
      <c r="J841" s="1"/>
      <c r="M841" s="2"/>
      <c r="N841" s="2"/>
      <c r="O841" s="2"/>
      <c r="R841" s="2"/>
      <c r="S841" s="2"/>
      <c r="T841" s="2"/>
    </row>
    <row r="842" spans="2:20" ht="15.75" customHeight="1" x14ac:dyDescent="0.25">
      <c r="B842" s="1"/>
      <c r="F842" s="1"/>
      <c r="H842" s="1"/>
      <c r="I842" s="1"/>
      <c r="J842" s="1"/>
      <c r="M842" s="2"/>
      <c r="N842" s="2"/>
      <c r="O842" s="2"/>
      <c r="R842" s="2"/>
      <c r="S842" s="2"/>
      <c r="T842" s="2"/>
    </row>
    <row r="843" spans="2:20" ht="15.75" customHeight="1" x14ac:dyDescent="0.25">
      <c r="B843" s="1"/>
      <c r="F843" s="1"/>
      <c r="H843" s="1"/>
      <c r="I843" s="1"/>
      <c r="J843" s="1"/>
      <c r="M843" s="2"/>
      <c r="N843" s="2"/>
      <c r="O843" s="2"/>
      <c r="R843" s="2"/>
      <c r="S843" s="2"/>
      <c r="T843" s="2"/>
    </row>
    <row r="844" spans="2:20" ht="15.75" customHeight="1" x14ac:dyDescent="0.25">
      <c r="B844" s="1"/>
      <c r="F844" s="1"/>
      <c r="H844" s="1"/>
      <c r="I844" s="1"/>
      <c r="J844" s="1"/>
      <c r="M844" s="2"/>
      <c r="N844" s="2"/>
      <c r="O844" s="2"/>
      <c r="R844" s="2"/>
      <c r="S844" s="2"/>
      <c r="T844" s="2"/>
    </row>
    <row r="845" spans="2:20" ht="15.75" customHeight="1" x14ac:dyDescent="0.25">
      <c r="B845" s="1"/>
      <c r="F845" s="1"/>
      <c r="H845" s="1"/>
      <c r="I845" s="1"/>
      <c r="J845" s="1"/>
      <c r="M845" s="2"/>
      <c r="N845" s="2"/>
      <c r="O845" s="2"/>
      <c r="R845" s="2"/>
      <c r="S845" s="2"/>
      <c r="T845" s="2"/>
    </row>
    <row r="846" spans="2:20" ht="15.75" customHeight="1" x14ac:dyDescent="0.25">
      <c r="B846" s="1"/>
      <c r="F846" s="1"/>
      <c r="H846" s="1"/>
      <c r="I846" s="1"/>
      <c r="J846" s="1"/>
      <c r="M846" s="2"/>
      <c r="N846" s="2"/>
      <c r="O846" s="2"/>
      <c r="R846" s="2"/>
      <c r="S846" s="2"/>
      <c r="T846" s="2"/>
    </row>
    <row r="847" spans="2:20" ht="15.75" customHeight="1" x14ac:dyDescent="0.25">
      <c r="B847" s="1"/>
      <c r="F847" s="1"/>
      <c r="H847" s="1"/>
      <c r="I847" s="1"/>
      <c r="J847" s="1"/>
      <c r="M847" s="2"/>
      <c r="N847" s="2"/>
      <c r="O847" s="2"/>
      <c r="R847" s="2"/>
      <c r="S847" s="2"/>
      <c r="T847" s="2"/>
    </row>
    <row r="848" spans="2:20" ht="15.75" customHeight="1" x14ac:dyDescent="0.25">
      <c r="B848" s="1"/>
      <c r="F848" s="1"/>
      <c r="H848" s="1"/>
      <c r="I848" s="1"/>
      <c r="J848" s="1"/>
      <c r="M848" s="2"/>
      <c r="N848" s="2"/>
      <c r="O848" s="2"/>
      <c r="R848" s="2"/>
      <c r="S848" s="2"/>
      <c r="T848" s="2"/>
    </row>
    <row r="849" spans="2:20" ht="15.75" customHeight="1" x14ac:dyDescent="0.25">
      <c r="B849" s="1"/>
      <c r="F849" s="1"/>
      <c r="H849" s="1"/>
      <c r="I849" s="1"/>
      <c r="J849" s="1"/>
      <c r="M849" s="2"/>
      <c r="N849" s="2"/>
      <c r="O849" s="2"/>
      <c r="R849" s="2"/>
      <c r="S849" s="2"/>
      <c r="T849" s="2"/>
    </row>
    <row r="850" spans="2:20" ht="15.75" customHeight="1" x14ac:dyDescent="0.25">
      <c r="B850" s="1"/>
      <c r="F850" s="1"/>
      <c r="H850" s="1"/>
      <c r="I850" s="1"/>
      <c r="J850" s="1"/>
      <c r="M850" s="2"/>
      <c r="N850" s="2"/>
      <c r="O850" s="2"/>
      <c r="R850" s="2"/>
      <c r="S850" s="2"/>
      <c r="T850" s="2"/>
    </row>
    <row r="851" spans="2:20" ht="15.75" customHeight="1" x14ac:dyDescent="0.25">
      <c r="B851" s="1"/>
      <c r="F851" s="1"/>
      <c r="H851" s="1"/>
      <c r="I851" s="1"/>
      <c r="J851" s="1"/>
      <c r="M851" s="2"/>
      <c r="N851" s="2"/>
      <c r="O851" s="2"/>
      <c r="R851" s="2"/>
      <c r="S851" s="2"/>
      <c r="T851" s="2"/>
    </row>
    <row r="852" spans="2:20" ht="15.75" customHeight="1" x14ac:dyDescent="0.25">
      <c r="B852" s="1"/>
      <c r="F852" s="1"/>
      <c r="H852" s="1"/>
      <c r="I852" s="1"/>
      <c r="J852" s="1"/>
      <c r="M852" s="2"/>
      <c r="N852" s="2"/>
      <c r="O852" s="2"/>
      <c r="R852" s="2"/>
      <c r="S852" s="2"/>
      <c r="T852" s="2"/>
    </row>
    <row r="853" spans="2:20" ht="15.75" customHeight="1" x14ac:dyDescent="0.25">
      <c r="B853" s="1"/>
      <c r="F853" s="1"/>
      <c r="H853" s="1"/>
      <c r="I853" s="1"/>
      <c r="J853" s="1"/>
      <c r="M853" s="2"/>
      <c r="N853" s="2"/>
      <c r="O853" s="2"/>
      <c r="R853" s="2"/>
      <c r="S853" s="2"/>
      <c r="T853" s="2"/>
    </row>
    <row r="854" spans="2:20" ht="15.75" customHeight="1" x14ac:dyDescent="0.25">
      <c r="B854" s="1"/>
      <c r="F854" s="1"/>
      <c r="H854" s="1"/>
      <c r="I854" s="1"/>
      <c r="J854" s="1"/>
      <c r="M854" s="2"/>
      <c r="N854" s="2"/>
      <c r="O854" s="2"/>
      <c r="R854" s="2"/>
      <c r="S854" s="2"/>
      <c r="T854" s="2"/>
    </row>
    <row r="855" spans="2:20" ht="15.75" customHeight="1" x14ac:dyDescent="0.25">
      <c r="B855" s="1"/>
      <c r="F855" s="1"/>
      <c r="H855" s="1"/>
      <c r="I855" s="1"/>
      <c r="J855" s="1"/>
      <c r="M855" s="2"/>
      <c r="N855" s="2"/>
      <c r="O855" s="2"/>
      <c r="R855" s="2"/>
      <c r="S855" s="2"/>
      <c r="T855" s="2"/>
    </row>
    <row r="856" spans="2:20" ht="15.75" customHeight="1" x14ac:dyDescent="0.25">
      <c r="B856" s="1"/>
      <c r="F856" s="1"/>
      <c r="H856" s="1"/>
      <c r="I856" s="1"/>
      <c r="J856" s="1"/>
      <c r="M856" s="2"/>
      <c r="N856" s="2"/>
      <c r="O856" s="2"/>
      <c r="R856" s="2"/>
      <c r="S856" s="2"/>
      <c r="T856" s="2"/>
    </row>
    <row r="857" spans="2:20" ht="15.75" customHeight="1" x14ac:dyDescent="0.25">
      <c r="B857" s="1"/>
      <c r="F857" s="1"/>
      <c r="H857" s="1"/>
      <c r="I857" s="1"/>
      <c r="J857" s="1"/>
      <c r="M857" s="2"/>
      <c r="N857" s="2"/>
      <c r="O857" s="2"/>
      <c r="R857" s="2"/>
      <c r="S857" s="2"/>
      <c r="T857" s="2"/>
    </row>
    <row r="858" spans="2:20" ht="15.75" customHeight="1" x14ac:dyDescent="0.25">
      <c r="B858" s="1"/>
      <c r="F858" s="1"/>
      <c r="H858" s="1"/>
      <c r="I858" s="1"/>
      <c r="J858" s="1"/>
      <c r="M858" s="2"/>
      <c r="N858" s="2"/>
      <c r="O858" s="2"/>
      <c r="R858" s="2"/>
      <c r="S858" s="2"/>
      <c r="T858" s="2"/>
    </row>
    <row r="859" spans="2:20" ht="15.75" customHeight="1" x14ac:dyDescent="0.25">
      <c r="B859" s="1"/>
      <c r="F859" s="1"/>
      <c r="H859" s="1"/>
      <c r="I859" s="1"/>
      <c r="J859" s="1"/>
      <c r="M859" s="2"/>
      <c r="N859" s="2"/>
      <c r="O859" s="2"/>
      <c r="R859" s="2"/>
      <c r="S859" s="2"/>
      <c r="T859" s="2"/>
    </row>
    <row r="860" spans="2:20" ht="15.75" customHeight="1" x14ac:dyDescent="0.25">
      <c r="B860" s="1"/>
      <c r="F860" s="1"/>
      <c r="H860" s="1"/>
      <c r="I860" s="1"/>
      <c r="J860" s="1"/>
      <c r="M860" s="2"/>
      <c r="N860" s="2"/>
      <c r="O860" s="2"/>
      <c r="R860" s="2"/>
      <c r="S860" s="2"/>
      <c r="T860" s="2"/>
    </row>
    <row r="861" spans="2:20" ht="15.75" customHeight="1" x14ac:dyDescent="0.25">
      <c r="B861" s="1"/>
      <c r="F861" s="1"/>
      <c r="H861" s="1"/>
      <c r="I861" s="1"/>
      <c r="J861" s="1"/>
      <c r="M861" s="2"/>
      <c r="N861" s="2"/>
      <c r="O861" s="2"/>
      <c r="R861" s="2"/>
      <c r="S861" s="2"/>
      <c r="T861" s="2"/>
    </row>
    <row r="862" spans="2:20" ht="15.75" customHeight="1" x14ac:dyDescent="0.25">
      <c r="B862" s="1"/>
      <c r="F862" s="1"/>
      <c r="H862" s="1"/>
      <c r="I862" s="1"/>
      <c r="J862" s="1"/>
      <c r="M862" s="2"/>
      <c r="N862" s="2"/>
      <c r="O862" s="2"/>
      <c r="R862" s="2"/>
      <c r="S862" s="2"/>
      <c r="T862" s="2"/>
    </row>
    <row r="863" spans="2:20" ht="15.75" customHeight="1" x14ac:dyDescent="0.25">
      <c r="B863" s="1"/>
      <c r="F863" s="1"/>
      <c r="H863" s="1"/>
      <c r="I863" s="1"/>
      <c r="J863" s="1"/>
      <c r="M863" s="2"/>
      <c r="N863" s="2"/>
      <c r="O863" s="2"/>
      <c r="R863" s="2"/>
      <c r="S863" s="2"/>
      <c r="T863" s="2"/>
    </row>
    <row r="864" spans="2:20" ht="15.75" customHeight="1" x14ac:dyDescent="0.25">
      <c r="B864" s="1"/>
      <c r="F864" s="1"/>
      <c r="H864" s="1"/>
      <c r="I864" s="1"/>
      <c r="J864" s="1"/>
      <c r="M864" s="2"/>
      <c r="N864" s="2"/>
      <c r="O864" s="2"/>
      <c r="R864" s="2"/>
      <c r="S864" s="2"/>
      <c r="T864" s="2"/>
    </row>
    <row r="865" spans="2:20" ht="15.75" customHeight="1" x14ac:dyDescent="0.25">
      <c r="B865" s="1"/>
      <c r="F865" s="1"/>
      <c r="H865" s="1"/>
      <c r="I865" s="1"/>
      <c r="J865" s="1"/>
      <c r="M865" s="2"/>
      <c r="N865" s="2"/>
      <c r="O865" s="2"/>
      <c r="R865" s="2"/>
      <c r="S865" s="2"/>
      <c r="T865" s="2"/>
    </row>
    <row r="866" spans="2:20" ht="15.75" customHeight="1" x14ac:dyDescent="0.25">
      <c r="B866" s="1"/>
      <c r="F866" s="1"/>
      <c r="H866" s="1"/>
      <c r="I866" s="1"/>
      <c r="J866" s="1"/>
      <c r="M866" s="2"/>
      <c r="N866" s="2"/>
      <c r="O866" s="2"/>
      <c r="R866" s="2"/>
      <c r="S866" s="2"/>
      <c r="T866" s="2"/>
    </row>
    <row r="867" spans="2:20" ht="15.75" customHeight="1" x14ac:dyDescent="0.25">
      <c r="B867" s="1"/>
      <c r="F867" s="1"/>
      <c r="H867" s="1"/>
      <c r="I867" s="1"/>
      <c r="J867" s="1"/>
      <c r="M867" s="2"/>
      <c r="N867" s="2"/>
      <c r="O867" s="2"/>
      <c r="R867" s="2"/>
      <c r="S867" s="2"/>
      <c r="T867" s="2"/>
    </row>
    <row r="868" spans="2:20" ht="15.75" customHeight="1" x14ac:dyDescent="0.25">
      <c r="B868" s="1"/>
      <c r="F868" s="1"/>
      <c r="H868" s="1"/>
      <c r="I868" s="1"/>
      <c r="J868" s="1"/>
      <c r="M868" s="2"/>
      <c r="N868" s="2"/>
      <c r="O868" s="2"/>
      <c r="R868" s="2"/>
      <c r="S868" s="2"/>
      <c r="T868" s="2"/>
    </row>
    <row r="869" spans="2:20" ht="15.75" customHeight="1" x14ac:dyDescent="0.25">
      <c r="B869" s="1"/>
      <c r="F869" s="1"/>
      <c r="H869" s="1"/>
      <c r="I869" s="1"/>
      <c r="J869" s="1"/>
      <c r="M869" s="2"/>
      <c r="N869" s="2"/>
      <c r="O869" s="2"/>
      <c r="R869" s="2"/>
      <c r="S869" s="2"/>
      <c r="T869" s="2"/>
    </row>
    <row r="870" spans="2:20" ht="15.75" customHeight="1" x14ac:dyDescent="0.25">
      <c r="B870" s="1"/>
      <c r="F870" s="1"/>
      <c r="H870" s="1"/>
      <c r="I870" s="1"/>
      <c r="J870" s="1"/>
      <c r="M870" s="2"/>
      <c r="N870" s="2"/>
      <c r="O870" s="2"/>
      <c r="R870" s="2"/>
      <c r="S870" s="2"/>
      <c r="T870" s="2"/>
    </row>
    <row r="871" spans="2:20" ht="15.75" customHeight="1" x14ac:dyDescent="0.25">
      <c r="B871" s="1"/>
      <c r="F871" s="1"/>
      <c r="H871" s="1"/>
      <c r="I871" s="1"/>
      <c r="J871" s="1"/>
      <c r="M871" s="2"/>
      <c r="N871" s="2"/>
      <c r="O871" s="2"/>
      <c r="R871" s="2"/>
      <c r="S871" s="2"/>
      <c r="T871" s="2"/>
    </row>
    <row r="872" spans="2:20" ht="15.75" customHeight="1" x14ac:dyDescent="0.25">
      <c r="B872" s="1"/>
      <c r="F872" s="1"/>
      <c r="H872" s="1"/>
      <c r="I872" s="1"/>
      <c r="J872" s="1"/>
      <c r="M872" s="2"/>
      <c r="N872" s="2"/>
      <c r="O872" s="2"/>
      <c r="R872" s="2"/>
      <c r="S872" s="2"/>
      <c r="T872" s="2"/>
    </row>
    <row r="873" spans="2:20" ht="15.75" customHeight="1" x14ac:dyDescent="0.25">
      <c r="B873" s="1"/>
      <c r="F873" s="1"/>
      <c r="H873" s="1"/>
      <c r="I873" s="1"/>
      <c r="J873" s="1"/>
      <c r="M873" s="2"/>
      <c r="N873" s="2"/>
      <c r="O873" s="2"/>
      <c r="R873" s="2"/>
      <c r="S873" s="2"/>
      <c r="T873" s="2"/>
    </row>
    <row r="874" spans="2:20" ht="15.75" customHeight="1" x14ac:dyDescent="0.25">
      <c r="B874" s="1"/>
      <c r="F874" s="1"/>
      <c r="H874" s="1"/>
      <c r="I874" s="1"/>
      <c r="J874" s="1"/>
      <c r="M874" s="2"/>
      <c r="N874" s="2"/>
      <c r="O874" s="2"/>
      <c r="R874" s="2"/>
      <c r="S874" s="2"/>
      <c r="T874" s="2"/>
    </row>
    <row r="875" spans="2:20" ht="15.75" customHeight="1" x14ac:dyDescent="0.25">
      <c r="B875" s="1"/>
      <c r="F875" s="1"/>
      <c r="H875" s="1"/>
      <c r="I875" s="1"/>
      <c r="J875" s="1"/>
      <c r="M875" s="2"/>
      <c r="N875" s="2"/>
      <c r="O875" s="2"/>
      <c r="R875" s="2"/>
      <c r="S875" s="2"/>
      <c r="T875" s="2"/>
    </row>
    <row r="876" spans="2:20" ht="15.75" customHeight="1" x14ac:dyDescent="0.25">
      <c r="B876" s="1"/>
      <c r="F876" s="1"/>
      <c r="H876" s="1"/>
      <c r="I876" s="1"/>
      <c r="J876" s="1"/>
      <c r="M876" s="2"/>
      <c r="N876" s="2"/>
      <c r="O876" s="2"/>
      <c r="R876" s="2"/>
      <c r="S876" s="2"/>
      <c r="T876" s="2"/>
    </row>
    <row r="877" spans="2:20" ht="15.75" customHeight="1" x14ac:dyDescent="0.25">
      <c r="B877" s="1"/>
      <c r="F877" s="1"/>
      <c r="H877" s="1"/>
      <c r="I877" s="1"/>
      <c r="J877" s="1"/>
      <c r="M877" s="2"/>
      <c r="N877" s="2"/>
      <c r="O877" s="2"/>
      <c r="R877" s="2"/>
      <c r="S877" s="2"/>
      <c r="T877" s="2"/>
    </row>
    <row r="878" spans="2:20" ht="15.75" customHeight="1" x14ac:dyDescent="0.25">
      <c r="B878" s="1"/>
      <c r="F878" s="1"/>
      <c r="H878" s="1"/>
      <c r="I878" s="1"/>
      <c r="J878" s="1"/>
      <c r="M878" s="2"/>
      <c r="N878" s="2"/>
      <c r="O878" s="2"/>
      <c r="R878" s="2"/>
      <c r="S878" s="2"/>
      <c r="T878" s="2"/>
    </row>
    <row r="879" spans="2:20" ht="15.75" customHeight="1" x14ac:dyDescent="0.25">
      <c r="B879" s="1"/>
      <c r="F879" s="1"/>
      <c r="H879" s="1"/>
      <c r="I879" s="1"/>
      <c r="J879" s="1"/>
      <c r="M879" s="2"/>
      <c r="N879" s="2"/>
      <c r="O879" s="2"/>
      <c r="R879" s="2"/>
      <c r="S879" s="2"/>
      <c r="T879" s="2"/>
    </row>
    <row r="880" spans="2:20" ht="15.75" customHeight="1" x14ac:dyDescent="0.25">
      <c r="B880" s="1"/>
      <c r="F880" s="1"/>
      <c r="H880" s="1"/>
      <c r="I880" s="1"/>
      <c r="J880" s="1"/>
      <c r="M880" s="2"/>
      <c r="N880" s="2"/>
      <c r="O880" s="2"/>
      <c r="R880" s="2"/>
      <c r="S880" s="2"/>
      <c r="T880" s="2"/>
    </row>
    <row r="881" spans="2:20" ht="15.75" customHeight="1" x14ac:dyDescent="0.25">
      <c r="B881" s="1"/>
      <c r="F881" s="1"/>
      <c r="H881" s="1"/>
      <c r="I881" s="1"/>
      <c r="J881" s="1"/>
      <c r="M881" s="2"/>
      <c r="N881" s="2"/>
      <c r="O881" s="2"/>
      <c r="R881" s="2"/>
      <c r="S881" s="2"/>
      <c r="T881" s="2"/>
    </row>
    <row r="882" spans="2:20" ht="15.75" customHeight="1" x14ac:dyDescent="0.25">
      <c r="B882" s="1"/>
      <c r="F882" s="1"/>
      <c r="H882" s="1"/>
      <c r="I882" s="1"/>
      <c r="J882" s="1"/>
      <c r="M882" s="2"/>
      <c r="N882" s="2"/>
      <c r="O882" s="2"/>
      <c r="R882" s="2"/>
      <c r="S882" s="2"/>
      <c r="T882" s="2"/>
    </row>
    <row r="883" spans="2:20" ht="15.75" customHeight="1" x14ac:dyDescent="0.25">
      <c r="B883" s="1"/>
      <c r="F883" s="1"/>
      <c r="H883" s="1"/>
      <c r="I883" s="1"/>
      <c r="J883" s="1"/>
      <c r="M883" s="2"/>
      <c r="N883" s="2"/>
      <c r="O883" s="2"/>
      <c r="R883" s="2"/>
      <c r="S883" s="2"/>
      <c r="T883" s="2"/>
    </row>
    <row r="884" spans="2:20" ht="15.75" customHeight="1" x14ac:dyDescent="0.25">
      <c r="B884" s="1"/>
      <c r="F884" s="1"/>
      <c r="H884" s="1"/>
      <c r="I884" s="1"/>
      <c r="J884" s="1"/>
      <c r="M884" s="2"/>
      <c r="N884" s="2"/>
      <c r="O884" s="2"/>
      <c r="R884" s="2"/>
      <c r="S884" s="2"/>
      <c r="T884" s="2"/>
    </row>
    <row r="885" spans="2:20" ht="15.75" customHeight="1" x14ac:dyDescent="0.25">
      <c r="B885" s="1"/>
      <c r="F885" s="1"/>
      <c r="H885" s="1"/>
      <c r="I885" s="1"/>
      <c r="J885" s="1"/>
      <c r="M885" s="2"/>
      <c r="N885" s="2"/>
      <c r="O885" s="2"/>
      <c r="R885" s="2"/>
      <c r="S885" s="2"/>
      <c r="T885" s="2"/>
    </row>
    <row r="886" spans="2:20" ht="15.75" customHeight="1" x14ac:dyDescent="0.25">
      <c r="B886" s="1"/>
      <c r="F886" s="1"/>
      <c r="H886" s="1"/>
      <c r="I886" s="1"/>
      <c r="J886" s="1"/>
      <c r="M886" s="2"/>
      <c r="N886" s="2"/>
      <c r="O886" s="2"/>
      <c r="R886" s="2"/>
      <c r="S886" s="2"/>
      <c r="T886" s="2"/>
    </row>
    <row r="887" spans="2:20" ht="15.75" customHeight="1" x14ac:dyDescent="0.25">
      <c r="B887" s="1"/>
      <c r="F887" s="1"/>
      <c r="H887" s="1"/>
      <c r="I887" s="1"/>
      <c r="J887" s="1"/>
      <c r="M887" s="2"/>
      <c r="N887" s="2"/>
      <c r="O887" s="2"/>
      <c r="R887" s="2"/>
      <c r="S887" s="2"/>
      <c r="T887" s="2"/>
    </row>
    <row r="888" spans="2:20" ht="15.75" customHeight="1" x14ac:dyDescent="0.25">
      <c r="B888" s="1"/>
      <c r="F888" s="1"/>
      <c r="H888" s="1"/>
      <c r="I888" s="1"/>
      <c r="J888" s="1"/>
      <c r="M888" s="2"/>
      <c r="N888" s="2"/>
      <c r="O888" s="2"/>
      <c r="R888" s="2"/>
      <c r="S888" s="2"/>
      <c r="T888" s="2"/>
    </row>
    <row r="889" spans="2:20" ht="15.75" customHeight="1" x14ac:dyDescent="0.25">
      <c r="B889" s="1"/>
      <c r="F889" s="1"/>
      <c r="H889" s="1"/>
      <c r="I889" s="1"/>
      <c r="J889" s="1"/>
      <c r="M889" s="2"/>
      <c r="N889" s="2"/>
      <c r="O889" s="2"/>
      <c r="R889" s="2"/>
      <c r="S889" s="2"/>
      <c r="T889" s="2"/>
    </row>
    <row r="890" spans="2:20" ht="15.75" customHeight="1" x14ac:dyDescent="0.25">
      <c r="B890" s="1"/>
      <c r="F890" s="1"/>
      <c r="H890" s="1"/>
      <c r="I890" s="1"/>
      <c r="J890" s="1"/>
      <c r="M890" s="2"/>
      <c r="N890" s="2"/>
      <c r="O890" s="2"/>
      <c r="R890" s="2"/>
      <c r="S890" s="2"/>
      <c r="T890" s="2"/>
    </row>
    <row r="891" spans="2:20" ht="15.75" customHeight="1" x14ac:dyDescent="0.25">
      <c r="B891" s="1"/>
      <c r="F891" s="1"/>
      <c r="H891" s="1"/>
      <c r="I891" s="1"/>
      <c r="J891" s="1"/>
      <c r="M891" s="2"/>
      <c r="N891" s="2"/>
      <c r="O891" s="2"/>
      <c r="R891" s="2"/>
      <c r="S891" s="2"/>
      <c r="T891" s="2"/>
    </row>
    <row r="892" spans="2:20" ht="15.75" customHeight="1" x14ac:dyDescent="0.25">
      <c r="B892" s="1"/>
      <c r="F892" s="1"/>
      <c r="H892" s="1"/>
      <c r="I892" s="1"/>
      <c r="J892" s="1"/>
      <c r="M892" s="2"/>
      <c r="N892" s="2"/>
      <c r="O892" s="2"/>
      <c r="R892" s="2"/>
      <c r="S892" s="2"/>
      <c r="T892" s="2"/>
    </row>
    <row r="893" spans="2:20" ht="15.75" customHeight="1" x14ac:dyDescent="0.25">
      <c r="B893" s="1"/>
      <c r="F893" s="1"/>
      <c r="H893" s="1"/>
      <c r="I893" s="1"/>
      <c r="J893" s="1"/>
      <c r="M893" s="2"/>
      <c r="N893" s="2"/>
      <c r="O893" s="2"/>
      <c r="R893" s="2"/>
      <c r="S893" s="2"/>
      <c r="T893" s="2"/>
    </row>
    <row r="894" spans="2:20" ht="15.75" customHeight="1" x14ac:dyDescent="0.25">
      <c r="B894" s="1"/>
      <c r="F894" s="1"/>
      <c r="H894" s="1"/>
      <c r="I894" s="1"/>
      <c r="J894" s="1"/>
      <c r="M894" s="2"/>
      <c r="N894" s="2"/>
      <c r="O894" s="2"/>
      <c r="R894" s="2"/>
      <c r="S894" s="2"/>
      <c r="T894" s="2"/>
    </row>
    <row r="895" spans="2:20" ht="15.75" customHeight="1" x14ac:dyDescent="0.25">
      <c r="B895" s="1"/>
      <c r="F895" s="1"/>
      <c r="H895" s="1"/>
      <c r="I895" s="1"/>
      <c r="J895" s="1"/>
      <c r="M895" s="2"/>
      <c r="N895" s="2"/>
      <c r="O895" s="2"/>
      <c r="R895" s="2"/>
      <c r="S895" s="2"/>
      <c r="T895" s="2"/>
    </row>
    <row r="896" spans="2:20" ht="15.75" customHeight="1" x14ac:dyDescent="0.25">
      <c r="B896" s="1"/>
      <c r="F896" s="1"/>
      <c r="H896" s="1"/>
      <c r="I896" s="1"/>
      <c r="J896" s="1"/>
      <c r="M896" s="2"/>
      <c r="N896" s="2"/>
      <c r="O896" s="2"/>
      <c r="R896" s="2"/>
      <c r="S896" s="2"/>
      <c r="T896" s="2"/>
    </row>
    <row r="897" spans="2:20" ht="15.75" customHeight="1" x14ac:dyDescent="0.25">
      <c r="B897" s="1"/>
      <c r="F897" s="1"/>
      <c r="H897" s="1"/>
      <c r="I897" s="1"/>
      <c r="J897" s="1"/>
      <c r="M897" s="2"/>
      <c r="N897" s="2"/>
      <c r="O897" s="2"/>
      <c r="R897" s="2"/>
      <c r="S897" s="2"/>
      <c r="T897" s="2"/>
    </row>
    <row r="898" spans="2:20" ht="15.75" customHeight="1" x14ac:dyDescent="0.25">
      <c r="B898" s="1"/>
      <c r="F898" s="1"/>
      <c r="H898" s="1"/>
      <c r="I898" s="1"/>
      <c r="J898" s="1"/>
      <c r="M898" s="2"/>
      <c r="N898" s="2"/>
      <c r="O898" s="2"/>
      <c r="R898" s="2"/>
      <c r="S898" s="2"/>
      <c r="T898" s="2"/>
    </row>
    <row r="899" spans="2:20" ht="15.75" customHeight="1" x14ac:dyDescent="0.25">
      <c r="B899" s="1"/>
      <c r="F899" s="1"/>
      <c r="H899" s="1"/>
      <c r="I899" s="1"/>
      <c r="J899" s="1"/>
      <c r="M899" s="2"/>
      <c r="N899" s="2"/>
      <c r="O899" s="2"/>
      <c r="R899" s="2"/>
      <c r="S899" s="2"/>
      <c r="T899" s="2"/>
    </row>
    <row r="900" spans="2:20" ht="15.75" customHeight="1" x14ac:dyDescent="0.25">
      <c r="B900" s="1"/>
      <c r="F900" s="1"/>
      <c r="H900" s="1"/>
      <c r="I900" s="1"/>
      <c r="J900" s="1"/>
      <c r="M900" s="2"/>
      <c r="N900" s="2"/>
      <c r="O900" s="2"/>
      <c r="R900" s="2"/>
      <c r="S900" s="2"/>
      <c r="T900" s="2"/>
    </row>
    <row r="901" spans="2:20" ht="15.75" customHeight="1" x14ac:dyDescent="0.25">
      <c r="B901" s="1"/>
      <c r="F901" s="1"/>
      <c r="H901" s="1"/>
      <c r="I901" s="1"/>
      <c r="J901" s="1"/>
      <c r="M901" s="2"/>
      <c r="N901" s="2"/>
      <c r="O901" s="2"/>
      <c r="R901" s="2"/>
      <c r="S901" s="2"/>
      <c r="T901" s="2"/>
    </row>
    <row r="902" spans="2:20" ht="15.75" customHeight="1" x14ac:dyDescent="0.25">
      <c r="B902" s="1"/>
      <c r="F902" s="1"/>
      <c r="H902" s="1"/>
      <c r="I902" s="1"/>
      <c r="J902" s="1"/>
      <c r="M902" s="2"/>
      <c r="N902" s="2"/>
      <c r="O902" s="2"/>
      <c r="R902" s="2"/>
      <c r="S902" s="2"/>
      <c r="T902" s="2"/>
    </row>
    <row r="903" spans="2:20" ht="15.75" customHeight="1" x14ac:dyDescent="0.25">
      <c r="B903" s="1"/>
      <c r="F903" s="1"/>
      <c r="H903" s="1"/>
      <c r="I903" s="1"/>
      <c r="J903" s="1"/>
      <c r="M903" s="2"/>
      <c r="N903" s="2"/>
      <c r="O903" s="2"/>
      <c r="R903" s="2"/>
      <c r="S903" s="2"/>
      <c r="T903" s="2"/>
    </row>
    <row r="904" spans="2:20" ht="15.75" customHeight="1" x14ac:dyDescent="0.25">
      <c r="B904" s="1"/>
      <c r="F904" s="1"/>
      <c r="H904" s="1"/>
      <c r="I904" s="1"/>
      <c r="J904" s="1"/>
      <c r="M904" s="2"/>
      <c r="N904" s="2"/>
      <c r="O904" s="2"/>
      <c r="R904" s="2"/>
      <c r="S904" s="2"/>
      <c r="T904" s="2"/>
    </row>
    <row r="905" spans="2:20" ht="15.75" customHeight="1" x14ac:dyDescent="0.25">
      <c r="B905" s="1"/>
      <c r="F905" s="1"/>
      <c r="H905" s="1"/>
      <c r="I905" s="1"/>
      <c r="J905" s="1"/>
      <c r="M905" s="2"/>
      <c r="N905" s="2"/>
      <c r="O905" s="2"/>
      <c r="R905" s="2"/>
      <c r="S905" s="2"/>
      <c r="T905" s="2"/>
    </row>
    <row r="906" spans="2:20" ht="15.75" customHeight="1" x14ac:dyDescent="0.25">
      <c r="B906" s="1"/>
      <c r="F906" s="1"/>
      <c r="H906" s="1"/>
      <c r="I906" s="1"/>
      <c r="J906" s="1"/>
      <c r="M906" s="2"/>
      <c r="N906" s="2"/>
      <c r="O906" s="2"/>
      <c r="R906" s="2"/>
      <c r="S906" s="2"/>
      <c r="T906" s="2"/>
    </row>
    <row r="907" spans="2:20" ht="15.75" customHeight="1" x14ac:dyDescent="0.25">
      <c r="B907" s="1"/>
      <c r="F907" s="1"/>
      <c r="H907" s="1"/>
      <c r="I907" s="1"/>
      <c r="J907" s="1"/>
      <c r="M907" s="2"/>
      <c r="N907" s="2"/>
      <c r="O907" s="2"/>
      <c r="R907" s="2"/>
      <c r="S907" s="2"/>
      <c r="T907" s="2"/>
    </row>
    <row r="908" spans="2:20" ht="15.75" customHeight="1" x14ac:dyDescent="0.25">
      <c r="B908" s="1"/>
      <c r="F908" s="1"/>
      <c r="H908" s="1"/>
      <c r="I908" s="1"/>
      <c r="J908" s="1"/>
      <c r="M908" s="2"/>
      <c r="N908" s="2"/>
      <c r="O908" s="2"/>
      <c r="R908" s="2"/>
      <c r="S908" s="2"/>
      <c r="T908" s="2"/>
    </row>
    <row r="909" spans="2:20" ht="15.75" customHeight="1" x14ac:dyDescent="0.25">
      <c r="B909" s="1"/>
      <c r="F909" s="1"/>
      <c r="H909" s="1"/>
      <c r="I909" s="1"/>
      <c r="J909" s="1"/>
      <c r="M909" s="2"/>
      <c r="N909" s="2"/>
      <c r="O909" s="2"/>
      <c r="R909" s="2"/>
      <c r="S909" s="2"/>
      <c r="T909" s="2"/>
    </row>
    <row r="910" spans="2:20" ht="15.75" customHeight="1" x14ac:dyDescent="0.25">
      <c r="B910" s="1"/>
      <c r="F910" s="1"/>
      <c r="H910" s="1"/>
      <c r="I910" s="1"/>
      <c r="J910" s="1"/>
      <c r="M910" s="2"/>
      <c r="N910" s="2"/>
      <c r="O910" s="2"/>
      <c r="R910" s="2"/>
      <c r="S910" s="2"/>
      <c r="T910" s="2"/>
    </row>
    <row r="911" spans="2:20" ht="15.75" customHeight="1" x14ac:dyDescent="0.25">
      <c r="B911" s="1"/>
      <c r="F911" s="1"/>
      <c r="H911" s="1"/>
      <c r="I911" s="1"/>
      <c r="J911" s="1"/>
      <c r="M911" s="2"/>
      <c r="N911" s="2"/>
      <c r="O911" s="2"/>
      <c r="R911" s="2"/>
      <c r="S911" s="2"/>
      <c r="T911" s="2"/>
    </row>
    <row r="912" spans="2:20" ht="15.75" customHeight="1" x14ac:dyDescent="0.25">
      <c r="B912" s="1"/>
      <c r="F912" s="1"/>
      <c r="H912" s="1"/>
      <c r="I912" s="1"/>
      <c r="J912" s="1"/>
      <c r="M912" s="2"/>
      <c r="N912" s="2"/>
      <c r="O912" s="2"/>
      <c r="R912" s="2"/>
      <c r="S912" s="2"/>
      <c r="T912" s="2"/>
    </row>
    <row r="913" spans="2:20" ht="15.75" customHeight="1" x14ac:dyDescent="0.25">
      <c r="B913" s="1"/>
      <c r="F913" s="1"/>
      <c r="H913" s="1"/>
      <c r="I913" s="1"/>
      <c r="J913" s="1"/>
      <c r="M913" s="2"/>
      <c r="N913" s="2"/>
      <c r="O913" s="2"/>
      <c r="R913" s="2"/>
      <c r="S913" s="2"/>
      <c r="T913" s="2"/>
    </row>
    <row r="914" spans="2:20" ht="15.75" customHeight="1" x14ac:dyDescent="0.25">
      <c r="B914" s="1"/>
      <c r="F914" s="1"/>
      <c r="H914" s="1"/>
      <c r="I914" s="1"/>
      <c r="J914" s="1"/>
      <c r="M914" s="2"/>
      <c r="N914" s="2"/>
      <c r="O914" s="2"/>
      <c r="R914" s="2"/>
      <c r="S914" s="2"/>
      <c r="T914" s="2"/>
    </row>
    <row r="915" spans="2:20" ht="15.75" customHeight="1" x14ac:dyDescent="0.25">
      <c r="B915" s="1"/>
      <c r="F915" s="1"/>
      <c r="H915" s="1"/>
      <c r="I915" s="1"/>
      <c r="J915" s="1"/>
      <c r="M915" s="2"/>
      <c r="N915" s="2"/>
      <c r="O915" s="2"/>
      <c r="R915" s="2"/>
      <c r="S915" s="2"/>
      <c r="T915" s="2"/>
    </row>
    <row r="916" spans="2:20" ht="15.75" customHeight="1" x14ac:dyDescent="0.25">
      <c r="B916" s="1"/>
      <c r="F916" s="1"/>
      <c r="H916" s="1"/>
      <c r="I916" s="1"/>
      <c r="J916" s="1"/>
      <c r="M916" s="2"/>
      <c r="N916" s="2"/>
      <c r="O916" s="2"/>
      <c r="R916" s="2"/>
      <c r="S916" s="2"/>
      <c r="T916" s="2"/>
    </row>
    <row r="917" spans="2:20" ht="15.75" customHeight="1" x14ac:dyDescent="0.25">
      <c r="B917" s="1"/>
      <c r="F917" s="1"/>
      <c r="H917" s="1"/>
      <c r="I917" s="1"/>
      <c r="J917" s="1"/>
      <c r="M917" s="2"/>
      <c r="N917" s="2"/>
      <c r="O917" s="2"/>
      <c r="R917" s="2"/>
      <c r="S917" s="2"/>
      <c r="T917" s="2"/>
    </row>
    <row r="918" spans="2:20" ht="15.75" customHeight="1" x14ac:dyDescent="0.25">
      <c r="B918" s="1"/>
      <c r="F918" s="1"/>
      <c r="H918" s="1"/>
      <c r="I918" s="1"/>
      <c r="J918" s="1"/>
      <c r="M918" s="2"/>
      <c r="N918" s="2"/>
      <c r="O918" s="2"/>
      <c r="R918" s="2"/>
      <c r="S918" s="2"/>
      <c r="T918" s="2"/>
    </row>
    <row r="919" spans="2:20" ht="15.75" customHeight="1" x14ac:dyDescent="0.25">
      <c r="B919" s="1"/>
      <c r="F919" s="1"/>
      <c r="H919" s="1"/>
      <c r="I919" s="1"/>
      <c r="J919" s="1"/>
      <c r="M919" s="2"/>
      <c r="N919" s="2"/>
      <c r="O919" s="2"/>
      <c r="R919" s="2"/>
      <c r="S919" s="2"/>
      <c r="T919" s="2"/>
    </row>
    <row r="920" spans="2:20" ht="15.75" customHeight="1" x14ac:dyDescent="0.25">
      <c r="B920" s="1"/>
      <c r="F920" s="1"/>
      <c r="H920" s="1"/>
      <c r="I920" s="1"/>
      <c r="J920" s="1"/>
      <c r="M920" s="2"/>
      <c r="N920" s="2"/>
      <c r="O920" s="2"/>
      <c r="R920" s="2"/>
      <c r="S920" s="2"/>
      <c r="T920" s="2"/>
    </row>
    <row r="921" spans="2:20" ht="15.75" customHeight="1" x14ac:dyDescent="0.25">
      <c r="B921" s="1"/>
      <c r="F921" s="1"/>
      <c r="H921" s="1"/>
      <c r="I921" s="1"/>
      <c r="J921" s="1"/>
      <c r="M921" s="2"/>
      <c r="N921" s="2"/>
      <c r="O921" s="2"/>
      <c r="R921" s="2"/>
      <c r="S921" s="2"/>
      <c r="T921" s="2"/>
    </row>
    <row r="922" spans="2:20" ht="15.75" customHeight="1" x14ac:dyDescent="0.25">
      <c r="B922" s="1"/>
      <c r="F922" s="1"/>
      <c r="H922" s="1"/>
      <c r="I922" s="1"/>
      <c r="J922" s="1"/>
      <c r="M922" s="2"/>
      <c r="N922" s="2"/>
      <c r="O922" s="2"/>
      <c r="R922" s="2"/>
      <c r="S922" s="2"/>
      <c r="T922" s="2"/>
    </row>
    <row r="923" spans="2:20" ht="15.75" customHeight="1" x14ac:dyDescent="0.25">
      <c r="B923" s="1"/>
      <c r="F923" s="1"/>
      <c r="H923" s="1"/>
      <c r="I923" s="1"/>
      <c r="J923" s="1"/>
      <c r="M923" s="2"/>
      <c r="N923" s="2"/>
      <c r="O923" s="2"/>
      <c r="R923" s="2"/>
      <c r="S923" s="2"/>
      <c r="T923" s="2"/>
    </row>
    <row r="924" spans="2:20" ht="15.75" customHeight="1" x14ac:dyDescent="0.25">
      <c r="B924" s="1"/>
      <c r="F924" s="1"/>
      <c r="H924" s="1"/>
      <c r="I924" s="1"/>
      <c r="J924" s="1"/>
      <c r="M924" s="2"/>
      <c r="N924" s="2"/>
      <c r="O924" s="2"/>
      <c r="R924" s="2"/>
      <c r="S924" s="2"/>
      <c r="T924" s="2"/>
    </row>
    <row r="925" spans="2:20" ht="15.75" customHeight="1" x14ac:dyDescent="0.25">
      <c r="B925" s="1"/>
      <c r="F925" s="1"/>
      <c r="H925" s="1"/>
      <c r="I925" s="1"/>
      <c r="J925" s="1"/>
      <c r="M925" s="2"/>
      <c r="N925" s="2"/>
      <c r="O925" s="2"/>
      <c r="R925" s="2"/>
      <c r="S925" s="2"/>
      <c r="T925" s="2"/>
    </row>
    <row r="926" spans="2:20" ht="15.75" customHeight="1" x14ac:dyDescent="0.25">
      <c r="B926" s="1"/>
      <c r="F926" s="1"/>
      <c r="H926" s="1"/>
      <c r="I926" s="1"/>
      <c r="J926" s="1"/>
      <c r="M926" s="2"/>
      <c r="N926" s="2"/>
      <c r="O926" s="2"/>
      <c r="R926" s="2"/>
      <c r="S926" s="2"/>
      <c r="T926" s="2"/>
    </row>
    <row r="927" spans="2:20" ht="15.75" customHeight="1" x14ac:dyDescent="0.25">
      <c r="B927" s="1"/>
      <c r="F927" s="1"/>
      <c r="H927" s="1"/>
      <c r="I927" s="1"/>
      <c r="J927" s="1"/>
      <c r="M927" s="2"/>
      <c r="N927" s="2"/>
      <c r="O927" s="2"/>
      <c r="R927" s="2"/>
      <c r="S927" s="2"/>
      <c r="T927" s="2"/>
    </row>
    <row r="928" spans="2:20" ht="15.75" customHeight="1" x14ac:dyDescent="0.25">
      <c r="B928" s="1"/>
      <c r="F928" s="1"/>
      <c r="H928" s="1"/>
      <c r="I928" s="1"/>
      <c r="J928" s="1"/>
      <c r="M928" s="2"/>
      <c r="N928" s="2"/>
      <c r="O928" s="2"/>
      <c r="R928" s="2"/>
      <c r="S928" s="2"/>
      <c r="T928" s="2"/>
    </row>
    <row r="929" spans="2:20" ht="15.75" customHeight="1" x14ac:dyDescent="0.25">
      <c r="B929" s="1"/>
      <c r="F929" s="1"/>
      <c r="H929" s="1"/>
      <c r="I929" s="1"/>
      <c r="J929" s="1"/>
      <c r="M929" s="2"/>
      <c r="N929" s="2"/>
      <c r="O929" s="2"/>
      <c r="R929" s="2"/>
      <c r="S929" s="2"/>
      <c r="T929" s="2"/>
    </row>
    <row r="930" spans="2:20" ht="15.75" customHeight="1" x14ac:dyDescent="0.25">
      <c r="B930" s="1"/>
      <c r="F930" s="1"/>
      <c r="H930" s="1"/>
      <c r="I930" s="1"/>
      <c r="J930" s="1"/>
      <c r="M930" s="2"/>
      <c r="N930" s="2"/>
      <c r="O930" s="2"/>
      <c r="R930" s="2"/>
      <c r="S930" s="2"/>
      <c r="T930" s="2"/>
    </row>
    <row r="931" spans="2:20" ht="15.75" customHeight="1" x14ac:dyDescent="0.25">
      <c r="B931" s="1"/>
      <c r="F931" s="1"/>
      <c r="H931" s="1"/>
      <c r="I931" s="1"/>
      <c r="J931" s="1"/>
      <c r="M931" s="2"/>
      <c r="N931" s="2"/>
      <c r="O931" s="2"/>
      <c r="R931" s="2"/>
      <c r="S931" s="2"/>
      <c r="T931" s="2"/>
    </row>
    <row r="932" spans="2:20" ht="15.75" customHeight="1" x14ac:dyDescent="0.25">
      <c r="B932" s="1"/>
      <c r="F932" s="1"/>
      <c r="H932" s="1"/>
      <c r="I932" s="1"/>
      <c r="J932" s="1"/>
      <c r="M932" s="2"/>
      <c r="N932" s="2"/>
      <c r="O932" s="2"/>
      <c r="R932" s="2"/>
      <c r="S932" s="2"/>
      <c r="T932" s="2"/>
    </row>
    <row r="933" spans="2:20" ht="15.75" customHeight="1" x14ac:dyDescent="0.25">
      <c r="B933" s="1"/>
      <c r="F933" s="1"/>
      <c r="H933" s="1"/>
      <c r="I933" s="1"/>
      <c r="J933" s="1"/>
      <c r="M933" s="2"/>
      <c r="N933" s="2"/>
      <c r="O933" s="2"/>
      <c r="R933" s="2"/>
      <c r="S933" s="2"/>
      <c r="T933" s="2"/>
    </row>
    <row r="934" spans="2:20" ht="15.75" customHeight="1" x14ac:dyDescent="0.25">
      <c r="B934" s="1"/>
      <c r="F934" s="1"/>
      <c r="H934" s="1"/>
      <c r="I934" s="1"/>
      <c r="J934" s="1"/>
      <c r="M934" s="2"/>
      <c r="N934" s="2"/>
      <c r="O934" s="2"/>
      <c r="R934" s="2"/>
      <c r="S934" s="2"/>
      <c r="T934" s="2"/>
    </row>
    <row r="935" spans="2:20" ht="15.75" customHeight="1" x14ac:dyDescent="0.25">
      <c r="B935" s="1"/>
      <c r="F935" s="1"/>
      <c r="H935" s="1"/>
      <c r="I935" s="1"/>
      <c r="J935" s="1"/>
      <c r="M935" s="2"/>
      <c r="N935" s="2"/>
      <c r="O935" s="2"/>
      <c r="R935" s="2"/>
      <c r="S935" s="2"/>
      <c r="T935" s="2"/>
    </row>
    <row r="936" spans="2:20" ht="15.75" customHeight="1" x14ac:dyDescent="0.25">
      <c r="B936" s="1"/>
      <c r="F936" s="1"/>
      <c r="H936" s="1"/>
      <c r="I936" s="1"/>
      <c r="J936" s="1"/>
      <c r="M936" s="2"/>
      <c r="N936" s="2"/>
      <c r="O936" s="2"/>
      <c r="R936" s="2"/>
      <c r="S936" s="2"/>
      <c r="T936" s="2"/>
    </row>
    <row r="937" spans="2:20" ht="15.75" customHeight="1" x14ac:dyDescent="0.25">
      <c r="B937" s="1"/>
      <c r="F937" s="1"/>
      <c r="H937" s="1"/>
      <c r="I937" s="1"/>
      <c r="J937" s="1"/>
      <c r="M937" s="2"/>
      <c r="N937" s="2"/>
      <c r="O937" s="2"/>
      <c r="R937" s="2"/>
      <c r="S937" s="2"/>
      <c r="T937" s="2"/>
    </row>
    <row r="938" spans="2:20" ht="15.75" customHeight="1" x14ac:dyDescent="0.25">
      <c r="B938" s="1"/>
      <c r="F938" s="1"/>
      <c r="H938" s="1"/>
      <c r="I938" s="1"/>
      <c r="J938" s="1"/>
      <c r="M938" s="2"/>
      <c r="N938" s="2"/>
      <c r="O938" s="2"/>
      <c r="R938" s="2"/>
      <c r="S938" s="2"/>
      <c r="T938" s="2"/>
    </row>
    <row r="939" spans="2:20" ht="15.75" customHeight="1" x14ac:dyDescent="0.25">
      <c r="B939" s="1"/>
      <c r="F939" s="1"/>
      <c r="H939" s="1"/>
      <c r="I939" s="1"/>
      <c r="J939" s="1"/>
      <c r="M939" s="2"/>
      <c r="N939" s="2"/>
      <c r="O939" s="2"/>
      <c r="R939" s="2"/>
      <c r="S939" s="2"/>
      <c r="T939" s="2"/>
    </row>
    <row r="940" spans="2:20" ht="15.75" customHeight="1" x14ac:dyDescent="0.25">
      <c r="B940" s="1"/>
      <c r="F940" s="1"/>
      <c r="H940" s="1"/>
      <c r="I940" s="1"/>
      <c r="J940" s="1"/>
      <c r="M940" s="2"/>
      <c r="N940" s="2"/>
      <c r="O940" s="2"/>
      <c r="R940" s="2"/>
      <c r="S940" s="2"/>
      <c r="T940" s="2"/>
    </row>
    <row r="941" spans="2:20" ht="15.75" customHeight="1" x14ac:dyDescent="0.25">
      <c r="B941" s="1"/>
      <c r="F941" s="1"/>
      <c r="H941" s="1"/>
      <c r="I941" s="1"/>
      <c r="J941" s="1"/>
      <c r="M941" s="2"/>
      <c r="N941" s="2"/>
      <c r="O941" s="2"/>
      <c r="R941" s="2"/>
      <c r="S941" s="2"/>
      <c r="T941" s="2"/>
    </row>
    <row r="942" spans="2:20" ht="15.75" customHeight="1" x14ac:dyDescent="0.25">
      <c r="B942" s="1"/>
      <c r="F942" s="1"/>
      <c r="H942" s="1"/>
      <c r="I942" s="1"/>
      <c r="J942" s="1"/>
      <c r="M942" s="2"/>
      <c r="N942" s="2"/>
      <c r="O942" s="2"/>
      <c r="R942" s="2"/>
      <c r="S942" s="2"/>
      <c r="T942" s="2"/>
    </row>
    <row r="943" spans="2:20" ht="15.75" customHeight="1" x14ac:dyDescent="0.25">
      <c r="B943" s="1"/>
      <c r="F943" s="1"/>
      <c r="H943" s="1"/>
      <c r="I943" s="1"/>
      <c r="J943" s="1"/>
      <c r="M943" s="2"/>
      <c r="N943" s="2"/>
      <c r="O943" s="2"/>
      <c r="R943" s="2"/>
      <c r="S943" s="2"/>
      <c r="T943" s="2"/>
    </row>
    <row r="944" spans="2:20" ht="15.75" customHeight="1" x14ac:dyDescent="0.25">
      <c r="B944" s="1"/>
      <c r="F944" s="1"/>
      <c r="H944" s="1"/>
      <c r="I944" s="1"/>
      <c r="J944" s="1"/>
      <c r="M944" s="2"/>
      <c r="N944" s="2"/>
      <c r="O944" s="2"/>
      <c r="R944" s="2"/>
      <c r="S944" s="2"/>
      <c r="T944" s="2"/>
    </row>
    <row r="945" spans="2:20" ht="15.75" customHeight="1" x14ac:dyDescent="0.25">
      <c r="B945" s="1"/>
      <c r="F945" s="1"/>
      <c r="H945" s="1"/>
      <c r="I945" s="1"/>
      <c r="J945" s="1"/>
      <c r="M945" s="2"/>
      <c r="N945" s="2"/>
      <c r="O945" s="2"/>
      <c r="R945" s="2"/>
      <c r="S945" s="2"/>
      <c r="T945" s="2"/>
    </row>
    <row r="946" spans="2:20" ht="15.75" customHeight="1" x14ac:dyDescent="0.25">
      <c r="B946" s="1"/>
      <c r="F946" s="1"/>
      <c r="H946" s="1"/>
      <c r="I946" s="1"/>
      <c r="J946" s="1"/>
      <c r="M946" s="2"/>
      <c r="N946" s="2"/>
      <c r="O946" s="2"/>
      <c r="R946" s="2"/>
      <c r="S946" s="2"/>
      <c r="T946" s="2"/>
    </row>
    <row r="947" spans="2:20" ht="15.75" customHeight="1" x14ac:dyDescent="0.25">
      <c r="B947" s="1"/>
      <c r="F947" s="1"/>
      <c r="H947" s="1"/>
      <c r="I947" s="1"/>
      <c r="J947" s="1"/>
      <c r="M947" s="2"/>
      <c r="N947" s="2"/>
      <c r="O947" s="2"/>
      <c r="R947" s="2"/>
      <c r="S947" s="2"/>
      <c r="T947" s="2"/>
    </row>
    <row r="948" spans="2:20" ht="15.75" customHeight="1" x14ac:dyDescent="0.25">
      <c r="B948" s="1"/>
      <c r="F948" s="1"/>
      <c r="H948" s="1"/>
      <c r="I948" s="1"/>
      <c r="J948" s="1"/>
      <c r="M948" s="2"/>
      <c r="N948" s="2"/>
      <c r="O948" s="2"/>
      <c r="R948" s="2"/>
      <c r="S948" s="2"/>
      <c r="T948" s="2"/>
    </row>
    <row r="949" spans="2:20" ht="15.75" customHeight="1" x14ac:dyDescent="0.25">
      <c r="B949" s="1"/>
      <c r="F949" s="1"/>
      <c r="H949" s="1"/>
      <c r="I949" s="1"/>
      <c r="J949" s="1"/>
      <c r="M949" s="2"/>
      <c r="N949" s="2"/>
      <c r="O949" s="2"/>
      <c r="R949" s="2"/>
      <c r="S949" s="2"/>
      <c r="T949" s="2"/>
    </row>
    <row r="950" spans="2:20" ht="15.75" customHeight="1" x14ac:dyDescent="0.25">
      <c r="B950" s="1"/>
      <c r="F950" s="1"/>
      <c r="H950" s="1"/>
      <c r="I950" s="1"/>
      <c r="J950" s="1"/>
      <c r="M950" s="2"/>
      <c r="N950" s="2"/>
      <c r="O950" s="2"/>
      <c r="R950" s="2"/>
      <c r="S950" s="2"/>
      <c r="T950" s="2"/>
    </row>
    <row r="951" spans="2:20" ht="15.75" customHeight="1" x14ac:dyDescent="0.25">
      <c r="B951" s="1"/>
      <c r="F951" s="1"/>
      <c r="H951" s="1"/>
      <c r="I951" s="1"/>
      <c r="J951" s="1"/>
      <c r="M951" s="2"/>
      <c r="N951" s="2"/>
      <c r="O951" s="2"/>
      <c r="R951" s="2"/>
      <c r="S951" s="2"/>
      <c r="T951" s="2"/>
    </row>
    <row r="952" spans="2:20" ht="15.75" customHeight="1" x14ac:dyDescent="0.25">
      <c r="B952" s="1"/>
      <c r="F952" s="1"/>
      <c r="H952" s="1"/>
      <c r="I952" s="1"/>
      <c r="J952" s="1"/>
      <c r="M952" s="2"/>
      <c r="N952" s="2"/>
      <c r="O952" s="2"/>
      <c r="R952" s="2"/>
      <c r="S952" s="2"/>
      <c r="T952" s="2"/>
    </row>
    <row r="953" spans="2:20" ht="15.75" customHeight="1" x14ac:dyDescent="0.25">
      <c r="B953" s="1"/>
      <c r="F953" s="1"/>
      <c r="H953" s="1"/>
      <c r="I953" s="1"/>
      <c r="J953" s="1"/>
      <c r="M953" s="2"/>
      <c r="N953" s="2"/>
      <c r="O953" s="2"/>
      <c r="R953" s="2"/>
      <c r="S953" s="2"/>
      <c r="T953" s="2"/>
    </row>
    <row r="954" spans="2:20" ht="15.75" customHeight="1" x14ac:dyDescent="0.25">
      <c r="B954" s="1"/>
      <c r="F954" s="1"/>
      <c r="H954" s="1"/>
      <c r="I954" s="1"/>
      <c r="J954" s="1"/>
      <c r="M954" s="2"/>
      <c r="N954" s="2"/>
      <c r="O954" s="2"/>
      <c r="R954" s="2"/>
      <c r="S954" s="2"/>
      <c r="T954" s="2"/>
    </row>
    <row r="955" spans="2:20" ht="15.75" customHeight="1" x14ac:dyDescent="0.25">
      <c r="B955" s="1"/>
      <c r="F955" s="1"/>
      <c r="H955" s="1"/>
      <c r="I955" s="1"/>
      <c r="J955" s="1"/>
      <c r="M955" s="2"/>
      <c r="N955" s="2"/>
      <c r="O955" s="2"/>
      <c r="R955" s="2"/>
      <c r="S955" s="2"/>
      <c r="T955" s="2"/>
    </row>
    <row r="956" spans="2:20" ht="15.75" customHeight="1" x14ac:dyDescent="0.25">
      <c r="B956" s="1"/>
      <c r="F956" s="1"/>
      <c r="H956" s="1"/>
      <c r="I956" s="1"/>
      <c r="J956" s="1"/>
      <c r="M956" s="2"/>
      <c r="N956" s="2"/>
      <c r="O956" s="2"/>
      <c r="R956" s="2"/>
      <c r="S956" s="2"/>
      <c r="T956" s="2"/>
    </row>
    <row r="957" spans="2:20" ht="15.75" customHeight="1" x14ac:dyDescent="0.25">
      <c r="B957" s="1"/>
      <c r="F957" s="1"/>
      <c r="H957" s="1"/>
      <c r="I957" s="1"/>
      <c r="J957" s="1"/>
      <c r="M957" s="2"/>
      <c r="N957" s="2"/>
      <c r="O957" s="2"/>
      <c r="R957" s="2"/>
      <c r="S957" s="2"/>
      <c r="T957" s="2"/>
    </row>
    <row r="958" spans="2:20" ht="15.75" customHeight="1" x14ac:dyDescent="0.25">
      <c r="B958" s="1"/>
      <c r="F958" s="1"/>
      <c r="H958" s="1"/>
      <c r="I958" s="1"/>
      <c r="J958" s="1"/>
      <c r="M958" s="2"/>
      <c r="N958" s="2"/>
      <c r="O958" s="2"/>
      <c r="R958" s="2"/>
      <c r="S958" s="2"/>
      <c r="T958" s="2"/>
    </row>
    <row r="959" spans="2:20" ht="15.75" customHeight="1" x14ac:dyDescent="0.25">
      <c r="B959" s="1"/>
      <c r="F959" s="1"/>
      <c r="H959" s="1"/>
      <c r="I959" s="1"/>
      <c r="J959" s="1"/>
      <c r="M959" s="2"/>
      <c r="N959" s="2"/>
      <c r="O959" s="2"/>
      <c r="R959" s="2"/>
      <c r="S959" s="2"/>
      <c r="T959" s="2"/>
    </row>
    <row r="960" spans="2:20" ht="15.75" customHeight="1" x14ac:dyDescent="0.25">
      <c r="B960" s="1"/>
      <c r="F960" s="1"/>
      <c r="H960" s="1"/>
      <c r="I960" s="1"/>
      <c r="J960" s="1"/>
      <c r="M960" s="2"/>
      <c r="N960" s="2"/>
      <c r="O960" s="2"/>
      <c r="R960" s="2"/>
      <c r="S960" s="2"/>
      <c r="T960" s="2"/>
    </row>
    <row r="961" spans="2:20" ht="15.75" customHeight="1" x14ac:dyDescent="0.25">
      <c r="B961" s="1"/>
      <c r="F961" s="1"/>
      <c r="H961" s="1"/>
      <c r="I961" s="1"/>
      <c r="J961" s="1"/>
      <c r="M961" s="2"/>
      <c r="N961" s="2"/>
      <c r="O961" s="2"/>
      <c r="R961" s="2"/>
      <c r="S961" s="2"/>
      <c r="T961" s="2"/>
    </row>
    <row r="962" spans="2:20" ht="15.75" customHeight="1" x14ac:dyDescent="0.25">
      <c r="B962" s="1"/>
      <c r="F962" s="1"/>
      <c r="H962" s="1"/>
      <c r="I962" s="1"/>
      <c r="J962" s="1"/>
      <c r="M962" s="2"/>
      <c r="N962" s="2"/>
      <c r="O962" s="2"/>
      <c r="R962" s="2"/>
      <c r="S962" s="2"/>
      <c r="T962" s="2"/>
    </row>
    <row r="963" spans="2:20" ht="15.75" customHeight="1" x14ac:dyDescent="0.25">
      <c r="B963" s="1"/>
      <c r="F963" s="1"/>
      <c r="H963" s="1"/>
      <c r="I963" s="1"/>
      <c r="J963" s="1"/>
      <c r="M963" s="2"/>
      <c r="N963" s="2"/>
      <c r="O963" s="2"/>
      <c r="R963" s="2"/>
      <c r="S963" s="2"/>
      <c r="T963" s="2"/>
    </row>
    <row r="964" spans="2:20" ht="15.75" customHeight="1" x14ac:dyDescent="0.25">
      <c r="B964" s="1"/>
      <c r="F964" s="1"/>
      <c r="H964" s="1"/>
      <c r="I964" s="1"/>
      <c r="J964" s="1"/>
      <c r="M964" s="2"/>
      <c r="N964" s="2"/>
      <c r="O964" s="2"/>
      <c r="R964" s="2"/>
      <c r="S964" s="2"/>
      <c r="T964" s="2"/>
    </row>
    <row r="965" spans="2:20" ht="15.75" customHeight="1" x14ac:dyDescent="0.25">
      <c r="B965" s="1"/>
      <c r="F965" s="1"/>
      <c r="H965" s="1"/>
      <c r="I965" s="1"/>
      <c r="J965" s="1"/>
      <c r="M965" s="2"/>
      <c r="N965" s="2"/>
      <c r="O965" s="2"/>
      <c r="R965" s="2"/>
      <c r="S965" s="2"/>
      <c r="T965" s="2"/>
    </row>
    <row r="966" spans="2:20" ht="15.75" customHeight="1" x14ac:dyDescent="0.25">
      <c r="B966" s="1"/>
      <c r="F966" s="1"/>
      <c r="H966" s="1"/>
      <c r="I966" s="1"/>
      <c r="J966" s="1"/>
      <c r="M966" s="2"/>
      <c r="N966" s="2"/>
      <c r="O966" s="2"/>
      <c r="R966" s="2"/>
      <c r="S966" s="2"/>
      <c r="T966" s="2"/>
    </row>
    <row r="967" spans="2:20" ht="15.75" customHeight="1" x14ac:dyDescent="0.25">
      <c r="B967" s="1"/>
      <c r="F967" s="1"/>
      <c r="H967" s="1"/>
      <c r="I967" s="1"/>
      <c r="J967" s="1"/>
      <c r="M967" s="2"/>
      <c r="N967" s="2"/>
      <c r="O967" s="2"/>
      <c r="R967" s="2"/>
      <c r="S967" s="2"/>
      <c r="T967" s="2"/>
    </row>
    <row r="968" spans="2:20" ht="15.75" customHeight="1" x14ac:dyDescent="0.25">
      <c r="B968" s="1"/>
      <c r="F968" s="1"/>
      <c r="H968" s="1"/>
      <c r="I968" s="1"/>
      <c r="J968" s="1"/>
      <c r="M968" s="2"/>
      <c r="N968" s="2"/>
      <c r="O968" s="2"/>
      <c r="R968" s="2"/>
      <c r="S968" s="2"/>
      <c r="T968" s="2"/>
    </row>
    <row r="969" spans="2:20" ht="15.75" customHeight="1" x14ac:dyDescent="0.25">
      <c r="B969" s="1"/>
      <c r="F969" s="1"/>
      <c r="H969" s="1"/>
      <c r="I969" s="1"/>
      <c r="J969" s="1"/>
      <c r="M969" s="2"/>
      <c r="N969" s="2"/>
      <c r="O969" s="2"/>
      <c r="R969" s="2"/>
      <c r="S969" s="2"/>
      <c r="T969" s="2"/>
    </row>
    <row r="970" spans="2:20" ht="15.75" customHeight="1" x14ac:dyDescent="0.25">
      <c r="B970" s="1"/>
      <c r="F970" s="1"/>
      <c r="H970" s="1"/>
      <c r="I970" s="1"/>
      <c r="J970" s="1"/>
      <c r="M970" s="2"/>
      <c r="N970" s="2"/>
      <c r="O970" s="2"/>
      <c r="R970" s="2"/>
      <c r="S970" s="2"/>
      <c r="T970" s="2"/>
    </row>
    <row r="971" spans="2:20" ht="15.75" customHeight="1" x14ac:dyDescent="0.25">
      <c r="B971" s="1"/>
      <c r="F971" s="1"/>
      <c r="H971" s="1"/>
      <c r="I971" s="1"/>
      <c r="J971" s="1"/>
      <c r="M971" s="2"/>
      <c r="N971" s="2"/>
      <c r="O971" s="2"/>
      <c r="R971" s="2"/>
      <c r="S971" s="2"/>
      <c r="T971" s="2"/>
    </row>
    <row r="972" spans="2:20" ht="15.75" customHeight="1" x14ac:dyDescent="0.25">
      <c r="B972" s="1"/>
      <c r="F972" s="1"/>
      <c r="H972" s="1"/>
      <c r="I972" s="1"/>
      <c r="J972" s="1"/>
      <c r="M972" s="2"/>
      <c r="N972" s="2"/>
      <c r="O972" s="2"/>
      <c r="R972" s="2"/>
      <c r="S972" s="2"/>
      <c r="T972" s="2"/>
    </row>
    <row r="973" spans="2:20" ht="15.75" customHeight="1" x14ac:dyDescent="0.25">
      <c r="B973" s="1"/>
      <c r="F973" s="1"/>
      <c r="H973" s="1"/>
      <c r="I973" s="1"/>
      <c r="J973" s="1"/>
      <c r="M973" s="2"/>
      <c r="N973" s="2"/>
      <c r="O973" s="2"/>
      <c r="R973" s="2"/>
      <c r="S973" s="2"/>
      <c r="T973" s="2"/>
    </row>
    <row r="974" spans="2:20" ht="15.75" customHeight="1" x14ac:dyDescent="0.25">
      <c r="B974" s="1"/>
      <c r="F974" s="1"/>
      <c r="H974" s="1"/>
      <c r="I974" s="1"/>
      <c r="J974" s="1"/>
      <c r="M974" s="2"/>
      <c r="N974" s="2"/>
      <c r="O974" s="2"/>
      <c r="R974" s="2"/>
      <c r="S974" s="2"/>
      <c r="T974" s="2"/>
    </row>
    <row r="975" spans="2:20" ht="15.75" customHeight="1" x14ac:dyDescent="0.25">
      <c r="B975" s="1"/>
      <c r="F975" s="1"/>
      <c r="H975" s="1"/>
      <c r="I975" s="1"/>
      <c r="J975" s="1"/>
      <c r="M975" s="2"/>
      <c r="N975" s="2"/>
      <c r="O975" s="2"/>
      <c r="R975" s="2"/>
      <c r="S975" s="2"/>
      <c r="T975" s="2"/>
    </row>
    <row r="976" spans="2:20" ht="15.75" customHeight="1" x14ac:dyDescent="0.25">
      <c r="B976" s="1"/>
      <c r="F976" s="1"/>
      <c r="H976" s="1"/>
      <c r="I976" s="1"/>
      <c r="J976" s="1"/>
      <c r="M976" s="2"/>
      <c r="N976" s="2"/>
      <c r="O976" s="2"/>
      <c r="R976" s="2"/>
      <c r="S976" s="2"/>
      <c r="T976" s="2"/>
    </row>
    <row r="977" spans="2:20" ht="15.75" customHeight="1" x14ac:dyDescent="0.25">
      <c r="B977" s="1"/>
      <c r="F977" s="1"/>
      <c r="H977" s="1"/>
      <c r="I977" s="1"/>
      <c r="J977" s="1"/>
      <c r="M977" s="2"/>
      <c r="N977" s="2"/>
      <c r="O977" s="2"/>
      <c r="R977" s="2"/>
      <c r="S977" s="2"/>
      <c r="T977" s="2"/>
    </row>
    <row r="978" spans="2:20" ht="15.75" customHeight="1" x14ac:dyDescent="0.25">
      <c r="B978" s="1"/>
      <c r="F978" s="1"/>
      <c r="H978" s="1"/>
      <c r="I978" s="1"/>
      <c r="J978" s="1"/>
      <c r="M978" s="2"/>
      <c r="N978" s="2"/>
      <c r="O978" s="2"/>
      <c r="R978" s="2"/>
      <c r="S978" s="2"/>
      <c r="T978" s="2"/>
    </row>
    <row r="979" spans="2:20" ht="15.75" customHeight="1" x14ac:dyDescent="0.25">
      <c r="B979" s="1"/>
      <c r="F979" s="1"/>
      <c r="H979" s="1"/>
      <c r="I979" s="1"/>
      <c r="J979" s="1"/>
      <c r="M979" s="2"/>
      <c r="N979" s="2"/>
      <c r="O979" s="2"/>
      <c r="R979" s="2"/>
      <c r="S979" s="2"/>
      <c r="T979" s="2"/>
    </row>
    <row r="980" spans="2:20" ht="15.75" customHeight="1" x14ac:dyDescent="0.25">
      <c r="B980" s="1"/>
      <c r="F980" s="1"/>
      <c r="H980" s="1"/>
      <c r="I980" s="1"/>
      <c r="J980" s="1"/>
      <c r="M980" s="2"/>
      <c r="N980" s="2"/>
      <c r="O980" s="2"/>
      <c r="R980" s="2"/>
      <c r="S980" s="2"/>
      <c r="T980" s="2"/>
    </row>
    <row r="981" spans="2:20" ht="15.75" customHeight="1" x14ac:dyDescent="0.25">
      <c r="B981" s="1"/>
      <c r="F981" s="1"/>
      <c r="H981" s="1"/>
      <c r="I981" s="1"/>
      <c r="J981" s="1"/>
      <c r="M981" s="2"/>
      <c r="N981" s="2"/>
      <c r="O981" s="2"/>
      <c r="R981" s="2"/>
      <c r="S981" s="2"/>
      <c r="T981" s="2"/>
    </row>
    <row r="982" spans="2:20" ht="15.75" customHeight="1" x14ac:dyDescent="0.25">
      <c r="B982" s="1"/>
      <c r="F982" s="1"/>
      <c r="H982" s="1"/>
      <c r="I982" s="1"/>
      <c r="J982" s="1"/>
      <c r="M982" s="2"/>
      <c r="N982" s="2"/>
      <c r="O982" s="2"/>
      <c r="R982" s="2"/>
      <c r="S982" s="2"/>
      <c r="T982" s="2"/>
    </row>
    <row r="983" spans="2:20" ht="15.75" customHeight="1" x14ac:dyDescent="0.25">
      <c r="B983" s="1"/>
      <c r="F983" s="1"/>
      <c r="H983" s="1"/>
      <c r="I983" s="1"/>
      <c r="J983" s="1"/>
      <c r="M983" s="2"/>
      <c r="N983" s="2"/>
      <c r="O983" s="2"/>
      <c r="R983" s="2"/>
      <c r="S983" s="2"/>
      <c r="T983" s="2"/>
    </row>
    <row r="984" spans="2:20" ht="15.75" customHeight="1" x14ac:dyDescent="0.25">
      <c r="B984" s="1"/>
      <c r="F984" s="1"/>
      <c r="H984" s="1"/>
      <c r="I984" s="1"/>
      <c r="J984" s="1"/>
      <c r="M984" s="2"/>
      <c r="N984" s="2"/>
      <c r="O984" s="2"/>
      <c r="R984" s="2"/>
      <c r="S984" s="2"/>
      <c r="T984" s="2"/>
    </row>
    <row r="985" spans="2:20" ht="15.75" customHeight="1" x14ac:dyDescent="0.25">
      <c r="B985" s="1"/>
      <c r="F985" s="1"/>
      <c r="H985" s="1"/>
      <c r="I985" s="1"/>
      <c r="J985" s="1"/>
      <c r="M985" s="2"/>
      <c r="N985" s="2"/>
      <c r="O985" s="2"/>
      <c r="R985" s="2"/>
      <c r="S985" s="2"/>
      <c r="T985" s="2"/>
    </row>
    <row r="986" spans="2:20" ht="15.75" customHeight="1" x14ac:dyDescent="0.25">
      <c r="B986" s="1"/>
      <c r="F986" s="1"/>
      <c r="H986" s="1"/>
      <c r="I986" s="1"/>
      <c r="J986" s="1"/>
      <c r="M986" s="2"/>
      <c r="N986" s="2"/>
      <c r="O986" s="2"/>
      <c r="R986" s="2"/>
      <c r="S986" s="2"/>
      <c r="T986" s="2"/>
    </row>
    <row r="987" spans="2:20" ht="15.75" customHeight="1" x14ac:dyDescent="0.25">
      <c r="B987" s="1"/>
      <c r="F987" s="1"/>
      <c r="H987" s="1"/>
      <c r="I987" s="1"/>
      <c r="J987" s="1"/>
      <c r="M987" s="2"/>
      <c r="N987" s="2"/>
      <c r="O987" s="2"/>
      <c r="R987" s="2"/>
      <c r="S987" s="2"/>
      <c r="T987" s="2"/>
    </row>
    <row r="988" spans="2:20" ht="15.75" customHeight="1" x14ac:dyDescent="0.25">
      <c r="B988" s="1"/>
      <c r="F988" s="1"/>
      <c r="H988" s="1"/>
      <c r="I988" s="1"/>
      <c r="J988" s="1"/>
      <c r="M988" s="2"/>
      <c r="N988" s="2"/>
      <c r="O988" s="2"/>
      <c r="R988" s="2"/>
      <c r="S988" s="2"/>
      <c r="T988" s="2"/>
    </row>
    <row r="989" spans="2:20" ht="15.75" customHeight="1" x14ac:dyDescent="0.25">
      <c r="B989" s="1"/>
      <c r="F989" s="1"/>
      <c r="H989" s="1"/>
      <c r="I989" s="1"/>
      <c r="J989" s="1"/>
      <c r="M989" s="2"/>
      <c r="N989" s="2"/>
      <c r="O989" s="2"/>
      <c r="R989" s="2"/>
      <c r="S989" s="2"/>
      <c r="T989" s="2"/>
    </row>
    <row r="990" spans="2:20" ht="15.75" customHeight="1" x14ac:dyDescent="0.25">
      <c r="B990" s="1"/>
      <c r="F990" s="1"/>
      <c r="H990" s="1"/>
      <c r="I990" s="1"/>
      <c r="J990" s="1"/>
      <c r="M990" s="2"/>
      <c r="N990" s="2"/>
      <c r="O990" s="2"/>
      <c r="R990" s="2"/>
      <c r="S990" s="2"/>
      <c r="T990" s="2"/>
    </row>
    <row r="991" spans="2:20" ht="15.75" customHeight="1" x14ac:dyDescent="0.25">
      <c r="B991" s="1"/>
      <c r="F991" s="1"/>
      <c r="H991" s="1"/>
      <c r="I991" s="1"/>
      <c r="J991" s="1"/>
      <c r="M991" s="2"/>
      <c r="N991" s="2"/>
      <c r="O991" s="2"/>
      <c r="R991" s="2"/>
      <c r="S991" s="2"/>
      <c r="T991" s="2"/>
    </row>
    <row r="992" spans="2:20" ht="15.75" customHeight="1" x14ac:dyDescent="0.25">
      <c r="B992" s="1"/>
      <c r="F992" s="1"/>
      <c r="H992" s="1"/>
      <c r="I992" s="1"/>
      <c r="J992" s="1"/>
      <c r="M992" s="2"/>
      <c r="N992" s="2"/>
      <c r="O992" s="2"/>
      <c r="R992" s="2"/>
      <c r="S992" s="2"/>
      <c r="T992" s="2"/>
    </row>
    <row r="993" spans="2:20" ht="15.75" customHeight="1" x14ac:dyDescent="0.25">
      <c r="B993" s="1"/>
      <c r="F993" s="1"/>
      <c r="H993" s="1"/>
      <c r="I993" s="1"/>
      <c r="J993" s="1"/>
      <c r="M993" s="2"/>
      <c r="N993" s="2"/>
      <c r="O993" s="2"/>
      <c r="R993" s="2"/>
      <c r="S993" s="2"/>
      <c r="T993" s="2"/>
    </row>
    <row r="994" spans="2:20" ht="15.75" customHeight="1" x14ac:dyDescent="0.25">
      <c r="B994" s="1"/>
      <c r="F994" s="1"/>
      <c r="H994" s="1"/>
      <c r="I994" s="1"/>
      <c r="J994" s="1"/>
      <c r="M994" s="2"/>
      <c r="N994" s="2"/>
      <c r="O994" s="2"/>
      <c r="R994" s="2"/>
      <c r="S994" s="2"/>
      <c r="T994" s="2"/>
    </row>
    <row r="995" spans="2:20" ht="15.75" customHeight="1" x14ac:dyDescent="0.25">
      <c r="B995" s="1"/>
      <c r="F995" s="1"/>
      <c r="H995" s="1"/>
      <c r="I995" s="1"/>
      <c r="J995" s="1"/>
      <c r="M995" s="2"/>
      <c r="N995" s="2"/>
      <c r="O995" s="2"/>
      <c r="R995" s="2"/>
      <c r="S995" s="2"/>
      <c r="T995" s="2"/>
    </row>
    <row r="996" spans="2:20" ht="15.75" customHeight="1" x14ac:dyDescent="0.25">
      <c r="B996" s="1"/>
      <c r="F996" s="1"/>
      <c r="H996" s="1"/>
      <c r="I996" s="1"/>
      <c r="J996" s="1"/>
      <c r="M996" s="2"/>
      <c r="N996" s="2"/>
      <c r="O996" s="2"/>
      <c r="R996" s="2"/>
      <c r="S996" s="2"/>
      <c r="T996" s="2"/>
    </row>
    <row r="997" spans="2:20" ht="15.75" customHeight="1" x14ac:dyDescent="0.25">
      <c r="B997" s="1"/>
      <c r="F997" s="1"/>
      <c r="H997" s="1"/>
      <c r="I997" s="1"/>
      <c r="J997" s="1"/>
      <c r="M997" s="2"/>
      <c r="N997" s="2"/>
      <c r="O997" s="2"/>
      <c r="R997" s="2"/>
      <c r="S997" s="2"/>
      <c r="T997" s="2"/>
    </row>
    <row r="998" spans="2:20" ht="15.75" customHeight="1" x14ac:dyDescent="0.25">
      <c r="B998" s="1"/>
      <c r="F998" s="1"/>
      <c r="H998" s="1"/>
      <c r="I998" s="1"/>
      <c r="J998" s="1"/>
      <c r="M998" s="2"/>
      <c r="N998" s="2"/>
      <c r="O998" s="2"/>
      <c r="R998" s="2"/>
      <c r="S998" s="2"/>
      <c r="T998" s="2"/>
    </row>
    <row r="999" spans="2:20" ht="15.75" customHeight="1" x14ac:dyDescent="0.25">
      <c r="B999" s="1"/>
      <c r="F999" s="1"/>
      <c r="H999" s="1"/>
      <c r="I999" s="1"/>
      <c r="J999" s="1"/>
      <c r="M999" s="2"/>
      <c r="N999" s="2"/>
      <c r="O999" s="2"/>
      <c r="R999" s="2"/>
      <c r="S999" s="2"/>
      <c r="T999" s="2"/>
    </row>
    <row r="1000" spans="2:20" ht="15.75" customHeight="1" x14ac:dyDescent="0.25">
      <c r="B1000" s="1"/>
      <c r="F1000" s="1"/>
      <c r="H1000" s="1"/>
      <c r="I1000" s="1"/>
      <c r="J1000" s="1"/>
      <c r="M1000" s="2"/>
      <c r="N1000" s="2"/>
      <c r="O1000" s="2"/>
      <c r="R1000" s="2"/>
      <c r="S1000" s="2"/>
      <c r="T1000" s="2"/>
    </row>
  </sheetData>
  <mergeCells count="4">
    <mergeCell ref="P4:T4"/>
    <mergeCell ref="D4:E4"/>
    <mergeCell ref="F4:J4"/>
    <mergeCell ref="K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Anibal Aranda Alvarado</dc:creator>
  <cp:lastModifiedBy>Anibal Aranda Alvarado</cp:lastModifiedBy>
  <dcterms:created xsi:type="dcterms:W3CDTF">2026-03-23T20:47:27Z</dcterms:created>
  <dcterms:modified xsi:type="dcterms:W3CDTF">2026-03-23T21:53:41Z</dcterms:modified>
</cp:coreProperties>
</file>