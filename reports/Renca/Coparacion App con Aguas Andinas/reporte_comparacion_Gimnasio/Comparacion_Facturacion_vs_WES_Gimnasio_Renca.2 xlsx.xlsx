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54b67b42a7224b/Desktop/wes-scripts/reports/Renca/Coparacion App con Aguas Andinas/reporte_comparacion_Gimnasio/"/>
    </mc:Choice>
  </mc:AlternateContent>
  <xr:revisionPtr revIDLastSave="0" documentId="8_{5CD076C4-6A9A-4A7B-951B-A8B644DBDFCD}" xr6:coauthVersionLast="47" xr6:coauthVersionMax="47" xr10:uidLastSave="{00000000-0000-0000-0000-000000000000}"/>
  <bookViews>
    <workbookView xWindow="20370" yWindow="-120" windowWidth="21840" windowHeight="13020" xr2:uid="{23F7CED2-E883-42F0-8BE7-CCEF04EDF3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4" i="1"/>
  <c r="E3" i="1"/>
  <c r="I2" i="1"/>
</calcChain>
</file>

<file path=xl/sharedStrings.xml><?xml version="1.0" encoding="utf-8"?>
<sst xmlns="http://schemas.openxmlformats.org/spreadsheetml/2006/main" count="62" uniqueCount="53">
  <si>
    <t>Periodo</t>
  </si>
  <si>
    <t>Emision</t>
  </si>
  <si>
    <t>N° factura</t>
  </si>
  <si>
    <t>Lectura inicial</t>
  </si>
  <si>
    <t>N° lectura inicial</t>
  </si>
  <si>
    <t>Lectura final</t>
  </si>
  <si>
    <t>N° lectura final</t>
  </si>
  <si>
    <t>Diferencia lectura (días)</t>
  </si>
  <si>
    <t>m3 facturado</t>
  </si>
  <si>
    <t>m3 app entre lecturas</t>
  </si>
  <si>
    <t>Días WES</t>
  </si>
  <si>
    <t>Dif (fact - WES)</t>
  </si>
  <si>
    <t>27-jun-2025 → 28-jul-2025</t>
  </si>
  <si>
    <t>11-07-2025</t>
  </si>
  <si>
    <t>HIST-20250728</t>
  </si>
  <si>
    <t>27-06-2025</t>
  </si>
  <si>
    <t>28-07-2025</t>
  </si>
  <si>
    <t>28-jul-2025 → 27-ago-2025</t>
  </si>
  <si>
    <t>12-08-2025</t>
  </si>
  <si>
    <t>HIST-20250827</t>
  </si>
  <si>
    <t>27-08-2025</t>
  </si>
  <si>
    <t>27-ago-2025 → 26-sep-2025</t>
  </si>
  <si>
    <t>13-09-2025</t>
  </si>
  <si>
    <t>HIST-20250926</t>
  </si>
  <si>
    <t>26-09-2025</t>
  </si>
  <si>
    <t>26-sep-2025 → 27-oct-2025</t>
  </si>
  <si>
    <t>15-10-2025</t>
  </si>
  <si>
    <t>HIST-20251027</t>
  </si>
  <si>
    <t>27-10-2025</t>
  </si>
  <si>
    <t>27-oct-2025 → 25-nov-2025</t>
  </si>
  <si>
    <t>14-11-2025</t>
  </si>
  <si>
    <t>HIST-20251125</t>
  </si>
  <si>
    <t>25-11-2025</t>
  </si>
  <si>
    <t>25-nov-2025 → 27-dic-2025</t>
  </si>
  <si>
    <t>16-12-2025</t>
  </si>
  <si>
    <t>HIST-20251227</t>
  </si>
  <si>
    <t>27-12-2025</t>
  </si>
  <si>
    <t>27-dic-2025 → 27-ene-2026</t>
  </si>
  <si>
    <t>15-01-2026</t>
  </si>
  <si>
    <t>HIST-20260127</t>
  </si>
  <si>
    <t>27-01-2026</t>
  </si>
  <si>
    <t>27-ene-2026 → 25-feb-2026</t>
  </si>
  <si>
    <t>14-02-2026</t>
  </si>
  <si>
    <t>HIST-20260225</t>
  </si>
  <si>
    <t>25-02-2026</t>
  </si>
  <si>
    <t>25-feb-2026 → 27-mar-2026</t>
  </si>
  <si>
    <t>17-03-2026</t>
  </si>
  <si>
    <t>HIST-20260327</t>
  </si>
  <si>
    <t>27-03-2026</t>
  </si>
  <si>
    <t>27-mar-2026 → 27-abr-2026</t>
  </si>
  <si>
    <t>16-04-2026</t>
  </si>
  <si>
    <t>HIST-20260427</t>
  </si>
  <si>
    <t>27-04-2026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</si>
</sst>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7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" fontId="0" fillId="0" borderId="0" xfId="0" applyNumberFormat="1" applyAlignment="1">
      <alignment vertical="top" wrapText="1"/>
    </xf>
    <xf numFmtId="3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FEE1F-8225-4409-8079-1FB58C54CA5A}">
  <dimension ref="A1:L11"/>
  <sheetViews>
    <sheetView tabSelected="1" zoomScale="108" workbookViewId="0">
      <selection activeCell="I3" sqref="I3"/>
    </sheetView>
  </sheetViews>
  <sheetFormatPr baseColWidth="10" defaultRowHeight="15" x14ac:dyDescent="0.25"/>
  <cols>
    <col min="1" max="1" width="58.7109375" customWidth="1"/>
    <col min="3" max="3" width="11.5703125" bestFit="1" customWidth="1"/>
    <col min="4" max="4" width="10.42578125" bestFit="1" customWidth="1"/>
    <col min="5" max="5" width="11.28515625" bestFit="1" customWidth="1"/>
    <col min="6" max="6" width="10.42578125" bestFit="1" customWidth="1"/>
  </cols>
  <sheetData>
    <row r="1" spans="1:12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 x14ac:dyDescent="0.25">
      <c r="A2" s="2" t="s">
        <v>12</v>
      </c>
      <c r="B2" s="2" t="s">
        <v>13</v>
      </c>
      <c r="C2" s="2" t="s">
        <v>14</v>
      </c>
      <c r="D2" s="2" t="s">
        <v>15</v>
      </c>
      <c r="E2" s="3">
        <v>30110</v>
      </c>
      <c r="F2" s="2" t="s">
        <v>16</v>
      </c>
      <c r="G2" s="3">
        <v>30328</v>
      </c>
      <c r="H2" s="4">
        <v>31</v>
      </c>
      <c r="I2" s="5">
        <f>G2-E2</f>
        <v>218</v>
      </c>
      <c r="J2" s="3">
        <v>613.92999999999995</v>
      </c>
      <c r="K2" s="2">
        <v>32</v>
      </c>
      <c r="L2" s="3">
        <v>-331.92999999999989</v>
      </c>
    </row>
    <row r="3" spans="1:12" ht="30" x14ac:dyDescent="0.25">
      <c r="A3" s="2" t="s">
        <v>17</v>
      </c>
      <c r="B3" s="2" t="s">
        <v>18</v>
      </c>
      <c r="C3" s="2" t="s">
        <v>19</v>
      </c>
      <c r="D3" s="2" t="s">
        <v>16</v>
      </c>
      <c r="E3" s="3">
        <f>G2</f>
        <v>30328</v>
      </c>
      <c r="F3" s="2" t="s">
        <v>20</v>
      </c>
      <c r="G3" s="3">
        <v>30682</v>
      </c>
      <c r="H3" s="4">
        <v>30</v>
      </c>
      <c r="I3" s="5">
        <v>354</v>
      </c>
      <c r="J3" s="3">
        <v>387.44</v>
      </c>
      <c r="K3" s="2">
        <v>31</v>
      </c>
      <c r="L3" s="3">
        <v>-33.44</v>
      </c>
    </row>
    <row r="4" spans="1:12" ht="30" x14ac:dyDescent="0.25">
      <c r="A4" s="2" t="s">
        <v>21</v>
      </c>
      <c r="B4" s="2" t="s">
        <v>22</v>
      </c>
      <c r="C4" s="2" t="s">
        <v>23</v>
      </c>
      <c r="D4" s="2" t="s">
        <v>20</v>
      </c>
      <c r="E4" s="3">
        <f>G3</f>
        <v>30682</v>
      </c>
      <c r="F4" s="2" t="s">
        <v>24</v>
      </c>
      <c r="G4" s="3">
        <v>31049</v>
      </c>
      <c r="H4" s="4">
        <v>30</v>
      </c>
      <c r="I4" s="5">
        <v>367</v>
      </c>
      <c r="J4" s="3">
        <v>388.2</v>
      </c>
      <c r="K4" s="2">
        <v>31</v>
      </c>
      <c r="L4" s="3">
        <v>-21.199999999999989</v>
      </c>
    </row>
    <row r="5" spans="1:12" ht="30" x14ac:dyDescent="0.25">
      <c r="A5" s="2" t="s">
        <v>25</v>
      </c>
      <c r="B5" s="2" t="s">
        <v>26</v>
      </c>
      <c r="C5" s="2" t="s">
        <v>27</v>
      </c>
      <c r="D5" s="2" t="s">
        <v>24</v>
      </c>
      <c r="E5" s="3">
        <f t="shared" ref="E5:E11" si="0">G4</f>
        <v>31049</v>
      </c>
      <c r="F5" s="2" t="s">
        <v>28</v>
      </c>
      <c r="G5" s="3">
        <v>31479</v>
      </c>
      <c r="H5" s="4">
        <v>31</v>
      </c>
      <c r="I5" s="5">
        <v>367</v>
      </c>
      <c r="J5" s="3">
        <v>4403.45</v>
      </c>
      <c r="K5" s="2">
        <v>32</v>
      </c>
      <c r="L5" s="3">
        <v>-4036.45</v>
      </c>
    </row>
    <row r="6" spans="1:12" ht="30" x14ac:dyDescent="0.25">
      <c r="A6" s="2" t="s">
        <v>29</v>
      </c>
      <c r="B6" s="2" t="s">
        <v>30</v>
      </c>
      <c r="C6" s="2" t="s">
        <v>31</v>
      </c>
      <c r="D6" s="2" t="s">
        <v>28</v>
      </c>
      <c r="E6" s="3">
        <f t="shared" si="0"/>
        <v>31479</v>
      </c>
      <c r="F6" s="2" t="s">
        <v>32</v>
      </c>
      <c r="G6" s="3">
        <v>32058</v>
      </c>
      <c r="H6" s="4">
        <v>29</v>
      </c>
      <c r="I6" s="5">
        <v>430</v>
      </c>
      <c r="J6" s="3">
        <v>1750.19</v>
      </c>
      <c r="K6" s="2">
        <v>30</v>
      </c>
      <c r="L6" s="3">
        <v>-1320.19</v>
      </c>
    </row>
    <row r="7" spans="1:12" ht="30" x14ac:dyDescent="0.25">
      <c r="A7" s="2" t="s">
        <v>33</v>
      </c>
      <c r="B7" s="2" t="s">
        <v>34</v>
      </c>
      <c r="C7" s="2" t="s">
        <v>35</v>
      </c>
      <c r="D7" s="2" t="s">
        <v>32</v>
      </c>
      <c r="E7" s="3">
        <f t="shared" si="0"/>
        <v>32058</v>
      </c>
      <c r="F7" s="2" t="s">
        <v>36</v>
      </c>
      <c r="G7" s="3">
        <v>32631</v>
      </c>
      <c r="H7" s="4">
        <v>32</v>
      </c>
      <c r="I7" s="5">
        <v>579</v>
      </c>
      <c r="J7" s="3">
        <v>1089.3579999999999</v>
      </c>
      <c r="K7" s="2">
        <v>33</v>
      </c>
      <c r="L7" s="3">
        <v>-510.35799999999989</v>
      </c>
    </row>
    <row r="8" spans="1:12" ht="30" x14ac:dyDescent="0.25">
      <c r="A8" s="2" t="s">
        <v>37</v>
      </c>
      <c r="B8" s="2" t="s">
        <v>38</v>
      </c>
      <c r="C8" s="2" t="s">
        <v>39</v>
      </c>
      <c r="D8" s="2" t="s">
        <v>36</v>
      </c>
      <c r="E8" s="3">
        <f t="shared" si="0"/>
        <v>32631</v>
      </c>
      <c r="F8" s="2" t="s">
        <v>40</v>
      </c>
      <c r="G8" s="3">
        <v>33327</v>
      </c>
      <c r="H8" s="4">
        <v>31</v>
      </c>
      <c r="I8" s="5">
        <v>573</v>
      </c>
      <c r="J8" s="3">
        <v>643.23</v>
      </c>
      <c r="K8" s="2">
        <v>32</v>
      </c>
      <c r="L8" s="3">
        <v>-70.230000000000018</v>
      </c>
    </row>
    <row r="9" spans="1:12" ht="30" x14ac:dyDescent="0.25">
      <c r="A9" s="2" t="s">
        <v>41</v>
      </c>
      <c r="B9" s="2" t="s">
        <v>42</v>
      </c>
      <c r="C9" s="2" t="s">
        <v>43</v>
      </c>
      <c r="D9" s="2" t="s">
        <v>40</v>
      </c>
      <c r="E9" s="3">
        <f t="shared" si="0"/>
        <v>33327</v>
      </c>
      <c r="F9" s="2" t="s">
        <v>44</v>
      </c>
      <c r="G9" s="3">
        <v>34031</v>
      </c>
      <c r="H9" s="4">
        <v>29</v>
      </c>
      <c r="I9" s="5">
        <v>969</v>
      </c>
      <c r="J9" s="3">
        <v>1792</v>
      </c>
      <c r="K9" s="2">
        <v>30</v>
      </c>
      <c r="L9" s="3">
        <v>-823</v>
      </c>
    </row>
    <row r="10" spans="1:12" ht="30" x14ac:dyDescent="0.25">
      <c r="A10" s="2" t="s">
        <v>45</v>
      </c>
      <c r="B10" s="2" t="s">
        <v>46</v>
      </c>
      <c r="C10" s="2" t="s">
        <v>47</v>
      </c>
      <c r="D10" s="2" t="s">
        <v>44</v>
      </c>
      <c r="E10" s="3">
        <f t="shared" si="0"/>
        <v>34031</v>
      </c>
      <c r="F10" s="2" t="s">
        <v>48</v>
      </c>
      <c r="G10" s="3">
        <v>34737</v>
      </c>
      <c r="H10" s="4">
        <v>30</v>
      </c>
      <c r="I10" s="5">
        <v>704</v>
      </c>
      <c r="J10" s="3">
        <v>1320.88</v>
      </c>
      <c r="K10" s="2">
        <v>31</v>
      </c>
      <c r="L10" s="3">
        <v>-616.87999999999988</v>
      </c>
    </row>
    <row r="11" spans="1:12" ht="30" x14ac:dyDescent="0.25">
      <c r="A11" s="2" t="s">
        <v>49</v>
      </c>
      <c r="B11" s="2" t="s">
        <v>50</v>
      </c>
      <c r="C11" s="2" t="s">
        <v>51</v>
      </c>
      <c r="D11" s="2" t="s">
        <v>48</v>
      </c>
      <c r="E11" s="3">
        <f t="shared" si="0"/>
        <v>34737</v>
      </c>
      <c r="F11" s="2" t="s">
        <v>52</v>
      </c>
      <c r="G11" s="3">
        <v>35179</v>
      </c>
      <c r="H11" s="4">
        <v>31</v>
      </c>
      <c r="I11" s="5">
        <v>706</v>
      </c>
      <c r="J11" s="3">
        <v>5078.33</v>
      </c>
      <c r="K11" s="2">
        <v>32</v>
      </c>
      <c r="L11" s="3">
        <v>-4372.33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Anibal Aranda Alvarado</dc:creator>
  <cp:lastModifiedBy>Anibal Aranda Alvarado</cp:lastModifiedBy>
  <dcterms:created xsi:type="dcterms:W3CDTF">2026-05-13T21:30:46Z</dcterms:created>
  <dcterms:modified xsi:type="dcterms:W3CDTF">2026-05-13T21:41:18Z</dcterms:modified>
</cp:coreProperties>
</file>