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izacion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Fuentes" sheetId="3" state="visible" r:id="rId3"/>
  </sheets>
  <definedNames>
    <definedName name="_xlnm._FilterDatabase" localSheetId="0" hidden="1">'Valorizacion'!$A$5:$N$41</definedName>
    <definedName name="_xlnm.Print_Titles" localSheetId="0">'Valorizacion'!$1:$5</definedName>
    <definedName name="_xlnm._FilterDatabase" localSheetId="2" hidden="1">'Fuentes'!$A$3:$E$39</definedName>
    <definedName name="_xlnm.Print_Titles" localSheetId="2">'Fuentes'!$1:$3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9" fontId="5" fillId="3" borderId="1" applyAlignment="1" pivotButton="0" quotePrefix="0" xfId="0">
      <alignment vertical="center"/>
    </xf>
    <xf numFmtId="3" fontId="5" fillId="3" borderId="1" applyAlignment="1" pivotButton="0" quotePrefix="0" xfId="0">
      <alignment vertical="center"/>
    </xf>
    <xf numFmtId="3" fontId="5" fillId="4" borderId="1" applyAlignment="1" pivotButton="0" quotePrefix="0" xfId="0">
      <alignment vertical="center"/>
    </xf>
    <xf numFmtId="9" fontId="5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7" fillId="2" borderId="1" pivotButton="0" quotePrefix="0" xfId="0"/>
    <xf numFmtId="3" fontId="7" fillId="2" borderId="1" pivotButton="0" quotePrefix="0" xfId="0"/>
    <xf numFmtId="9" fontId="7" fillId="2" borderId="1" pivotButton="0" quotePrefix="0" xfId="0"/>
    <xf numFmtId="0" fontId="8" fillId="0" borderId="1" pivotButton="0" quotePrefix="0" xfId="0"/>
    <xf numFmtId="3" fontId="8" fillId="0" borderId="1" pivotButton="0" quotePrefix="0" xfId="0"/>
    <xf numFmtId="9" fontId="8" fillId="0" borderId="1" pivotButton="0" quotePrefix="0" xfId="0"/>
    <xf numFmtId="0" fontId="9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de mercado y depreciación por categoría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'Resumen'!D4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'Resumen'!$A$5:$A$8</f>
            </numRef>
          </cat>
          <val>
            <numRef>
              <f>'Resumen'!$D$5:$D$8</f>
            </numRef>
          </val>
        </ser>
        <ser>
          <idx val="1"/>
          <order val="1"/>
          <tx>
            <strRef>
              <f>'Resumen'!E4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'Resumen'!$A$5:$A$8</f>
            </numRef>
          </cat>
          <val>
            <numRef>
              <f>'Resumen'!$E$5:$E$8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Pesos chilenos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20" customWidth="1" min="8" max="8"/>
    <col width="18" customWidth="1" min="9" max="9"/>
    <col width="16" customWidth="1" min="10" max="10"/>
    <col width="14" customWidth="1" min="11" max="11"/>
    <col width="42" customWidth="1" min="12" max="12"/>
    <col width="62" customWidth="1" min="13" max="13"/>
    <col width="12" customWidth="1" min="14" max="14"/>
  </cols>
  <sheetData>
    <row r="1">
      <c r="A1" s="1" t="inlineStr">
        <is>
          <t>Valorización de mercado y depreciación de herramientas</t>
        </is>
      </c>
    </row>
    <row r="2">
      <c r="A2" s="2" t="inlineStr">
        <is>
          <t>Cotización de retail en Chile, IVA incluido · 20 de octubre de 2026 · El valor de mercado usa el estado informado de cada herramienta</t>
        </is>
      </c>
    </row>
    <row r="3">
      <c r="A3" s="3" t="inlineStr">
        <is>
          <t>Celdas amarillas: datos editables (estado y valor de reposición). Celdas verdes: se recalculan solas.</t>
        </is>
      </c>
    </row>
    <row r="5" ht="32" customHeight="1">
      <c r="A5" s="4" t="inlineStr">
        <is>
          <t>N°</t>
        </is>
      </c>
      <c r="B5" s="4" t="inlineStr">
        <is>
          <t>Herramienta</t>
        </is>
      </c>
      <c r="C5" s="4" t="inlineStr">
        <is>
          <t>Categoría</t>
        </is>
      </c>
      <c r="D5" s="4" t="inlineStr">
        <is>
          <t>Stock</t>
        </is>
      </c>
      <c r="E5" s="4" t="inlineStr">
        <is>
          <t>Año de compra</t>
        </is>
      </c>
      <c r="F5" s="4" t="inlineStr">
        <is>
          <t>Años de uso</t>
        </is>
      </c>
      <c r="G5" s="4" t="inlineStr">
        <is>
          <t>Estado</t>
        </is>
      </c>
      <c r="H5" s="4" t="inlineStr">
        <is>
          <t>Valor de reposición</t>
        </is>
      </c>
      <c r="I5" s="4" t="inlineStr">
        <is>
          <t>Valor de mercado</t>
        </is>
      </c>
      <c r="J5" s="4" t="inlineStr">
        <is>
          <t>Depreciación $</t>
        </is>
      </c>
      <c r="K5" s="4" t="inlineStr">
        <is>
          <t>Depreciación %</t>
        </is>
      </c>
      <c r="L5" s="4" t="inlineStr">
        <is>
          <t>Referencia cotizada</t>
        </is>
      </c>
      <c r="M5" s="4" t="inlineStr">
        <is>
          <t>Fuente</t>
        </is>
      </c>
      <c r="N5" s="4" t="inlineStr">
        <is>
          <t>Confianza</t>
        </is>
      </c>
    </row>
    <row r="6">
      <c r="A6" s="5" t="n">
        <v>1</v>
      </c>
      <c r="B6" s="6" t="inlineStr">
        <is>
          <t>Soplete con manguera MAPP</t>
        </is>
      </c>
      <c r="C6" s="6" t="inlineStr">
        <is>
          <t>Gasfitería</t>
        </is>
      </c>
      <c r="D6" s="5" t="n">
        <v>1</v>
      </c>
      <c r="E6" s="5" t="n">
        <v>2022</v>
      </c>
      <c r="F6" s="5">
        <f>2026-E6</f>
        <v/>
      </c>
      <c r="G6" s="7" t="n">
        <v>0.8</v>
      </c>
      <c r="H6" s="8" t="n">
        <v>37090</v>
      </c>
      <c r="I6" s="9">
        <f>ROUND(H6*G6,0)</f>
        <v/>
      </c>
      <c r="J6" s="9">
        <f>H6-I6</f>
        <v/>
      </c>
      <c r="K6" s="10">
        <f>IF(H6=0,0,J6/H6)</f>
        <v/>
      </c>
      <c r="L6" s="11" t="inlineStr">
        <is>
          <t>Kit soplete MAPP con autoencendido y manguera</t>
        </is>
      </c>
      <c r="M6" s="11" t="inlineStr">
        <is>
          <t>Sodimac, kit vigente $37.090 (precio tachado $92.725, no se usa)</t>
        </is>
      </c>
      <c r="N6" s="5" t="inlineStr">
        <is>
          <t>Media</t>
        </is>
      </c>
    </row>
    <row r="7">
      <c r="A7" s="12" t="n">
        <v>2</v>
      </c>
      <c r="B7" s="13" t="inlineStr">
        <is>
          <t>Sierra sable Bosch</t>
        </is>
      </c>
      <c r="C7" s="13" t="inlineStr">
        <is>
          <t>Construcción</t>
        </is>
      </c>
      <c r="D7" s="12" t="n">
        <v>1</v>
      </c>
      <c r="E7" s="12" t="n">
        <v>2021</v>
      </c>
      <c r="F7" s="12">
        <f>2026-E7</f>
        <v/>
      </c>
      <c r="G7" s="7" t="n">
        <v>0.8</v>
      </c>
      <c r="H7" s="8" t="n">
        <v>164212</v>
      </c>
      <c r="I7" s="9">
        <f>ROUND(H7*G7,0)</f>
        <v/>
      </c>
      <c r="J7" s="9">
        <f>H7-I7</f>
        <v/>
      </c>
      <c r="K7" s="10">
        <f>IF(H7=0,0,J7/H7)</f>
        <v/>
      </c>
      <c r="L7" s="14" t="inlineStr">
        <is>
          <t>Bosch GSA 1100 E, 1100 W, con cable</t>
        </is>
      </c>
      <c r="M7" s="14" t="inlineStr">
        <is>
          <t>Flexar $164.212 IVA incl. Kit inalámbrico en Sodimac $279.990</t>
        </is>
      </c>
      <c r="N7" s="12" t="inlineStr">
        <is>
          <t>Media</t>
        </is>
      </c>
    </row>
    <row r="8">
      <c r="A8" s="5" t="n">
        <v>3</v>
      </c>
      <c r="B8" s="6" t="inlineStr">
        <is>
          <t>Taladro inalámbrico DeWalt</t>
        </is>
      </c>
      <c r="C8" s="6" t="inlineStr">
        <is>
          <t>Eléctrica</t>
        </is>
      </c>
      <c r="D8" s="5" t="n">
        <v>1</v>
      </c>
      <c r="E8" s="5" t="n">
        <v>2021</v>
      </c>
      <c r="F8" s="5">
        <f>2026-E8</f>
        <v/>
      </c>
      <c r="G8" s="7" t="n">
        <v>0.6</v>
      </c>
      <c r="H8" s="8" t="n">
        <v>189990</v>
      </c>
      <c r="I8" s="9">
        <f>ROUND(H8*G8,0)</f>
        <v/>
      </c>
      <c r="J8" s="9">
        <f>H8-I8</f>
        <v/>
      </c>
      <c r="K8" s="10">
        <f>IF(H8=0,0,J8/H8)</f>
        <v/>
      </c>
      <c r="L8" s="11" t="inlineStr">
        <is>
          <t>DeWalt 20 V, 2 baterías y maleta</t>
        </is>
      </c>
      <c r="M8" s="11" t="inlineStr">
        <is>
          <t>Sodimac $189.990. Kits 20 V en oferta entre $125.000 y $240.000</t>
        </is>
      </c>
      <c r="N8" s="5" t="inlineStr">
        <is>
          <t>Media</t>
        </is>
      </c>
    </row>
    <row r="9">
      <c r="A9" s="12" t="n">
        <v>4</v>
      </c>
      <c r="B9" s="13" t="inlineStr">
        <is>
          <t>Taladro inalámbrico DeWalt</t>
        </is>
      </c>
      <c r="C9" s="13" t="inlineStr">
        <is>
          <t>Eléctrica</t>
        </is>
      </c>
      <c r="D9" s="12" t="n">
        <v>1</v>
      </c>
      <c r="E9" s="12" t="n">
        <v>2024</v>
      </c>
      <c r="F9" s="12">
        <f>2026-E9</f>
        <v/>
      </c>
      <c r="G9" s="7" t="n">
        <v>0.4</v>
      </c>
      <c r="H9" s="8" t="n">
        <v>189990</v>
      </c>
      <c r="I9" s="9">
        <f>ROUND(H9*G9,0)</f>
        <v/>
      </c>
      <c r="J9" s="9">
        <f>H9-I9</f>
        <v/>
      </c>
      <c r="K9" s="10">
        <f>IF(H9=0,0,J9/H9)</f>
        <v/>
      </c>
      <c r="L9" s="14" t="inlineStr">
        <is>
          <t>DeWalt 20 V, 2 baterías y maleta</t>
        </is>
      </c>
      <c r="M9" s="14" t="inlineStr">
        <is>
          <t>Misma referencia que la fila 3</t>
        </is>
      </c>
      <c r="N9" s="12" t="inlineStr">
        <is>
          <t>Media</t>
        </is>
      </c>
    </row>
    <row r="10">
      <c r="A10" s="5" t="n">
        <v>5</v>
      </c>
      <c r="B10" s="6" t="inlineStr">
        <is>
          <t>Rotomartillo Bosch</t>
        </is>
      </c>
      <c r="C10" s="6" t="inlineStr">
        <is>
          <t>Construcción</t>
        </is>
      </c>
      <c r="D10" s="5" t="n">
        <v>1</v>
      </c>
      <c r="E10" s="5" t="n">
        <v>2021</v>
      </c>
      <c r="F10" s="5">
        <f>2026-E10</f>
        <v/>
      </c>
      <c r="G10" s="7" t="n">
        <v>0.3</v>
      </c>
      <c r="H10" s="8" t="n">
        <v>169990</v>
      </c>
      <c r="I10" s="9">
        <f>ROUND(H10*G10,0)</f>
        <v/>
      </c>
      <c r="J10" s="9">
        <f>H10-I10</f>
        <v/>
      </c>
      <c r="K10" s="10">
        <f>IF(H10=0,0,J10/H10)</f>
        <v/>
      </c>
      <c r="L10" s="11" t="inlineStr">
        <is>
          <t>Bosch GBH 2-24 D, 820 W, SDS-plus</t>
        </is>
      </c>
      <c r="M10" s="11" t="inlineStr">
        <is>
          <t>Sodimac GBH 2-24 D + mandril $169.990</t>
        </is>
      </c>
      <c r="N10" s="5" t="inlineStr">
        <is>
          <t>Alta</t>
        </is>
      </c>
    </row>
    <row r="11">
      <c r="A11" s="12" t="n">
        <v>6</v>
      </c>
      <c r="B11" s="13" t="inlineStr">
        <is>
          <t>Rotomartillo Bosch</t>
        </is>
      </c>
      <c r="C11" s="13" t="inlineStr">
        <is>
          <t>Construcción</t>
        </is>
      </c>
      <c r="D11" s="12" t="n">
        <v>1</v>
      </c>
      <c r="E11" s="12" t="n">
        <v>2024</v>
      </c>
      <c r="F11" s="12">
        <f>2026-E11</f>
        <v/>
      </c>
      <c r="G11" s="7" t="n">
        <v>0.9</v>
      </c>
      <c r="H11" s="8" t="n">
        <v>169990</v>
      </c>
      <c r="I11" s="9">
        <f>ROUND(H11*G11,0)</f>
        <v/>
      </c>
      <c r="J11" s="9">
        <f>H11-I11</f>
        <v/>
      </c>
      <c r="K11" s="10">
        <f>IF(H11=0,0,J11/H11)</f>
        <v/>
      </c>
      <c r="L11" s="14" t="inlineStr">
        <is>
          <t>Bosch GBH 2-24 D, 820 W, SDS-plus</t>
        </is>
      </c>
      <c r="M11" s="14" t="inlineStr">
        <is>
          <t>Misma referencia que la fila 5</t>
        </is>
      </c>
      <c r="N11" s="12" t="inlineStr">
        <is>
          <t>Alta</t>
        </is>
      </c>
    </row>
    <row r="12">
      <c r="A12" s="5" t="n">
        <v>7</v>
      </c>
      <c r="B12" s="6" t="inlineStr">
        <is>
          <t>Escalera de aluminio</t>
        </is>
      </c>
      <c r="C12" s="6" t="inlineStr">
        <is>
          <t>Manual</t>
        </is>
      </c>
      <c r="D12" s="5" t="n">
        <v>1</v>
      </c>
      <c r="E12" s="5" t="n">
        <v>2021</v>
      </c>
      <c r="F12" s="5">
        <f>2026-E12</f>
        <v/>
      </c>
      <c r="G12" s="7" t="n">
        <v>0.9</v>
      </c>
      <c r="H12" s="8" t="n">
        <v>49990</v>
      </c>
      <c r="I12" s="9">
        <f>ROUND(H12*G12,0)</f>
        <v/>
      </c>
      <c r="J12" s="9">
        <f>H12-I12</f>
        <v/>
      </c>
      <c r="K12" s="10">
        <f>IF(H12=0,0,J12/H12)</f>
        <v/>
      </c>
      <c r="L12" s="11" t="inlineStr">
        <is>
          <t>Tijera de aluminio, 6 peldaños</t>
        </is>
      </c>
      <c r="M12" s="11" t="inlineStr">
        <is>
          <t>Sodimac $49.990. La altura no está en el inventario</t>
        </is>
      </c>
      <c r="N12" s="5" t="inlineStr">
        <is>
          <t>Baja</t>
        </is>
      </c>
    </row>
    <row r="13">
      <c r="A13" s="12" t="n">
        <v>8</v>
      </c>
      <c r="B13" s="13" t="inlineStr">
        <is>
          <t>Escalera de aluminio</t>
        </is>
      </c>
      <c r="C13" s="13" t="inlineStr">
        <is>
          <t>Manual</t>
        </is>
      </c>
      <c r="D13" s="12" t="n">
        <v>1</v>
      </c>
      <c r="E13" s="12" t="n">
        <v>2021</v>
      </c>
      <c r="F13" s="12">
        <f>2026-E13</f>
        <v/>
      </c>
      <c r="G13" s="7" t="n">
        <v>0.9</v>
      </c>
      <c r="H13" s="8" t="n">
        <v>49990</v>
      </c>
      <c r="I13" s="9">
        <f>ROUND(H13*G13,0)</f>
        <v/>
      </c>
      <c r="J13" s="9">
        <f>H13-I13</f>
        <v/>
      </c>
      <c r="K13" s="10">
        <f>IF(H13=0,0,J13/H13)</f>
        <v/>
      </c>
      <c r="L13" s="14" t="inlineStr">
        <is>
          <t>Tijera de aluminio, 6 peldaños</t>
        </is>
      </c>
      <c r="M13" s="14" t="inlineStr">
        <is>
          <t>Misma referencia que la fila 7</t>
        </is>
      </c>
      <c r="N13" s="12" t="inlineStr">
        <is>
          <t>Baja</t>
        </is>
      </c>
    </row>
    <row r="14">
      <c r="A14" s="5" t="n">
        <v>9</v>
      </c>
      <c r="B14" s="6" t="inlineStr">
        <is>
          <t>Esmeril angular DeWalt</t>
        </is>
      </c>
      <c r="C14" s="6" t="inlineStr">
        <is>
          <t>Construcción</t>
        </is>
      </c>
      <c r="D14" s="5" t="n">
        <v>1</v>
      </c>
      <c r="E14" s="5" t="n">
        <v>2023</v>
      </c>
      <c r="F14" s="5">
        <f>2026-E14</f>
        <v/>
      </c>
      <c r="G14" s="7" t="n">
        <v>0.7</v>
      </c>
      <c r="H14" s="8" t="n">
        <v>119990</v>
      </c>
      <c r="I14" s="9">
        <f>ROUND(H14*G14,0)</f>
        <v/>
      </c>
      <c r="J14" s="9">
        <f>H14-I14</f>
        <v/>
      </c>
      <c r="K14" s="10">
        <f>IF(H14=0,0,J14/H14)</f>
        <v/>
      </c>
      <c r="L14" s="11" t="inlineStr">
        <is>
          <t>DeWalt DWE4120, 4-1/2 pulg., 900 W, con cable</t>
        </is>
      </c>
      <c r="M14" s="11" t="inlineStr">
        <is>
          <t>SBD Chile $119.990. Un DWE4020 de 800 W ronda $72.000 a $82.000</t>
        </is>
      </c>
      <c r="N14" s="5" t="inlineStr">
        <is>
          <t>Media</t>
        </is>
      </c>
    </row>
    <row r="15">
      <c r="A15" s="12" t="n">
        <v>10</v>
      </c>
      <c r="B15" s="13" t="inlineStr">
        <is>
          <t>Pistola calafatera</t>
        </is>
      </c>
      <c r="C15" s="13" t="inlineStr">
        <is>
          <t>Manual</t>
        </is>
      </c>
      <c r="D15" s="12" t="n">
        <v>1</v>
      </c>
      <c r="E15" s="12" t="n">
        <v>2026</v>
      </c>
      <c r="F15" s="12">
        <f>2026-E15</f>
        <v/>
      </c>
      <c r="G15" s="7" t="n">
        <v>0.9</v>
      </c>
      <c r="H15" s="8" t="n">
        <v>8990</v>
      </c>
      <c r="I15" s="9">
        <f>ROUND(H15*G15,0)</f>
        <v/>
      </c>
      <c r="J15" s="9">
        <f>H15-I15</f>
        <v/>
      </c>
      <c r="K15" s="10">
        <f>IF(H15=0,0,J15/H15)</f>
        <v/>
      </c>
      <c r="L15" s="14" t="inlineStr">
        <is>
          <t>Profesional antigoteo</t>
        </is>
      </c>
      <c r="M15" s="14" t="inlineStr">
        <is>
          <t>Sodimac $8.990</t>
        </is>
      </c>
      <c r="N15" s="12" t="inlineStr">
        <is>
          <t>Alta</t>
        </is>
      </c>
    </row>
    <row r="16">
      <c r="A16" s="5" t="n">
        <v>11</v>
      </c>
      <c r="B16" s="6" t="inlineStr">
        <is>
          <t>Multímetro digital UNI-T</t>
        </is>
      </c>
      <c r="C16" s="6" t="inlineStr">
        <is>
          <t>Eléctrica</t>
        </is>
      </c>
      <c r="D16" s="5" t="n">
        <v>1</v>
      </c>
      <c r="E16" s="5" t="n">
        <v>2025</v>
      </c>
      <c r="F16" s="5">
        <f>2026-E16</f>
        <v/>
      </c>
      <c r="G16" s="7" t="n">
        <v>0.9</v>
      </c>
      <c r="H16" s="8" t="n">
        <v>17990</v>
      </c>
      <c r="I16" s="9">
        <f>ROUND(H16*G16,0)</f>
        <v/>
      </c>
      <c r="J16" s="9">
        <f>H16-I16</f>
        <v/>
      </c>
      <c r="K16" s="10">
        <f>IF(H16=0,0,J16/H16)</f>
        <v/>
      </c>
      <c r="L16" s="11" t="inlineStr">
        <is>
          <t>UNI-T UT33C+</t>
        </is>
      </c>
      <c r="M16" s="11" t="inlineStr">
        <is>
          <t>Molychile $17.990. El modelo no está indicado; un UT89X ronda $35.990</t>
        </is>
      </c>
      <c r="N16" s="5" t="inlineStr">
        <is>
          <t>Media</t>
        </is>
      </c>
    </row>
    <row r="17">
      <c r="A17" s="12" t="n">
        <v>12</v>
      </c>
      <c r="B17" s="13" t="inlineStr">
        <is>
          <t>Multímetro digital UNI-T</t>
        </is>
      </c>
      <c r="C17" s="13" t="inlineStr">
        <is>
          <t>Eléctrica</t>
        </is>
      </c>
      <c r="D17" s="12" t="n">
        <v>1</v>
      </c>
      <c r="E17" s="12" t="n">
        <v>2025</v>
      </c>
      <c r="F17" s="12">
        <f>2026-E17</f>
        <v/>
      </c>
      <c r="G17" s="7" t="n">
        <v>0.9</v>
      </c>
      <c r="H17" s="8" t="n">
        <v>17990</v>
      </c>
      <c r="I17" s="9">
        <f>ROUND(H17*G17,0)</f>
        <v/>
      </c>
      <c r="J17" s="9">
        <f>H17-I17</f>
        <v/>
      </c>
      <c r="K17" s="10">
        <f>IF(H17=0,0,J17/H17)</f>
        <v/>
      </c>
      <c r="L17" s="14" t="inlineStr">
        <is>
          <t>UNI-T UT33C+</t>
        </is>
      </c>
      <c r="M17" s="14" t="inlineStr">
        <is>
          <t>Misma referencia que la fila 11</t>
        </is>
      </c>
      <c r="N17" s="12" t="inlineStr">
        <is>
          <t>Media</t>
        </is>
      </c>
    </row>
    <row r="18">
      <c r="A18" s="5" t="n">
        <v>13</v>
      </c>
      <c r="B18" s="6" t="inlineStr">
        <is>
          <t>Alicate universal</t>
        </is>
      </c>
      <c r="C18" s="6" t="inlineStr">
        <is>
          <t>Manual</t>
        </is>
      </c>
      <c r="D18" s="5" t="n">
        <v>1</v>
      </c>
      <c r="E18" s="5" t="inlineStr">
        <is>
          <t>—</t>
        </is>
      </c>
      <c r="F18" s="5" t="inlineStr">
        <is>
          <t>—</t>
        </is>
      </c>
      <c r="G18" s="7" t="n">
        <v>0.99</v>
      </c>
      <c r="H18" s="8" t="n">
        <v>6990</v>
      </c>
      <c r="I18" s="9">
        <f>ROUND(H18*G18,0)</f>
        <v/>
      </c>
      <c r="J18" s="9">
        <f>H18-I18</f>
        <v/>
      </c>
      <c r="K18" s="10">
        <f>IF(H18=0,0,J18/H18)</f>
        <v/>
      </c>
      <c r="L18" s="11" t="inlineStr">
        <is>
          <t>Universal 8 pulg., línea Total</t>
        </is>
      </c>
      <c r="M18" s="11" t="inlineStr">
        <is>
          <t>Geoconstructor $6.990</t>
        </is>
      </c>
      <c r="N18" s="5" t="inlineStr">
        <is>
          <t>Media</t>
        </is>
      </c>
    </row>
    <row r="19">
      <c r="A19" s="12" t="n">
        <v>14</v>
      </c>
      <c r="B19" s="13" t="inlineStr">
        <is>
          <t>Alicate de punta</t>
        </is>
      </c>
      <c r="C19" s="13" t="inlineStr">
        <is>
          <t>Manual</t>
        </is>
      </c>
      <c r="D19" s="12" t="n">
        <v>1</v>
      </c>
      <c r="E19" s="12" t="inlineStr">
        <is>
          <t>—</t>
        </is>
      </c>
      <c r="F19" s="12" t="inlineStr">
        <is>
          <t>—</t>
        </is>
      </c>
      <c r="G19" s="7" t="n">
        <v>0.99</v>
      </c>
      <c r="H19" s="8" t="n">
        <v>6490</v>
      </c>
      <c r="I19" s="9">
        <f>ROUND(H19*G19,0)</f>
        <v/>
      </c>
      <c r="J19" s="9">
        <f>H19-I19</f>
        <v/>
      </c>
      <c r="K19" s="10">
        <f>IF(H19=0,0,J19/H19)</f>
        <v/>
      </c>
      <c r="L19" s="14" t="inlineStr">
        <is>
          <t>Punta 6 a 8 pulg., línea Total/Ingco</t>
        </is>
      </c>
      <c r="M19" s="14" t="inlineStr">
        <is>
          <t>Estimado en el rango $5.990 a $7.990. Modelo no indicado</t>
        </is>
      </c>
      <c r="N19" s="12" t="inlineStr">
        <is>
          <t>Baja</t>
        </is>
      </c>
    </row>
    <row r="20">
      <c r="A20" s="5" t="n">
        <v>15</v>
      </c>
      <c r="B20" s="6" t="inlineStr">
        <is>
          <t>Alicate cortante</t>
        </is>
      </c>
      <c r="C20" s="6" t="inlineStr">
        <is>
          <t>Manual</t>
        </is>
      </c>
      <c r="D20" s="5" t="n">
        <v>1</v>
      </c>
      <c r="E20" s="5" t="inlineStr">
        <is>
          <t>—</t>
        </is>
      </c>
      <c r="F20" s="5" t="inlineStr">
        <is>
          <t>—</t>
        </is>
      </c>
      <c r="G20" s="7" t="n">
        <v>0.8</v>
      </c>
      <c r="H20" s="8" t="n">
        <v>5990</v>
      </c>
      <c r="I20" s="9">
        <f>ROUND(H20*G20,0)</f>
        <v/>
      </c>
      <c r="J20" s="9">
        <f>H20-I20</f>
        <v/>
      </c>
      <c r="K20" s="10">
        <f>IF(H20=0,0,J20/H20)</f>
        <v/>
      </c>
      <c r="L20" s="11" t="inlineStr">
        <is>
          <t>Cortante 6 pulg., Total</t>
        </is>
      </c>
      <c r="M20" s="11" t="inlineStr">
        <is>
          <t>Ferroelectronic $5.990</t>
        </is>
      </c>
      <c r="N20" s="5" t="inlineStr">
        <is>
          <t>Media</t>
        </is>
      </c>
    </row>
    <row r="21">
      <c r="A21" s="12" t="n">
        <v>16</v>
      </c>
      <c r="B21" s="13" t="inlineStr">
        <is>
          <t>Alicate cortante</t>
        </is>
      </c>
      <c r="C21" s="13" t="inlineStr">
        <is>
          <t>Manual</t>
        </is>
      </c>
      <c r="D21" s="12" t="n">
        <v>1</v>
      </c>
      <c r="E21" s="12" t="inlineStr">
        <is>
          <t>—</t>
        </is>
      </c>
      <c r="F21" s="12" t="inlineStr">
        <is>
          <t>—</t>
        </is>
      </c>
      <c r="G21" s="7" t="n">
        <v>0.8</v>
      </c>
      <c r="H21" s="8" t="n">
        <v>5990</v>
      </c>
      <c r="I21" s="9">
        <f>ROUND(H21*G21,0)</f>
        <v/>
      </c>
      <c r="J21" s="9">
        <f>H21-I21</f>
        <v/>
      </c>
      <c r="K21" s="10">
        <f>IF(H21=0,0,J21/H21)</f>
        <v/>
      </c>
      <c r="L21" s="14" t="inlineStr">
        <is>
          <t>Cortante 6 pulg., Total</t>
        </is>
      </c>
      <c r="M21" s="14" t="inlineStr">
        <is>
          <t>Misma referencia que la fila 15</t>
        </is>
      </c>
      <c r="N21" s="12" t="inlineStr">
        <is>
          <t>Media</t>
        </is>
      </c>
    </row>
    <row r="22">
      <c r="A22" s="5" t="n">
        <v>17</v>
      </c>
      <c r="B22" s="6" t="inlineStr">
        <is>
          <t>Atornillador cruz</t>
        </is>
      </c>
      <c r="C22" s="6" t="inlineStr">
        <is>
          <t>Manual</t>
        </is>
      </c>
      <c r="D22" s="5" t="n">
        <v>1</v>
      </c>
      <c r="E22" s="5" t="inlineStr">
        <is>
          <t>—</t>
        </is>
      </c>
      <c r="F22" s="5" t="inlineStr">
        <is>
          <t>—</t>
        </is>
      </c>
      <c r="G22" s="7" t="n">
        <v>0.99</v>
      </c>
      <c r="H22" s="8" t="n">
        <v>2990</v>
      </c>
      <c r="I22" s="9">
        <f>ROUND(H22*G22,0)</f>
        <v/>
      </c>
      <c r="J22" s="9">
        <f>H22-I22</f>
        <v/>
      </c>
      <c r="K22" s="10">
        <f>IF(H22=0,0,J22/H22)</f>
        <v/>
      </c>
      <c r="L22" s="11" t="inlineStr">
        <is>
          <t>Destornillador Phillips individual</t>
        </is>
      </c>
      <c r="M22" s="11" t="inlineStr">
        <is>
          <t>Estimado de ferretería, rango habitual $2.000 a $4.000</t>
        </is>
      </c>
      <c r="N22" s="5" t="inlineStr">
        <is>
          <t>Baja</t>
        </is>
      </c>
    </row>
    <row r="23">
      <c r="A23" s="12" t="n">
        <v>18</v>
      </c>
      <c r="B23" s="13" t="inlineStr">
        <is>
          <t>Atornillador cruz</t>
        </is>
      </c>
      <c r="C23" s="13" t="inlineStr">
        <is>
          <t>Manual</t>
        </is>
      </c>
      <c r="D23" s="12" t="n">
        <v>1</v>
      </c>
      <c r="E23" s="12" t="inlineStr">
        <is>
          <t>—</t>
        </is>
      </c>
      <c r="F23" s="12" t="inlineStr">
        <is>
          <t>—</t>
        </is>
      </c>
      <c r="G23" s="7" t="n">
        <v>0.99</v>
      </c>
      <c r="H23" s="8" t="n">
        <v>2990</v>
      </c>
      <c r="I23" s="9">
        <f>ROUND(H23*G23,0)</f>
        <v/>
      </c>
      <c r="J23" s="9">
        <f>H23-I23</f>
        <v/>
      </c>
      <c r="K23" s="10">
        <f>IF(H23=0,0,J23/H23)</f>
        <v/>
      </c>
      <c r="L23" s="14" t="inlineStr">
        <is>
          <t>Destornillador Phillips individual</t>
        </is>
      </c>
      <c r="M23" s="14" t="inlineStr">
        <is>
          <t>Misma referencia que la fila 17</t>
        </is>
      </c>
      <c r="N23" s="12" t="inlineStr">
        <is>
          <t>Baja</t>
        </is>
      </c>
    </row>
    <row r="24">
      <c r="A24" s="5" t="n">
        <v>19</v>
      </c>
      <c r="B24" s="6" t="inlineStr">
        <is>
          <t>Atornillador paleta</t>
        </is>
      </c>
      <c r="C24" s="6" t="inlineStr">
        <is>
          <t>Manual</t>
        </is>
      </c>
      <c r="D24" s="5" t="n">
        <v>1</v>
      </c>
      <c r="E24" s="5" t="inlineStr">
        <is>
          <t>—</t>
        </is>
      </c>
      <c r="F24" s="5" t="inlineStr">
        <is>
          <t>—</t>
        </is>
      </c>
      <c r="G24" s="7" t="n">
        <v>0.99</v>
      </c>
      <c r="H24" s="8" t="n">
        <v>2990</v>
      </c>
      <c r="I24" s="9">
        <f>ROUND(H24*G24,0)</f>
        <v/>
      </c>
      <c r="J24" s="9">
        <f>H24-I24</f>
        <v/>
      </c>
      <c r="K24" s="10">
        <f>IF(H24=0,0,J24/H24)</f>
        <v/>
      </c>
      <c r="L24" s="11" t="inlineStr">
        <is>
          <t>Destornillador plano individual</t>
        </is>
      </c>
      <c r="M24" s="11" t="inlineStr">
        <is>
          <t>Estimado de ferretería, rango habitual $2.000 a $4.000</t>
        </is>
      </c>
      <c r="N24" s="5" t="inlineStr">
        <is>
          <t>Baja</t>
        </is>
      </c>
    </row>
    <row r="25">
      <c r="A25" s="12" t="n">
        <v>20</v>
      </c>
      <c r="B25" s="13" t="inlineStr">
        <is>
          <t>Atornillador paleta</t>
        </is>
      </c>
      <c r="C25" s="13" t="inlineStr">
        <is>
          <t>Manual</t>
        </is>
      </c>
      <c r="D25" s="12" t="n">
        <v>1</v>
      </c>
      <c r="E25" s="12" t="inlineStr">
        <is>
          <t>—</t>
        </is>
      </c>
      <c r="F25" s="12" t="inlineStr">
        <is>
          <t>—</t>
        </is>
      </c>
      <c r="G25" s="7" t="n">
        <v>0.99</v>
      </c>
      <c r="H25" s="8" t="n">
        <v>2990</v>
      </c>
      <c r="I25" s="9">
        <f>ROUND(H25*G25,0)</f>
        <v/>
      </c>
      <c r="J25" s="9">
        <f>H25-I25</f>
        <v/>
      </c>
      <c r="K25" s="10">
        <f>IF(H25=0,0,J25/H25)</f>
        <v/>
      </c>
      <c r="L25" s="14" t="inlineStr">
        <is>
          <t>Destornillador plano individual</t>
        </is>
      </c>
      <c r="M25" s="14" t="inlineStr">
        <is>
          <t>Misma referencia que la fila 19</t>
        </is>
      </c>
      <c r="N25" s="12" t="inlineStr">
        <is>
          <t>Baja</t>
        </is>
      </c>
    </row>
    <row r="26">
      <c r="A26" s="5" t="n">
        <v>21</v>
      </c>
      <c r="B26" s="6" t="inlineStr">
        <is>
          <t>Etiquetadora Brother</t>
        </is>
      </c>
      <c r="C26" s="6" t="inlineStr">
        <is>
          <t>Manual</t>
        </is>
      </c>
      <c r="D26" s="5" t="n">
        <v>1</v>
      </c>
      <c r="E26" s="5" t="inlineStr">
        <is>
          <t>—</t>
        </is>
      </c>
      <c r="F26" s="5" t="inlineStr">
        <is>
          <t>—</t>
        </is>
      </c>
      <c r="G26" s="7" t="n">
        <v>0.7</v>
      </c>
      <c r="H26" s="8" t="n">
        <v>41990</v>
      </c>
      <c r="I26" s="9">
        <f>ROUND(H26*G26,0)</f>
        <v/>
      </c>
      <c r="J26" s="9">
        <f>H26-I26</f>
        <v/>
      </c>
      <c r="K26" s="10">
        <f>IF(H26=0,0,J26/H26)</f>
        <v/>
      </c>
      <c r="L26" s="11" t="inlineStr">
        <is>
          <t>Brother P-touch PT-D210</t>
        </is>
      </c>
      <c r="M26" s="11" t="inlineStr">
        <is>
          <t>Store Brother $41.990. Una PT-E industrial supera $150.000</t>
        </is>
      </c>
      <c r="N26" s="5" t="inlineStr">
        <is>
          <t>Baja</t>
        </is>
      </c>
    </row>
    <row r="27">
      <c r="A27" s="12" t="n">
        <v>22</v>
      </c>
      <c r="B27" s="13" t="inlineStr">
        <is>
          <t>Atornillador perillero</t>
        </is>
      </c>
      <c r="C27" s="13" t="inlineStr">
        <is>
          <t>Manual</t>
        </is>
      </c>
      <c r="D27" s="12" t="n">
        <v>1</v>
      </c>
      <c r="E27" s="12" t="inlineStr">
        <is>
          <t>—</t>
        </is>
      </c>
      <c r="F27" s="12" t="inlineStr">
        <is>
          <t>—</t>
        </is>
      </c>
      <c r="G27" s="7" t="n">
        <v>0.3</v>
      </c>
      <c r="H27" s="8" t="n">
        <v>3990</v>
      </c>
      <c r="I27" s="9">
        <f>ROUND(H27*G27,0)</f>
        <v/>
      </c>
      <c r="J27" s="9">
        <f>H27-I27</f>
        <v/>
      </c>
      <c r="K27" s="10">
        <f>IF(H27=0,0,J27/H27)</f>
        <v/>
      </c>
      <c r="L27" s="14" t="inlineStr">
        <is>
          <t>Destornillador perillero</t>
        </is>
      </c>
      <c r="M27" s="14" t="inlineStr">
        <is>
          <t>Estimado de ferretería, rango habitual $3.000 a $6.000</t>
        </is>
      </c>
      <c r="N27" s="12" t="inlineStr">
        <is>
          <t>Baja</t>
        </is>
      </c>
    </row>
    <row r="28">
      <c r="A28" s="5" t="n">
        <v>23</v>
      </c>
      <c r="B28" s="6" t="inlineStr">
        <is>
          <t>Atornillador perillero</t>
        </is>
      </c>
      <c r="C28" s="6" t="inlineStr">
        <is>
          <t>Manual</t>
        </is>
      </c>
      <c r="D28" s="5" t="n">
        <v>1</v>
      </c>
      <c r="E28" s="5" t="inlineStr">
        <is>
          <t>—</t>
        </is>
      </c>
      <c r="F28" s="5" t="inlineStr">
        <is>
          <t>—</t>
        </is>
      </c>
      <c r="G28" s="7" t="n">
        <v>0.99</v>
      </c>
      <c r="H28" s="8" t="n">
        <v>3990</v>
      </c>
      <c r="I28" s="9">
        <f>ROUND(H28*G28,0)</f>
        <v/>
      </c>
      <c r="J28" s="9">
        <f>H28-I28</f>
        <v/>
      </c>
      <c r="K28" s="10">
        <f>IF(H28=0,0,J28/H28)</f>
        <v/>
      </c>
      <c r="L28" s="11" t="inlineStr">
        <is>
          <t>Destornillador perillero</t>
        </is>
      </c>
      <c r="M28" s="11" t="inlineStr">
        <is>
          <t>Misma referencia que la fila 22</t>
        </is>
      </c>
      <c r="N28" s="5" t="inlineStr">
        <is>
          <t>Baja</t>
        </is>
      </c>
    </row>
    <row r="29">
      <c r="A29" s="12" t="n">
        <v>24</v>
      </c>
      <c r="B29" s="13" t="inlineStr">
        <is>
          <t>Tester de cable de red RJ45</t>
        </is>
      </c>
      <c r="C29" s="13" t="inlineStr">
        <is>
          <t>Manual</t>
        </is>
      </c>
      <c r="D29" s="12" t="n">
        <v>1</v>
      </c>
      <c r="E29" s="12" t="inlineStr">
        <is>
          <t>—</t>
        </is>
      </c>
      <c r="F29" s="12" t="inlineStr">
        <is>
          <t>—</t>
        </is>
      </c>
      <c r="G29" s="7" t="n">
        <v>0.99</v>
      </c>
      <c r="H29" s="8" t="n">
        <v>8990</v>
      </c>
      <c r="I29" s="9">
        <f>ROUND(H29*G29,0)</f>
        <v/>
      </c>
      <c r="J29" s="9">
        <f>H29-I29</f>
        <v/>
      </c>
      <c r="K29" s="10">
        <f>IF(H29=0,0,J29/H29)</f>
        <v/>
      </c>
      <c r="L29" s="14" t="inlineStr">
        <is>
          <t>Tester de continuidad RJ45/RJ11</t>
        </is>
      </c>
      <c r="M29" s="14" t="inlineStr">
        <is>
          <t>Cinet Onten OTN-E921 $8.300, redondeado a $8.990</t>
        </is>
      </c>
      <c r="N29" s="12" t="inlineStr">
        <is>
          <t>Media</t>
        </is>
      </c>
    </row>
    <row r="30">
      <c r="A30" s="5" t="n">
        <v>25</v>
      </c>
      <c r="B30" s="6" t="inlineStr">
        <is>
          <t>Cautín 60 W</t>
        </is>
      </c>
      <c r="C30" s="6" t="inlineStr">
        <is>
          <t>Eléctrica</t>
        </is>
      </c>
      <c r="D30" s="5" t="n">
        <v>1</v>
      </c>
      <c r="E30" s="5" t="n">
        <v>2024</v>
      </c>
      <c r="F30" s="5">
        <f>2026-E30</f>
        <v/>
      </c>
      <c r="G30" s="7" t="n">
        <v>0.3</v>
      </c>
      <c r="H30" s="8" t="n">
        <v>8990</v>
      </c>
      <c r="I30" s="9">
        <f>ROUND(H30*G30,0)</f>
        <v/>
      </c>
      <c r="J30" s="9">
        <f>H30-I30</f>
        <v/>
      </c>
      <c r="K30" s="10">
        <f>IF(H30=0,0,J30/H30)</f>
        <v/>
      </c>
      <c r="L30" s="11" t="inlineStr">
        <is>
          <t>Cautín 60 W con ajuste de temperatura</t>
        </is>
      </c>
      <c r="M30" s="11" t="inlineStr">
        <is>
          <t>Global Electrónica 60ADJ $8.990</t>
        </is>
      </c>
      <c r="N30" s="5" t="inlineStr">
        <is>
          <t>Alta</t>
        </is>
      </c>
    </row>
    <row r="31">
      <c r="A31" s="12" t="n">
        <v>26</v>
      </c>
      <c r="B31" s="13" t="inlineStr">
        <is>
          <t>Cautín 60 W</t>
        </is>
      </c>
      <c r="C31" s="13" t="inlineStr">
        <is>
          <t>Eléctrica</t>
        </is>
      </c>
      <c r="D31" s="12" t="n">
        <v>1</v>
      </c>
      <c r="E31" s="12" t="n">
        <v>2023</v>
      </c>
      <c r="F31" s="12">
        <f>2026-E31</f>
        <v/>
      </c>
      <c r="G31" s="7" t="n">
        <v>0.3</v>
      </c>
      <c r="H31" s="8" t="n">
        <v>8990</v>
      </c>
      <c r="I31" s="9">
        <f>ROUND(H31*G31,0)</f>
        <v/>
      </c>
      <c r="J31" s="9">
        <f>H31-I31</f>
        <v/>
      </c>
      <c r="K31" s="10">
        <f>IF(H31=0,0,J31/H31)</f>
        <v/>
      </c>
      <c r="L31" s="14" t="inlineStr">
        <is>
          <t>Cautín 60 W con ajuste de temperatura</t>
        </is>
      </c>
      <c r="M31" s="14" t="inlineStr">
        <is>
          <t>Misma referencia que la fila 25</t>
        </is>
      </c>
      <c r="N31" s="12" t="inlineStr">
        <is>
          <t>Alta</t>
        </is>
      </c>
    </row>
    <row r="32">
      <c r="A32" s="5" t="n">
        <v>27</v>
      </c>
      <c r="B32" s="6" t="inlineStr">
        <is>
          <t>Termofusionadora PPR D20 a D63</t>
        </is>
      </c>
      <c r="C32" s="6" t="inlineStr">
        <is>
          <t>Gasfitería</t>
        </is>
      </c>
      <c r="D32" s="5" t="n">
        <v>1</v>
      </c>
      <c r="E32" s="5" t="n">
        <v>2020</v>
      </c>
      <c r="F32" s="5">
        <f>2026-E32</f>
        <v/>
      </c>
      <c r="G32" s="7" t="n">
        <v>0.5</v>
      </c>
      <c r="H32" s="8" t="n">
        <v>76850</v>
      </c>
      <c r="I32" s="9">
        <f>ROUND(H32*G32,0)</f>
        <v/>
      </c>
      <c r="J32" s="9">
        <f>H32-I32</f>
        <v/>
      </c>
      <c r="K32" s="10">
        <f>IF(H32=0,0,J32/H32)</f>
        <v/>
      </c>
      <c r="L32" s="11" t="inlineStr">
        <is>
          <t>Digital 20-63 mm, 800 a 1000 W</t>
        </is>
      </c>
      <c r="M32" s="11" t="inlineStr">
        <is>
          <t>Sodimac Hoffens $76.850. Canale 1000 W $85.000</t>
        </is>
      </c>
      <c r="N32" s="5" t="inlineStr">
        <is>
          <t>Media</t>
        </is>
      </c>
    </row>
    <row r="33">
      <c r="A33" s="12" t="n">
        <v>28</v>
      </c>
      <c r="B33" s="13" t="inlineStr">
        <is>
          <t>Termofusionadora PPR D75 a D110</t>
        </is>
      </c>
      <c r="C33" s="13" t="inlineStr">
        <is>
          <t>Gasfitería</t>
        </is>
      </c>
      <c r="D33" s="12" t="n">
        <v>1</v>
      </c>
      <c r="E33" s="12" t="n">
        <v>2020</v>
      </c>
      <c r="F33" s="12">
        <f>2026-E33</f>
        <v/>
      </c>
      <c r="G33" s="7" t="n">
        <v>0.8</v>
      </c>
      <c r="H33" s="8" t="n">
        <v>160531</v>
      </c>
      <c r="I33" s="9">
        <f>ROUND(H33*G33,0)</f>
        <v/>
      </c>
      <c r="J33" s="9">
        <f>H33-I33</f>
        <v/>
      </c>
      <c r="K33" s="10">
        <f>IF(H33=0,0,J33/H33)</f>
        <v/>
      </c>
      <c r="L33" s="14" t="inlineStr">
        <is>
          <t>Digital portátil 75-110 mm</t>
        </is>
      </c>
      <c r="M33" s="14" t="inlineStr">
        <is>
          <t>IMPUS $160.531. Tehmco $116.102. No es bancada hidráulica</t>
        </is>
      </c>
      <c r="N33" s="12" t="inlineStr">
        <is>
          <t>Media</t>
        </is>
      </c>
    </row>
    <row r="34">
      <c r="A34" s="5" t="n">
        <v>29</v>
      </c>
      <c r="B34" s="6" t="inlineStr">
        <is>
          <t>Soldadora HYM 160 A</t>
        </is>
      </c>
      <c r="C34" s="6" t="inlineStr">
        <is>
          <t>Construcción</t>
        </is>
      </c>
      <c r="D34" s="5" t="n">
        <v>1</v>
      </c>
      <c r="E34" s="5" t="n">
        <v>2020</v>
      </c>
      <c r="F34" s="5">
        <f>2026-E34</f>
        <v/>
      </c>
      <c r="G34" s="7" t="n">
        <v>0.5</v>
      </c>
      <c r="H34" s="8" t="n">
        <v>204790</v>
      </c>
      <c r="I34" s="9">
        <f>ROUND(H34*G34,0)</f>
        <v/>
      </c>
      <c r="J34" s="9">
        <f>H34-I34</f>
        <v/>
      </c>
      <c r="K34" s="10">
        <f>IF(H34=0,0,J34/H34)</f>
        <v/>
      </c>
      <c r="L34" s="11" t="inlineStr">
        <is>
          <t>Hyundai inverter HYMMA-160</t>
        </is>
      </c>
      <c r="M34" s="11" t="inlineStr">
        <is>
          <t>Herramientas Chile $204.790. Ferramak $229.990</t>
        </is>
      </c>
      <c r="N34" s="5" t="inlineStr">
        <is>
          <t>Alta</t>
        </is>
      </c>
    </row>
    <row r="35">
      <c r="A35" s="12" t="n">
        <v>30</v>
      </c>
      <c r="B35" s="13" t="inlineStr">
        <is>
          <t>Careta de soldador</t>
        </is>
      </c>
      <c r="C35" s="13" t="inlineStr">
        <is>
          <t>Construcción</t>
        </is>
      </c>
      <c r="D35" s="12" t="n">
        <v>1</v>
      </c>
      <c r="E35" s="12" t="n">
        <v>2023</v>
      </c>
      <c r="F35" s="12">
        <f>2026-E35</f>
        <v/>
      </c>
      <c r="G35" s="7" t="n">
        <v>0.6</v>
      </c>
      <c r="H35" s="8" t="n">
        <v>19990</v>
      </c>
      <c r="I35" s="9">
        <f>ROUND(H35*G35,0)</f>
        <v/>
      </c>
      <c r="J35" s="9">
        <f>H35-I35</f>
        <v/>
      </c>
      <c r="K35" s="10">
        <f>IF(H35=0,0,J35/H35)</f>
        <v/>
      </c>
      <c r="L35" s="14" t="inlineStr">
        <is>
          <t>Careta fotosensible de entrada</t>
        </is>
      </c>
      <c r="M35" s="14" t="inlineStr">
        <is>
          <t>Retail habitual $16.000 a $30.000. El tipo no está indicado</t>
        </is>
      </c>
      <c r="N35" s="12" t="inlineStr">
        <is>
          <t>Baja</t>
        </is>
      </c>
    </row>
    <row r="36">
      <c r="A36" s="5" t="n">
        <v>31</v>
      </c>
      <c r="B36" s="6" t="inlineStr">
        <is>
          <t>Bomba sumergible</t>
        </is>
      </c>
      <c r="C36" s="6" t="inlineStr">
        <is>
          <t>Gasfitería</t>
        </is>
      </c>
      <c r="D36" s="5" t="n">
        <v>1</v>
      </c>
      <c r="E36" s="5" t="n">
        <v>2024</v>
      </c>
      <c r="F36" s="5">
        <f>2026-E36</f>
        <v/>
      </c>
      <c r="G36" s="7" t="n">
        <v>0.9</v>
      </c>
      <c r="H36" s="8" t="n">
        <v>112990</v>
      </c>
      <c r="I36" s="9">
        <f>ROUND(H36*G36,0)</f>
        <v/>
      </c>
      <c r="J36" s="9">
        <f>H36-I36</f>
        <v/>
      </c>
      <c r="K36" s="10">
        <f>IF(H36=0,0,J36/H36)</f>
        <v/>
      </c>
      <c r="L36" s="11" t="inlineStr">
        <is>
          <t>1 HP para agua sucia</t>
        </is>
      </c>
      <c r="M36" s="11" t="inlineStr">
        <is>
          <t>Sodimac Bercatti $112.990. La potencia no está indicada</t>
        </is>
      </c>
      <c r="N36" s="5" t="inlineStr">
        <is>
          <t>Baja</t>
        </is>
      </c>
    </row>
    <row r="37">
      <c r="A37" s="12" t="n">
        <v>32</v>
      </c>
      <c r="B37" s="13" t="inlineStr">
        <is>
          <t>Toldo impermeable</t>
        </is>
      </c>
      <c r="C37" s="13" t="inlineStr">
        <is>
          <t>Gasfitería</t>
        </is>
      </c>
      <c r="D37" s="12" t="n">
        <v>1</v>
      </c>
      <c r="E37" s="12" t="n">
        <v>2026</v>
      </c>
      <c r="F37" s="12">
        <f>2026-E37</f>
        <v/>
      </c>
      <c r="G37" s="7" t="n">
        <v>0.99</v>
      </c>
      <c r="H37" s="8" t="n">
        <v>39990</v>
      </c>
      <c r="I37" s="9">
        <f>ROUND(H37*G37,0)</f>
        <v/>
      </c>
      <c r="J37" s="9">
        <f>H37-I37</f>
        <v/>
      </c>
      <c r="K37" s="10">
        <f>IF(H37=0,0,J37/H37)</f>
        <v/>
      </c>
      <c r="L37" s="14" t="inlineStr">
        <is>
          <t>Plegable 3x3 m</t>
        </is>
      </c>
      <c r="M37" s="14" t="inlineStr">
        <is>
          <t>Sodimac $39.990. La medida no está indicada</t>
        </is>
      </c>
      <c r="N37" s="12" t="inlineStr">
        <is>
          <t>Baja</t>
        </is>
      </c>
    </row>
    <row r="38">
      <c r="A38" s="5" t="n">
        <v>33</v>
      </c>
      <c r="B38" s="6" t="inlineStr">
        <is>
          <t>Llave stilson 18"</t>
        </is>
      </c>
      <c r="C38" s="6" t="inlineStr">
        <is>
          <t>Gasfitería</t>
        </is>
      </c>
      <c r="D38" s="5" t="n">
        <v>1</v>
      </c>
      <c r="E38" s="5" t="n">
        <v>2019</v>
      </c>
      <c r="F38" s="5">
        <f>2026-E38</f>
        <v/>
      </c>
      <c r="G38" s="7" t="n">
        <v>0.99</v>
      </c>
      <c r="H38" s="8" t="n">
        <v>15990</v>
      </c>
      <c r="I38" s="9">
        <f>ROUND(H38*G38,0)</f>
        <v/>
      </c>
      <c r="J38" s="9">
        <f>H38-I38</f>
        <v/>
      </c>
      <c r="K38" s="10">
        <f>IF(H38=0,0,J38/H38)</f>
        <v/>
      </c>
      <c r="L38" s="11" t="inlineStr">
        <is>
          <t>Stilson 18"</t>
        </is>
      </c>
      <c r="M38" s="11" t="inlineStr">
        <is>
          <t>Ferroelectronic $15.990. Ingco entre $13.491 y $23.199</t>
        </is>
      </c>
      <c r="N38" s="5" t="inlineStr">
        <is>
          <t>Alta</t>
        </is>
      </c>
    </row>
    <row r="39">
      <c r="A39" s="12" t="n">
        <v>34</v>
      </c>
      <c r="B39" s="13" t="inlineStr">
        <is>
          <t>Llave stilson 36"</t>
        </is>
      </c>
      <c r="C39" s="13" t="inlineStr">
        <is>
          <t>Gasfitería</t>
        </is>
      </c>
      <c r="D39" s="12" t="n">
        <v>1</v>
      </c>
      <c r="E39" s="12" t="n">
        <v>2020</v>
      </c>
      <c r="F39" s="12">
        <f>2026-E39</f>
        <v/>
      </c>
      <c r="G39" s="7" t="n">
        <v>0.99</v>
      </c>
      <c r="H39" s="8" t="n">
        <v>49990</v>
      </c>
      <c r="I39" s="9">
        <f>ROUND(H39*G39,0)</f>
        <v/>
      </c>
      <c r="J39" s="9">
        <f>H39-I39</f>
        <v/>
      </c>
      <c r="K39" s="10">
        <f>IF(H39=0,0,J39/H39)</f>
        <v/>
      </c>
      <c r="L39" s="14" t="inlineStr">
        <is>
          <t>Stilson 36", Ingco HPW0836</t>
        </is>
      </c>
      <c r="M39" s="14" t="inlineStr">
        <is>
          <t>Publicado entre $42.990 y $58.499. Se usa el punto medio</t>
        </is>
      </c>
      <c r="N39" s="12" t="inlineStr">
        <is>
          <t>Media</t>
        </is>
      </c>
    </row>
    <row r="40">
      <c r="A40" s="5" t="n">
        <v>35</v>
      </c>
      <c r="B40" s="6" t="inlineStr">
        <is>
          <t>Llave francesa 12"</t>
        </is>
      </c>
      <c r="C40" s="6" t="inlineStr">
        <is>
          <t>Gasfitería</t>
        </is>
      </c>
      <c r="D40" s="5" t="n">
        <v>1</v>
      </c>
      <c r="E40" s="5" t="n">
        <v>2021</v>
      </c>
      <c r="F40" s="5">
        <f>2026-E40</f>
        <v/>
      </c>
      <c r="G40" s="7" t="n">
        <v>0.99</v>
      </c>
      <c r="H40" s="8" t="n">
        <v>14990</v>
      </c>
      <c r="I40" s="9">
        <f>ROUND(H40*G40,0)</f>
        <v/>
      </c>
      <c r="J40" s="9">
        <f>H40-I40</f>
        <v/>
      </c>
      <c r="K40" s="10">
        <f>IF(H40=0,0,J40/H40)</f>
        <v/>
      </c>
      <c r="L40" s="11" t="inlineStr">
        <is>
          <t>Francesa de acero 12"</t>
        </is>
      </c>
      <c r="M40" s="11" t="inlineStr">
        <is>
          <t>Sodimac $14.990</t>
        </is>
      </c>
      <c r="N40" s="5" t="inlineStr">
        <is>
          <t>Alta</t>
        </is>
      </c>
    </row>
    <row r="41">
      <c r="A41" s="12" t="n">
        <v>36</v>
      </c>
      <c r="B41" s="13" t="inlineStr">
        <is>
          <t>Odómetro de rueda</t>
        </is>
      </c>
      <c r="C41" s="13" t="inlineStr">
        <is>
          <t>Manual</t>
        </is>
      </c>
      <c r="D41" s="12" t="n">
        <v>1</v>
      </c>
      <c r="E41" s="12" t="n">
        <v>2022</v>
      </c>
      <c r="F41" s="12">
        <f>2026-E41</f>
        <v/>
      </c>
      <c r="G41" s="7" t="n">
        <v>0.99</v>
      </c>
      <c r="H41" s="8" t="n">
        <v>16990</v>
      </c>
      <c r="I41" s="9">
        <f>ROUND(H41*G41,0)</f>
        <v/>
      </c>
      <c r="J41" s="9">
        <f>H41-I41</f>
        <v/>
      </c>
      <c r="K41" s="10">
        <f>IF(H41=0,0,J41/H41)</f>
        <v/>
      </c>
      <c r="L41" s="14" t="inlineStr">
        <is>
          <t>Rueda analógica</t>
        </is>
      </c>
      <c r="M41" s="14" t="inlineStr">
        <is>
          <t>Crownman $16.990</t>
        </is>
      </c>
      <c r="N41" s="12" t="inlineStr">
        <is>
          <t>Media</t>
        </is>
      </c>
    </row>
    <row r="42">
      <c r="A42" s="15" t="n"/>
      <c r="B42" s="15" t="inlineStr">
        <is>
          <t>TOTAL</t>
        </is>
      </c>
      <c r="C42" s="15" t="n"/>
      <c r="D42" s="15" t="n"/>
      <c r="E42" s="15" t="n"/>
      <c r="F42" s="15" t="n"/>
      <c r="G42" s="15" t="n"/>
      <c r="H42" s="16">
        <f>SUM(H6:H41)</f>
        <v/>
      </c>
      <c r="I42" s="16">
        <f>SUM(I6:I41)</f>
        <v/>
      </c>
      <c r="J42" s="16">
        <f>SUM(J6:J41)</f>
        <v/>
      </c>
      <c r="K42" s="17">
        <f>IF(H42=0,0,J42/H42)</f>
        <v/>
      </c>
      <c r="L42" s="15" t="n"/>
      <c r="M42" s="15" t="n"/>
      <c r="N42" s="15" t="n"/>
    </row>
  </sheetData>
  <autoFilter ref="A5:N41"/>
  <mergeCells count="3">
    <mergeCell ref="A3:N3"/>
    <mergeCell ref="A2:N2"/>
    <mergeCell ref="A1:N1"/>
  </mergeCells>
  <pageMargins left="0.4" right="0.4" top="0.6" bottom="0.5" header="0.5" footer="0.5"/>
  <pageSetup orientation="landscape" paperSize="3" fitToHeight="1" fitToWidth="1"/>
  <headerFooter>
    <oddHeader>&amp;LValorización de herramientas</oddHeader>
    <oddFooter>&amp;LRetail Chile, IVA incluido · octubre 2026&amp;RPágina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Resumen por categoría</t>
        </is>
      </c>
    </row>
    <row r="2">
      <c r="A2" s="2" t="inlineStr">
        <is>
          <t>Fecha de cotización: 20 de octubre de 2026. Moneda: pesos chilenos con IVA.</t>
        </is>
      </c>
    </row>
    <row r="4" ht="30" customHeight="1">
      <c r="A4" s="4" t="inlineStr">
        <is>
          <t>Categoría</t>
        </is>
      </c>
      <c r="B4" s="4" t="inlineStr">
        <is>
          <t>Ítems</t>
        </is>
      </c>
      <c r="C4" s="4" t="inlineStr">
        <is>
          <t>Valor de reposición</t>
        </is>
      </c>
      <c r="D4" s="4" t="inlineStr">
        <is>
          <t>Valor de mercado</t>
        </is>
      </c>
      <c r="E4" s="4" t="inlineStr">
        <is>
          <t>Depreciación $</t>
        </is>
      </c>
      <c r="F4" s="4" t="inlineStr">
        <is>
          <t>Depreciación %</t>
        </is>
      </c>
    </row>
    <row r="5">
      <c r="A5" s="18" t="inlineStr">
        <is>
          <t>Gasfitería</t>
        </is>
      </c>
      <c r="B5" s="18">
        <f>COUNTIF(Valorizacion!C:C,A5)</f>
        <v/>
      </c>
      <c r="C5" s="19">
        <f>SUMIF(Valorizacion!C:C,A5,Valorizacion!H:H)</f>
        <v/>
      </c>
      <c r="D5" s="19">
        <f>SUMIF(Valorizacion!C:C,A5,Valorizacion!I:I)</f>
        <v/>
      </c>
      <c r="E5" s="19">
        <f>SUMIF(Valorizacion!C:C,A5,Valorizacion!J:J)</f>
        <v/>
      </c>
      <c r="F5" s="20">
        <f>IF(C5=0,0,E5/C5)</f>
        <v/>
      </c>
    </row>
    <row r="6">
      <c r="A6" s="18" t="inlineStr">
        <is>
          <t>Construcción</t>
        </is>
      </c>
      <c r="B6" s="18">
        <f>COUNTIF(Valorizacion!C:C,A6)</f>
        <v/>
      </c>
      <c r="C6" s="19">
        <f>SUMIF(Valorizacion!C:C,A6,Valorizacion!H:H)</f>
        <v/>
      </c>
      <c r="D6" s="19">
        <f>SUMIF(Valorizacion!C:C,A6,Valorizacion!I:I)</f>
        <v/>
      </c>
      <c r="E6" s="19">
        <f>SUMIF(Valorizacion!C:C,A6,Valorizacion!J:J)</f>
        <v/>
      </c>
      <c r="F6" s="20">
        <f>IF(C6=0,0,E6/C6)</f>
        <v/>
      </c>
    </row>
    <row r="7">
      <c r="A7" s="18" t="inlineStr">
        <is>
          <t>Eléctrica</t>
        </is>
      </c>
      <c r="B7" s="18">
        <f>COUNTIF(Valorizacion!C:C,A7)</f>
        <v/>
      </c>
      <c r="C7" s="19">
        <f>SUMIF(Valorizacion!C:C,A7,Valorizacion!H:H)</f>
        <v/>
      </c>
      <c r="D7" s="19">
        <f>SUMIF(Valorizacion!C:C,A7,Valorizacion!I:I)</f>
        <v/>
      </c>
      <c r="E7" s="19">
        <f>SUMIF(Valorizacion!C:C,A7,Valorizacion!J:J)</f>
        <v/>
      </c>
      <c r="F7" s="20">
        <f>IF(C7=0,0,E7/C7)</f>
        <v/>
      </c>
    </row>
    <row r="8">
      <c r="A8" s="18" t="inlineStr">
        <is>
          <t>Manual</t>
        </is>
      </c>
      <c r="B8" s="18">
        <f>COUNTIF(Valorizacion!C:C,A8)</f>
        <v/>
      </c>
      <c r="C8" s="19">
        <f>SUMIF(Valorizacion!C:C,A8,Valorizacion!H:H)</f>
        <v/>
      </c>
      <c r="D8" s="19">
        <f>SUMIF(Valorizacion!C:C,A8,Valorizacion!I:I)</f>
        <v/>
      </c>
      <c r="E8" s="19">
        <f>SUMIF(Valorizacion!C:C,A8,Valorizacion!J:J)</f>
        <v/>
      </c>
      <c r="F8" s="20">
        <f>IF(C8=0,0,E8/C8)</f>
        <v/>
      </c>
    </row>
    <row r="9">
      <c r="A9" s="15" t="inlineStr">
        <is>
          <t>Total</t>
        </is>
      </c>
      <c r="B9" s="15">
        <f>SUM(B5:B8)</f>
        <v/>
      </c>
      <c r="C9" s="16">
        <f>SUM(C5:C8)</f>
        <v/>
      </c>
      <c r="D9" s="16">
        <f>SUM(D5:D8)</f>
        <v/>
      </c>
      <c r="E9" s="16">
        <f>SUM(E5:E8)</f>
        <v/>
      </c>
      <c r="F9" s="17">
        <f>IF(C9=0,0,E9/C9)</f>
        <v/>
      </c>
    </row>
    <row r="28">
      <c r="A28" s="21" t="inlineStr">
        <is>
          <t>Cómo se calcula</t>
        </is>
      </c>
    </row>
    <row r="29" ht="18" customHeight="1">
      <c r="A29" s="22" t="inlineStr">
        <is>
          <t>Valor de reposición: precio vigente de un equipo equivalente nuevo, en retail de Chile, con IVA, cotizado en octubre de 2026.</t>
        </is>
      </c>
    </row>
    <row r="30" ht="18" customHeight="1">
      <c r="A30" s="22" t="inlineStr">
        <is>
          <t>Estado: porcentaje informado en el inventario. Se interpreta como la fracción del valor nuevo que el equipo todavía conserva.</t>
        </is>
      </c>
    </row>
    <row r="31" ht="18" customHeight="1">
      <c r="A31" s="22" t="inlineStr">
        <is>
          <t>Valor de mercado = valor de reposición × estado. Es lo que el equipo vale hoy, en la condición declarada.</t>
        </is>
      </c>
    </row>
    <row r="32" ht="18" customHeight="1">
      <c r="A32" s="22" t="inlineStr">
        <is>
          <t>Depreciación $ = valor de reposición − valor de mercado. Depreciación % = 1 − estado.</t>
        </is>
      </c>
    </row>
    <row r="33" ht="18" customHeight="1">
      <c r="A33" s="22" t="inlineStr">
        <is>
          <t>No se aplica una segunda depreciación por antigüedad. El estado ya recoge el desgaste. Una línea recta por años contradice, por ejemplo, el rotomartillo de 2024 que está al 90%.</t>
        </is>
      </c>
    </row>
    <row r="34" ht="18" customHeight="1">
      <c r="A34" s="22" t="inlineStr">
        <is>
          <t>Esto es un valor de mercado. No es la depreciación tributaria del SII ni el valor libro contable.</t>
        </is>
      </c>
    </row>
    <row r="35" ht="18" customHeight="1">
      <c r="A35" s="22" t="inlineStr">
        <is>
          <t>Donde el inventario no trae modelo, medida o potencia, se usa la referencia más habitual de obra y se marca la confianza como Baja o Media.</t>
        </is>
      </c>
    </row>
    <row r="36" ht="18" customHeight="1">
      <c r="A36" s="22" t="inlineStr">
        <is>
          <t>Las celdas amarillas de la hoja Valorizacion se pueden corregir. El valor de mercado y la depreciación se recalculan.</t>
        </is>
      </c>
    </row>
  </sheetData>
  <mergeCells count="10">
    <mergeCell ref="A2:F2"/>
    <mergeCell ref="A33:F33"/>
    <mergeCell ref="A36:F36"/>
    <mergeCell ref="A1:F1"/>
    <mergeCell ref="A32:F32"/>
    <mergeCell ref="A31:F31"/>
    <mergeCell ref="A34:F34"/>
    <mergeCell ref="A35:F35"/>
    <mergeCell ref="A30:F30"/>
    <mergeCell ref="A29:F29"/>
  </mergeCells>
  <pageMargins left="0.75" right="0.75" top="1" bottom="1" header="0.5" footer="0.5"/>
  <pageSetup orientation="landscape" paperSize="3" fitToHeight="1" fitToWidth="1"/>
  <headerFooter>
    <oddHeader/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48" customWidth="1" min="4" max="4"/>
    <col width="80" customWidth="1" min="5" max="5"/>
  </cols>
  <sheetData>
    <row r="1">
      <c r="A1" s="1" t="inlineStr">
        <is>
          <t>Referencia usada en cada ítem</t>
        </is>
      </c>
    </row>
    <row r="3">
      <c r="A3" s="23" t="inlineStr">
        <is>
          <t>N°</t>
        </is>
      </c>
      <c r="B3" s="23" t="inlineStr">
        <is>
          <t>Herramienta</t>
        </is>
      </c>
      <c r="C3" s="23" t="inlineStr">
        <is>
          <t>Confianza</t>
        </is>
      </c>
      <c r="D3" s="23" t="inlineStr">
        <is>
          <t>Referencia</t>
        </is>
      </c>
      <c r="E3" s="23" t="inlineStr">
        <is>
          <t>Fuente y comentario</t>
        </is>
      </c>
    </row>
    <row r="4" ht="32" customHeight="1">
      <c r="A4" s="11" t="n">
        <v>1</v>
      </c>
      <c r="B4" s="11" t="inlineStr">
        <is>
          <t>Soplete con manguera MAPP</t>
        </is>
      </c>
      <c r="C4" s="11" t="inlineStr">
        <is>
          <t>Media</t>
        </is>
      </c>
      <c r="D4" s="11" t="inlineStr">
        <is>
          <t>Kit soplete MAPP con autoencendido y manguera</t>
        </is>
      </c>
      <c r="E4" s="11" t="inlineStr">
        <is>
          <t>Sodimac, kit vigente $37.090 (precio tachado $92.725, no se usa)</t>
        </is>
      </c>
    </row>
    <row r="5" ht="32" customHeight="1">
      <c r="A5" s="11" t="n">
        <v>2</v>
      </c>
      <c r="B5" s="11" t="inlineStr">
        <is>
          <t>Sierra sable Bosch</t>
        </is>
      </c>
      <c r="C5" s="11" t="inlineStr">
        <is>
          <t>Media</t>
        </is>
      </c>
      <c r="D5" s="11" t="inlineStr">
        <is>
          <t>Bosch GSA 1100 E, 1100 W, con cable</t>
        </is>
      </c>
      <c r="E5" s="11" t="inlineStr">
        <is>
          <t>Flexar $164.212 IVA incl. Kit inalámbrico en Sodimac $279.990</t>
        </is>
      </c>
    </row>
    <row r="6" ht="32" customHeight="1">
      <c r="A6" s="11" t="n">
        <v>3</v>
      </c>
      <c r="B6" s="11" t="inlineStr">
        <is>
          <t>Taladro inalámbrico DeWalt</t>
        </is>
      </c>
      <c r="C6" s="11" t="inlineStr">
        <is>
          <t>Media</t>
        </is>
      </c>
      <c r="D6" s="11" t="inlineStr">
        <is>
          <t>DeWalt 20 V, 2 baterías y maleta</t>
        </is>
      </c>
      <c r="E6" s="11" t="inlineStr">
        <is>
          <t>Sodimac $189.990. Kits 20 V en oferta entre $125.000 y $240.000</t>
        </is>
      </c>
    </row>
    <row r="7" ht="32" customHeight="1">
      <c r="A7" s="11" t="n">
        <v>4</v>
      </c>
      <c r="B7" s="11" t="inlineStr">
        <is>
          <t>Taladro inalámbrico DeWalt</t>
        </is>
      </c>
      <c r="C7" s="11" t="inlineStr">
        <is>
          <t>Media</t>
        </is>
      </c>
      <c r="D7" s="11" t="inlineStr">
        <is>
          <t>DeWalt 20 V, 2 baterías y maleta</t>
        </is>
      </c>
      <c r="E7" s="11" t="inlineStr">
        <is>
          <t>Misma referencia que la fila 3</t>
        </is>
      </c>
    </row>
    <row r="8" ht="32" customHeight="1">
      <c r="A8" s="11" t="n">
        <v>5</v>
      </c>
      <c r="B8" s="11" t="inlineStr">
        <is>
          <t>Rotomartillo Bosch</t>
        </is>
      </c>
      <c r="C8" s="11" t="inlineStr">
        <is>
          <t>Alta</t>
        </is>
      </c>
      <c r="D8" s="11" t="inlineStr">
        <is>
          <t>Bosch GBH 2-24 D, 820 W, SDS-plus</t>
        </is>
      </c>
      <c r="E8" s="11" t="inlineStr">
        <is>
          <t>Sodimac GBH 2-24 D + mandril $169.990</t>
        </is>
      </c>
    </row>
    <row r="9" ht="32" customHeight="1">
      <c r="A9" s="11" t="n">
        <v>6</v>
      </c>
      <c r="B9" s="11" t="inlineStr">
        <is>
          <t>Rotomartillo Bosch</t>
        </is>
      </c>
      <c r="C9" s="11" t="inlineStr">
        <is>
          <t>Alta</t>
        </is>
      </c>
      <c r="D9" s="11" t="inlineStr">
        <is>
          <t>Bosch GBH 2-24 D, 820 W, SDS-plus</t>
        </is>
      </c>
      <c r="E9" s="11" t="inlineStr">
        <is>
          <t>Misma referencia que la fila 5</t>
        </is>
      </c>
    </row>
    <row r="10" ht="32" customHeight="1">
      <c r="A10" s="11" t="n">
        <v>7</v>
      </c>
      <c r="B10" s="11" t="inlineStr">
        <is>
          <t>Escalera de aluminio</t>
        </is>
      </c>
      <c r="C10" s="11" t="inlineStr">
        <is>
          <t>Baja</t>
        </is>
      </c>
      <c r="D10" s="11" t="inlineStr">
        <is>
          <t>Tijera de aluminio, 6 peldaños</t>
        </is>
      </c>
      <c r="E10" s="11" t="inlineStr">
        <is>
          <t>Sodimac $49.990. La altura no está en el inventario</t>
        </is>
      </c>
    </row>
    <row r="11" ht="32" customHeight="1">
      <c r="A11" s="11" t="n">
        <v>8</v>
      </c>
      <c r="B11" s="11" t="inlineStr">
        <is>
          <t>Escalera de aluminio</t>
        </is>
      </c>
      <c r="C11" s="11" t="inlineStr">
        <is>
          <t>Baja</t>
        </is>
      </c>
      <c r="D11" s="11" t="inlineStr">
        <is>
          <t>Tijera de aluminio, 6 peldaños</t>
        </is>
      </c>
      <c r="E11" s="11" t="inlineStr">
        <is>
          <t>Misma referencia que la fila 7</t>
        </is>
      </c>
    </row>
    <row r="12" ht="32" customHeight="1">
      <c r="A12" s="11" t="n">
        <v>9</v>
      </c>
      <c r="B12" s="11" t="inlineStr">
        <is>
          <t>Esmeril angular DeWalt</t>
        </is>
      </c>
      <c r="C12" s="11" t="inlineStr">
        <is>
          <t>Media</t>
        </is>
      </c>
      <c r="D12" s="11" t="inlineStr">
        <is>
          <t>DeWalt DWE4120, 4-1/2 pulg., 900 W, con cable</t>
        </is>
      </c>
      <c r="E12" s="11" t="inlineStr">
        <is>
          <t>SBD Chile $119.990. Un DWE4020 de 800 W ronda $72.000 a $82.000</t>
        </is>
      </c>
    </row>
    <row r="13" ht="32" customHeight="1">
      <c r="A13" s="11" t="n">
        <v>10</v>
      </c>
      <c r="B13" s="11" t="inlineStr">
        <is>
          <t>Pistola calafatera</t>
        </is>
      </c>
      <c r="C13" s="11" t="inlineStr">
        <is>
          <t>Alta</t>
        </is>
      </c>
      <c r="D13" s="11" t="inlineStr">
        <is>
          <t>Profesional antigoteo</t>
        </is>
      </c>
      <c r="E13" s="11" t="inlineStr">
        <is>
          <t>Sodimac $8.990</t>
        </is>
      </c>
    </row>
    <row r="14" ht="32" customHeight="1">
      <c r="A14" s="11" t="n">
        <v>11</v>
      </c>
      <c r="B14" s="11" t="inlineStr">
        <is>
          <t>Multímetro digital UNI-T</t>
        </is>
      </c>
      <c r="C14" s="11" t="inlineStr">
        <is>
          <t>Media</t>
        </is>
      </c>
      <c r="D14" s="11" t="inlineStr">
        <is>
          <t>UNI-T UT33C+</t>
        </is>
      </c>
      <c r="E14" s="11" t="inlineStr">
        <is>
          <t>Molychile $17.990. El modelo no está indicado; un UT89X ronda $35.990</t>
        </is>
      </c>
    </row>
    <row r="15" ht="32" customHeight="1">
      <c r="A15" s="11" t="n">
        <v>12</v>
      </c>
      <c r="B15" s="11" t="inlineStr">
        <is>
          <t>Multímetro digital UNI-T</t>
        </is>
      </c>
      <c r="C15" s="11" t="inlineStr">
        <is>
          <t>Media</t>
        </is>
      </c>
      <c r="D15" s="11" t="inlineStr">
        <is>
          <t>UNI-T UT33C+</t>
        </is>
      </c>
      <c r="E15" s="11" t="inlineStr">
        <is>
          <t>Misma referencia que la fila 11</t>
        </is>
      </c>
    </row>
    <row r="16" ht="32" customHeight="1">
      <c r="A16" s="11" t="n">
        <v>13</v>
      </c>
      <c r="B16" s="11" t="inlineStr">
        <is>
          <t>Alicate universal</t>
        </is>
      </c>
      <c r="C16" s="11" t="inlineStr">
        <is>
          <t>Media</t>
        </is>
      </c>
      <c r="D16" s="11" t="inlineStr">
        <is>
          <t>Universal 8 pulg., línea Total</t>
        </is>
      </c>
      <c r="E16" s="11" t="inlineStr">
        <is>
          <t>Geoconstructor $6.990</t>
        </is>
      </c>
    </row>
    <row r="17" ht="32" customHeight="1">
      <c r="A17" s="11" t="n">
        <v>14</v>
      </c>
      <c r="B17" s="11" t="inlineStr">
        <is>
          <t>Alicate de punta</t>
        </is>
      </c>
      <c r="C17" s="11" t="inlineStr">
        <is>
          <t>Baja</t>
        </is>
      </c>
      <c r="D17" s="11" t="inlineStr">
        <is>
          <t>Punta 6 a 8 pulg., línea Total/Ingco</t>
        </is>
      </c>
      <c r="E17" s="11" t="inlineStr">
        <is>
          <t>Estimado en el rango $5.990 a $7.990. Modelo no indicado</t>
        </is>
      </c>
    </row>
    <row r="18" ht="32" customHeight="1">
      <c r="A18" s="11" t="n">
        <v>15</v>
      </c>
      <c r="B18" s="11" t="inlineStr">
        <is>
          <t>Alicate cortante</t>
        </is>
      </c>
      <c r="C18" s="11" t="inlineStr">
        <is>
          <t>Media</t>
        </is>
      </c>
      <c r="D18" s="11" t="inlineStr">
        <is>
          <t>Cortante 6 pulg., Total</t>
        </is>
      </c>
      <c r="E18" s="11" t="inlineStr">
        <is>
          <t>Ferroelectronic $5.990</t>
        </is>
      </c>
    </row>
    <row r="19" ht="32" customHeight="1">
      <c r="A19" s="11" t="n">
        <v>16</v>
      </c>
      <c r="B19" s="11" t="inlineStr">
        <is>
          <t>Alicate cortante</t>
        </is>
      </c>
      <c r="C19" s="11" t="inlineStr">
        <is>
          <t>Media</t>
        </is>
      </c>
      <c r="D19" s="11" t="inlineStr">
        <is>
          <t>Cortante 6 pulg., Total</t>
        </is>
      </c>
      <c r="E19" s="11" t="inlineStr">
        <is>
          <t>Misma referencia que la fila 15</t>
        </is>
      </c>
    </row>
    <row r="20" ht="32" customHeight="1">
      <c r="A20" s="11" t="n">
        <v>17</v>
      </c>
      <c r="B20" s="11" t="inlineStr">
        <is>
          <t>Atornillador cruz</t>
        </is>
      </c>
      <c r="C20" s="11" t="inlineStr">
        <is>
          <t>Baja</t>
        </is>
      </c>
      <c r="D20" s="11" t="inlineStr">
        <is>
          <t>Destornillador Phillips individual</t>
        </is>
      </c>
      <c r="E20" s="11" t="inlineStr">
        <is>
          <t>Estimado de ferretería, rango habitual $2.000 a $4.000</t>
        </is>
      </c>
    </row>
    <row r="21" ht="32" customHeight="1">
      <c r="A21" s="11" t="n">
        <v>18</v>
      </c>
      <c r="B21" s="11" t="inlineStr">
        <is>
          <t>Atornillador cruz</t>
        </is>
      </c>
      <c r="C21" s="11" t="inlineStr">
        <is>
          <t>Baja</t>
        </is>
      </c>
      <c r="D21" s="11" t="inlineStr">
        <is>
          <t>Destornillador Phillips individual</t>
        </is>
      </c>
      <c r="E21" s="11" t="inlineStr">
        <is>
          <t>Misma referencia que la fila 17</t>
        </is>
      </c>
    </row>
    <row r="22" ht="32" customHeight="1">
      <c r="A22" s="11" t="n">
        <v>19</v>
      </c>
      <c r="B22" s="11" t="inlineStr">
        <is>
          <t>Atornillador paleta</t>
        </is>
      </c>
      <c r="C22" s="11" t="inlineStr">
        <is>
          <t>Baja</t>
        </is>
      </c>
      <c r="D22" s="11" t="inlineStr">
        <is>
          <t>Destornillador plano individual</t>
        </is>
      </c>
      <c r="E22" s="11" t="inlineStr">
        <is>
          <t>Estimado de ferretería, rango habitual $2.000 a $4.000</t>
        </is>
      </c>
    </row>
    <row r="23" ht="32" customHeight="1">
      <c r="A23" s="11" t="n">
        <v>20</v>
      </c>
      <c r="B23" s="11" t="inlineStr">
        <is>
          <t>Atornillador paleta</t>
        </is>
      </c>
      <c r="C23" s="11" t="inlineStr">
        <is>
          <t>Baja</t>
        </is>
      </c>
      <c r="D23" s="11" t="inlineStr">
        <is>
          <t>Destornillador plano individual</t>
        </is>
      </c>
      <c r="E23" s="11" t="inlineStr">
        <is>
          <t>Misma referencia que la fila 19</t>
        </is>
      </c>
    </row>
    <row r="24" ht="32" customHeight="1">
      <c r="A24" s="11" t="n">
        <v>21</v>
      </c>
      <c r="B24" s="11" t="inlineStr">
        <is>
          <t>Etiquetadora Brother</t>
        </is>
      </c>
      <c r="C24" s="11" t="inlineStr">
        <is>
          <t>Baja</t>
        </is>
      </c>
      <c r="D24" s="11" t="inlineStr">
        <is>
          <t>Brother P-touch PT-D210</t>
        </is>
      </c>
      <c r="E24" s="11" t="inlineStr">
        <is>
          <t>Store Brother $41.990. Una PT-E industrial supera $150.000</t>
        </is>
      </c>
    </row>
    <row r="25" ht="32" customHeight="1">
      <c r="A25" s="11" t="n">
        <v>22</v>
      </c>
      <c r="B25" s="11" t="inlineStr">
        <is>
          <t>Atornillador perillero</t>
        </is>
      </c>
      <c r="C25" s="11" t="inlineStr">
        <is>
          <t>Baja</t>
        </is>
      </c>
      <c r="D25" s="11" t="inlineStr">
        <is>
          <t>Destornillador perillero</t>
        </is>
      </c>
      <c r="E25" s="11" t="inlineStr">
        <is>
          <t>Estimado de ferretería, rango habitual $3.000 a $6.000</t>
        </is>
      </c>
    </row>
    <row r="26" ht="32" customHeight="1">
      <c r="A26" s="11" t="n">
        <v>23</v>
      </c>
      <c r="B26" s="11" t="inlineStr">
        <is>
          <t>Atornillador perillero</t>
        </is>
      </c>
      <c r="C26" s="11" t="inlineStr">
        <is>
          <t>Baja</t>
        </is>
      </c>
      <c r="D26" s="11" t="inlineStr">
        <is>
          <t>Destornillador perillero</t>
        </is>
      </c>
      <c r="E26" s="11" t="inlineStr">
        <is>
          <t>Misma referencia que la fila 22</t>
        </is>
      </c>
    </row>
    <row r="27" ht="32" customHeight="1">
      <c r="A27" s="11" t="n">
        <v>24</v>
      </c>
      <c r="B27" s="11" t="inlineStr">
        <is>
          <t>Tester de cable de red RJ45</t>
        </is>
      </c>
      <c r="C27" s="11" t="inlineStr">
        <is>
          <t>Media</t>
        </is>
      </c>
      <c r="D27" s="11" t="inlineStr">
        <is>
          <t>Tester de continuidad RJ45/RJ11</t>
        </is>
      </c>
      <c r="E27" s="11" t="inlineStr">
        <is>
          <t>Cinet Onten OTN-E921 $8.300, redondeado a $8.990</t>
        </is>
      </c>
    </row>
    <row r="28" ht="32" customHeight="1">
      <c r="A28" s="11" t="n">
        <v>25</v>
      </c>
      <c r="B28" s="11" t="inlineStr">
        <is>
          <t>Cautín 60 W</t>
        </is>
      </c>
      <c r="C28" s="11" t="inlineStr">
        <is>
          <t>Alta</t>
        </is>
      </c>
      <c r="D28" s="11" t="inlineStr">
        <is>
          <t>Cautín 60 W con ajuste de temperatura</t>
        </is>
      </c>
      <c r="E28" s="11" t="inlineStr">
        <is>
          <t>Global Electrónica 60ADJ $8.990</t>
        </is>
      </c>
    </row>
    <row r="29" ht="32" customHeight="1">
      <c r="A29" s="11" t="n">
        <v>26</v>
      </c>
      <c r="B29" s="11" t="inlineStr">
        <is>
          <t>Cautín 60 W</t>
        </is>
      </c>
      <c r="C29" s="11" t="inlineStr">
        <is>
          <t>Alta</t>
        </is>
      </c>
      <c r="D29" s="11" t="inlineStr">
        <is>
          <t>Cautín 60 W con ajuste de temperatura</t>
        </is>
      </c>
      <c r="E29" s="11" t="inlineStr">
        <is>
          <t>Misma referencia que la fila 25</t>
        </is>
      </c>
    </row>
    <row r="30" ht="32" customHeight="1">
      <c r="A30" s="11" t="n">
        <v>27</v>
      </c>
      <c r="B30" s="11" t="inlineStr">
        <is>
          <t>Termofusionadora PPR D20 a D63</t>
        </is>
      </c>
      <c r="C30" s="11" t="inlineStr">
        <is>
          <t>Media</t>
        </is>
      </c>
      <c r="D30" s="11" t="inlineStr">
        <is>
          <t>Digital 20-63 mm, 800 a 1000 W</t>
        </is>
      </c>
      <c r="E30" s="11" t="inlineStr">
        <is>
          <t>Sodimac Hoffens $76.850. Canale 1000 W $85.000</t>
        </is>
      </c>
    </row>
    <row r="31" ht="32" customHeight="1">
      <c r="A31" s="11" t="n">
        <v>28</v>
      </c>
      <c r="B31" s="11" t="inlineStr">
        <is>
          <t>Termofusionadora PPR D75 a D110</t>
        </is>
      </c>
      <c r="C31" s="11" t="inlineStr">
        <is>
          <t>Media</t>
        </is>
      </c>
      <c r="D31" s="11" t="inlineStr">
        <is>
          <t>Digital portátil 75-110 mm</t>
        </is>
      </c>
      <c r="E31" s="11" t="inlineStr">
        <is>
          <t>IMPUS $160.531. Tehmco $116.102. No es bancada hidráulica</t>
        </is>
      </c>
    </row>
    <row r="32" ht="32" customHeight="1">
      <c r="A32" s="11" t="n">
        <v>29</v>
      </c>
      <c r="B32" s="11" t="inlineStr">
        <is>
          <t>Soldadora HYM 160 A</t>
        </is>
      </c>
      <c r="C32" s="11" t="inlineStr">
        <is>
          <t>Alta</t>
        </is>
      </c>
      <c r="D32" s="11" t="inlineStr">
        <is>
          <t>Hyundai inverter HYMMA-160</t>
        </is>
      </c>
      <c r="E32" s="11" t="inlineStr">
        <is>
          <t>Herramientas Chile $204.790. Ferramak $229.990</t>
        </is>
      </c>
    </row>
    <row r="33" ht="32" customHeight="1">
      <c r="A33" s="11" t="n">
        <v>30</v>
      </c>
      <c r="B33" s="11" t="inlineStr">
        <is>
          <t>Careta de soldador</t>
        </is>
      </c>
      <c r="C33" s="11" t="inlineStr">
        <is>
          <t>Baja</t>
        </is>
      </c>
      <c r="D33" s="11" t="inlineStr">
        <is>
          <t>Careta fotosensible de entrada</t>
        </is>
      </c>
      <c r="E33" s="11" t="inlineStr">
        <is>
          <t>Retail habitual $16.000 a $30.000. El tipo no está indicado</t>
        </is>
      </c>
    </row>
    <row r="34" ht="32" customHeight="1">
      <c r="A34" s="11" t="n">
        <v>31</v>
      </c>
      <c r="B34" s="11" t="inlineStr">
        <is>
          <t>Bomba sumergible</t>
        </is>
      </c>
      <c r="C34" s="11" t="inlineStr">
        <is>
          <t>Baja</t>
        </is>
      </c>
      <c r="D34" s="11" t="inlineStr">
        <is>
          <t>1 HP para agua sucia</t>
        </is>
      </c>
      <c r="E34" s="11" t="inlineStr">
        <is>
          <t>Sodimac Bercatti $112.990. La potencia no está indicada</t>
        </is>
      </c>
    </row>
    <row r="35" ht="32" customHeight="1">
      <c r="A35" s="11" t="n">
        <v>32</v>
      </c>
      <c r="B35" s="11" t="inlineStr">
        <is>
          <t>Toldo impermeable</t>
        </is>
      </c>
      <c r="C35" s="11" t="inlineStr">
        <is>
          <t>Baja</t>
        </is>
      </c>
      <c r="D35" s="11" t="inlineStr">
        <is>
          <t>Plegable 3x3 m</t>
        </is>
      </c>
      <c r="E35" s="11" t="inlineStr">
        <is>
          <t>Sodimac $39.990. La medida no está indicada</t>
        </is>
      </c>
    </row>
    <row r="36" ht="32" customHeight="1">
      <c r="A36" s="11" t="n">
        <v>33</v>
      </c>
      <c r="B36" s="11" t="inlineStr">
        <is>
          <t>Llave stilson 18"</t>
        </is>
      </c>
      <c r="C36" s="11" t="inlineStr">
        <is>
          <t>Alta</t>
        </is>
      </c>
      <c r="D36" s="11" t="inlineStr">
        <is>
          <t>Stilson 18"</t>
        </is>
      </c>
      <c r="E36" s="11" t="inlineStr">
        <is>
          <t>Ferroelectronic $15.990. Ingco entre $13.491 y $23.199</t>
        </is>
      </c>
    </row>
    <row r="37" ht="32" customHeight="1">
      <c r="A37" s="11" t="n">
        <v>34</v>
      </c>
      <c r="B37" s="11" t="inlineStr">
        <is>
          <t>Llave stilson 36"</t>
        </is>
      </c>
      <c r="C37" s="11" t="inlineStr">
        <is>
          <t>Media</t>
        </is>
      </c>
      <c r="D37" s="11" t="inlineStr">
        <is>
          <t>Stilson 36", Ingco HPW0836</t>
        </is>
      </c>
      <c r="E37" s="11" t="inlineStr">
        <is>
          <t>Publicado entre $42.990 y $58.499. Se usa el punto medio</t>
        </is>
      </c>
    </row>
    <row r="38" ht="32" customHeight="1">
      <c r="A38" s="11" t="n">
        <v>35</v>
      </c>
      <c r="B38" s="11" t="inlineStr">
        <is>
          <t>Llave francesa 12"</t>
        </is>
      </c>
      <c r="C38" s="11" t="inlineStr">
        <is>
          <t>Alta</t>
        </is>
      </c>
      <c r="D38" s="11" t="inlineStr">
        <is>
          <t>Francesa de acero 12"</t>
        </is>
      </c>
      <c r="E38" s="11" t="inlineStr">
        <is>
          <t>Sodimac $14.990</t>
        </is>
      </c>
    </row>
    <row r="39" ht="32" customHeight="1">
      <c r="A39" s="11" t="n">
        <v>36</v>
      </c>
      <c r="B39" s="11" t="inlineStr">
        <is>
          <t>Odómetro de rueda</t>
        </is>
      </c>
      <c r="C39" s="11" t="inlineStr">
        <is>
          <t>Media</t>
        </is>
      </c>
      <c r="D39" s="11" t="inlineStr">
        <is>
          <t>Rueda analógica</t>
        </is>
      </c>
      <c r="E39" s="11" t="inlineStr">
        <is>
          <t>Crownman $16.990</t>
        </is>
      </c>
    </row>
  </sheetData>
  <autoFilter ref="A3:E39"/>
  <mergeCells count="1">
    <mergeCell ref="A1:E1"/>
  </mergeCells>
  <pageMargins left="0.4" right="0.4" top="1" bottom="1" header="0.5" footer="0.5"/>
  <pageSetup orientation="landscape" paperSize="3" fitToHeight="1" fitToWidth="1"/>
  <headerFooter>
    <oddHeader/>
    <oddFooter>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2026-10-20T02:13:55Z</dcterms:created>
  <dcterms:modified xmlns:dcterms="http://purl.org/dc/terms/" xmlns:xsi="http://www.w3.org/2001/XMLSchema-instance" xsi:type="dcterms:W3CDTF">2026-10-20T02:13:55Z</dcterms:modified>
</cp:coreProperties>
</file>