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CLP" sheetId="1" state="visible" r:id="rId1"/>
    <sheet xmlns:r="http://schemas.openxmlformats.org/officeDocument/2006/relationships" name="Resumen Ejecutivo" sheetId="2" state="visible" r:id="rId2"/>
    <sheet xmlns:r="http://schemas.openxmlformats.org/officeDocument/2006/relationships" name="Detalle por Punto" sheetId="3" state="visible" r:id="rId3"/>
    <sheet xmlns:r="http://schemas.openxmlformats.org/officeDocument/2006/relationships" name="Ranking Ahorro Anual" sheetId="4" state="visible" r:id="rId4"/>
    <sheet xmlns:r="http://schemas.openxmlformats.org/officeDocument/2006/relationships" name="Grafico Barr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Ahorro anual 2025 por colegio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 Barras'!B1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 Barras'!$A$2:$A$12</f>
            </numRef>
          </cat>
          <val>
            <numRef>
              <f>'Grafico Barras'!$B$2:$B$12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Colegio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m3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</cols>
  <sheetData>
    <row r="1">
      <c r="A1" s="2" t="inlineStr">
        <is>
          <t>Tarifa conservadora (CLP/m3)</t>
        </is>
      </c>
      <c r="B1" t="n">
        <v>1104.484126984127</v>
      </c>
    </row>
    <row r="2">
      <c r="A2" s="2" t="inlineStr">
        <is>
          <t>Tarifa base (CLP/m3)</t>
        </is>
      </c>
      <c r="B2" t="n">
        <v>1299.393090569561</v>
      </c>
    </row>
    <row r="3">
      <c r="A3" s="2" t="inlineStr">
        <is>
          <t>Tarifa alta (CLP/m3)</t>
        </is>
      </c>
      <c r="B3" t="n">
        <v>1494.302054154995</v>
      </c>
    </row>
    <row r="4">
      <c r="A4" s="2" t="inlineStr">
        <is>
          <t>Ahorro mensual total (m3)</t>
        </is>
      </c>
      <c r="B4" t="n">
        <v>12410</v>
      </c>
    </row>
    <row r="5">
      <c r="A5" s="2" t="inlineStr">
        <is>
          <t>Ahorro anual total 2025 (m3)</t>
        </is>
      </c>
      <c r="B5" t="n">
        <v>148920</v>
      </c>
    </row>
    <row r="6">
      <c r="A6" s="2" t="inlineStr">
        <is>
          <t>Ahorro mensual conservador (CLP)</t>
        </is>
      </c>
      <c r="B6" t="n">
        <v>13706648.01587302</v>
      </c>
    </row>
    <row r="7">
      <c r="A7" s="2" t="inlineStr">
        <is>
          <t>Ahorro mensual base (CLP)</t>
        </is>
      </c>
      <c r="B7" t="n">
        <v>16125468.25396825</v>
      </c>
    </row>
    <row r="8">
      <c r="A8" s="2" t="inlineStr">
        <is>
          <t>Ahorro mensual alto (CLP)</t>
        </is>
      </c>
      <c r="B8" t="n">
        <v>18544288.49206349</v>
      </c>
    </row>
    <row r="9">
      <c r="A9" s="2" t="inlineStr">
        <is>
          <t>Ahorro anual conservador 2025 (CLP)</t>
        </is>
      </c>
      <c r="B9" t="n">
        <v>164479776.1904762</v>
      </c>
    </row>
    <row r="10">
      <c r="A10" s="2" t="inlineStr">
        <is>
          <t>Ahorro anual base 2025 (CLP)</t>
        </is>
      </c>
      <c r="B10" t="n">
        <v>193505619.047619</v>
      </c>
    </row>
    <row r="11">
      <c r="A11" s="2" t="inlineStr">
        <is>
          <t>Ahorro anual alto 2025 (CLP)</t>
        </is>
      </c>
      <c r="B11" t="n">
        <v>222531461.9047619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PROYECCION DE AHORRO PUENTE ALTO 2025</t>
        </is>
      </c>
    </row>
    <row r="3">
      <c r="A3" s="2" t="inlineStr">
        <is>
          <t>Puntos auditados</t>
        </is>
      </c>
      <c r="B3" t="n">
        <v>11</v>
      </c>
    </row>
    <row r="4">
      <c r="A4" s="2" t="inlineStr">
        <is>
          <t>Ahorro mensual total (m3)</t>
        </is>
      </c>
      <c r="B4" t="n">
        <v>12410</v>
      </c>
    </row>
    <row r="5">
      <c r="A5" s="2" t="inlineStr">
        <is>
          <t>Ahorro anual 2025 total (m3)</t>
        </is>
      </c>
      <c r="B5" t="n">
        <v>148920</v>
      </c>
    </row>
    <row r="6">
      <c r="A6" s="2" t="inlineStr">
        <is>
          <t>Proyeccion mensual sin WES (m3)</t>
        </is>
      </c>
      <c r="B6" t="n">
        <v>15150</v>
      </c>
    </row>
    <row r="7">
      <c r="A7" s="2" t="inlineStr">
        <is>
          <t>Proyeccion mensual con WES (m3)</t>
        </is>
      </c>
      <c r="B7" t="n">
        <v>2740</v>
      </c>
    </row>
    <row r="8">
      <c r="A8" s="2" t="inlineStr">
        <is>
          <t>Ahorro porcentual global (%)</t>
        </is>
      </c>
      <c r="B8" t="n">
        <v>81.91</v>
      </c>
    </row>
    <row r="11">
      <c r="A11" s="2" t="inlineStr">
        <is>
          <t>Top 5 mayor ahorro anual (m3)</t>
        </is>
      </c>
    </row>
    <row r="12">
      <c r="A12" s="3" t="inlineStr">
        <is>
          <t>Rank</t>
        </is>
      </c>
      <c r="B12" s="3" t="inlineStr">
        <is>
          <t>Punto</t>
        </is>
      </c>
      <c r="C12" s="3" t="inlineStr">
        <is>
          <t>Ahorro anual (m3)</t>
        </is>
      </c>
    </row>
    <row r="13">
      <c r="A13" t="n">
        <v>2</v>
      </c>
      <c r="B13" t="inlineStr">
        <is>
          <t>LICEO CHILOE</t>
        </is>
      </c>
      <c r="C13" t="n">
        <v>21120</v>
      </c>
    </row>
    <row r="14">
      <c r="A14" t="n">
        <v>3</v>
      </c>
      <c r="B14" t="inlineStr">
        <is>
          <t>ESCUELA VILLA INDEPENDENCIA</t>
        </is>
      </c>
      <c r="C14" t="n">
        <v>13140</v>
      </c>
    </row>
    <row r="15">
      <c r="A15" t="n">
        <v>4</v>
      </c>
      <c r="B15" t="inlineStr">
        <is>
          <t>ESCUELA LOS ANDES</t>
        </is>
      </c>
      <c r="C15" t="n">
        <v>12960</v>
      </c>
    </row>
    <row r="16">
      <c r="A16" t="n">
        <v>5</v>
      </c>
      <c r="B16" t="inlineStr">
        <is>
          <t>ESCUELA GABRIELA</t>
        </is>
      </c>
      <c r="C16" t="n">
        <v>12060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4" customWidth="1" min="4" max="4"/>
    <col width="20" customWidth="1" min="5" max="5"/>
    <col width="20" customWidth="1" min="6" max="6"/>
    <col width="18" customWidth="1" min="7" max="7"/>
    <col width="20" customWidth="1" min="8" max="8"/>
    <col width="12" customWidth="1" min="9" max="9"/>
    <col width="16" customWidth="1" min="10" max="10"/>
    <col width="20" customWidth="1" min="11" max="11"/>
    <col width="18" customWidth="1" min="12" max="12"/>
    <col width="20" customWidth="1" min="13" max="13"/>
    <col width="18" customWidth="1" min="14" max="14"/>
    <col width="20" customWidth="1" min="15" max="15"/>
  </cols>
  <sheetData>
    <row r="1">
      <c r="A1" s="3" t="inlineStr">
        <is>
          <t>ID</t>
        </is>
      </c>
      <c r="B1" s="3" t="inlineStr">
        <is>
          <t>Punto</t>
        </is>
      </c>
      <c r="C1" s="3" t="inlineStr">
        <is>
          <t>Sin WES (m3/dia)</t>
        </is>
      </c>
      <c r="D1" s="3" t="inlineStr">
        <is>
          <t>Con WES (m3/dia)</t>
        </is>
      </c>
      <c r="E1" s="3" t="inlineStr">
        <is>
          <t>Proy. mes sin WES (m3)</t>
        </is>
      </c>
      <c r="F1" s="3" t="inlineStr">
        <is>
          <t>Proy. mes con WES (m3)</t>
        </is>
      </c>
      <c r="G1" s="3" t="inlineStr">
        <is>
          <t>Ahorro mensual (m3)</t>
        </is>
      </c>
      <c r="H1" s="3" t="inlineStr">
        <is>
          <t>Ahorro anual 2025 (m3)</t>
        </is>
      </c>
      <c r="I1" s="3" t="inlineStr">
        <is>
          <t>Ahorro (%)</t>
        </is>
      </c>
      <c r="J1" s="3" t="inlineStr">
        <is>
          <t>Tarifa cons (CLP/m3)</t>
        </is>
      </c>
      <c r="K1" s="3" t="inlineStr">
        <is>
          <t>Ahorro mensual cons (CLP)</t>
        </is>
      </c>
      <c r="L1" s="3" t="inlineStr">
        <is>
          <t>Ahorro anual cons (CLP)</t>
        </is>
      </c>
      <c r="M1" s="3" t="inlineStr">
        <is>
          <t>Tarifa base (CLP/m3)</t>
        </is>
      </c>
      <c r="N1" s="3" t="inlineStr">
        <is>
          <t>Ahorro mensual base (CLP)</t>
        </is>
      </c>
      <c r="O1" s="3" t="inlineStr">
        <is>
          <t>Ahorro anual base (CLP)</t>
        </is>
      </c>
      <c r="P1" s="3" t="inlineStr">
        <is>
          <t>Tarifa alta (CLP/m3)</t>
        </is>
      </c>
      <c r="Q1" s="3" t="inlineStr">
        <is>
          <t>Ahorro mensual alta (CLP)</t>
        </is>
      </c>
      <c r="R1" s="3" t="inlineStr">
        <is>
          <t>Ahorro anual alta (CLP)</t>
        </is>
      </c>
    </row>
    <row r="2">
      <c r="A2" t="n">
        <v>1</v>
      </c>
      <c r="B2" t="inlineStr">
        <is>
          <t>ESCUELA VILLA INDEPENDENCIA</t>
        </is>
      </c>
      <c r="C2" t="n">
        <v>53</v>
      </c>
      <c r="D2" t="n">
        <v>36.5</v>
      </c>
      <c r="E2" t="n">
        <v>1590</v>
      </c>
      <c r="F2" t="n">
        <v>495</v>
      </c>
      <c r="G2" t="n">
        <v>1095</v>
      </c>
      <c r="H2" t="n">
        <v>13140</v>
      </c>
      <c r="I2" t="n">
        <v>31.13207547169811</v>
      </c>
      <c r="J2" t="n">
        <v>1104.484126984127</v>
      </c>
      <c r="K2" t="n">
        <v>1209410.119047619</v>
      </c>
      <c r="L2" t="n">
        <v>14512921.42857143</v>
      </c>
      <c r="M2" t="n">
        <v>1299.393090569561</v>
      </c>
      <c r="N2" t="n">
        <v>1422835.434173669</v>
      </c>
      <c r="O2" t="n">
        <v>17074025.21008403</v>
      </c>
      <c r="P2" t="n">
        <v>1494.302054154995</v>
      </c>
      <c r="Q2" t="n">
        <v>1636260.74929972</v>
      </c>
      <c r="R2" t="n">
        <v>19635128.99159664</v>
      </c>
    </row>
    <row r="3">
      <c r="A3" t="n">
        <v>2</v>
      </c>
      <c r="B3" t="inlineStr">
        <is>
          <t>ESCUELA ANDES DEL SUR</t>
        </is>
      </c>
      <c r="C3" t="n">
        <v>36.5</v>
      </c>
      <c r="D3" t="n">
        <v>33</v>
      </c>
      <c r="E3" t="n">
        <v>1095</v>
      </c>
      <c r="F3" t="n">
        <v>105</v>
      </c>
      <c r="G3" t="n">
        <v>990</v>
      </c>
      <c r="H3" t="n">
        <v>11880</v>
      </c>
      <c r="I3" t="n">
        <v>9.58904109589041</v>
      </c>
      <c r="J3" t="n">
        <v>1104.484126984127</v>
      </c>
      <c r="K3" t="n">
        <v>1093439.285714286</v>
      </c>
      <c r="L3" t="n">
        <v>13121271.42857143</v>
      </c>
      <c r="M3" t="n">
        <v>1299.393090569561</v>
      </c>
      <c r="N3" t="n">
        <v>1286399.159663866</v>
      </c>
      <c r="O3" t="n">
        <v>15436789.91596639</v>
      </c>
      <c r="P3" t="n">
        <v>1494.302054154995</v>
      </c>
      <c r="Q3" t="n">
        <v>1479359.033613445</v>
      </c>
      <c r="R3" t="n">
        <v>17752308.40336134</v>
      </c>
    </row>
    <row r="4">
      <c r="A4" t="n">
        <v>3</v>
      </c>
      <c r="B4" t="inlineStr">
        <is>
          <t>PDRE HURTADO</t>
        </is>
      </c>
      <c r="C4" t="n">
        <v>42</v>
      </c>
      <c r="D4" t="n">
        <v>28</v>
      </c>
      <c r="E4" t="n">
        <v>1260</v>
      </c>
      <c r="F4" t="n">
        <v>420</v>
      </c>
      <c r="G4" t="n">
        <v>840</v>
      </c>
      <c r="H4" t="n">
        <v>10080</v>
      </c>
      <c r="I4" t="n">
        <v>33.33333333333333</v>
      </c>
      <c r="J4" t="n">
        <v>1104.484126984127</v>
      </c>
      <c r="K4" t="n">
        <v>927766.6666666666</v>
      </c>
      <c r="L4" t="n">
        <v>11133200</v>
      </c>
      <c r="M4" t="n">
        <v>1299.393090569561</v>
      </c>
      <c r="N4" t="n">
        <v>1091490.196078431</v>
      </c>
      <c r="O4" t="n">
        <v>13097882.35294118</v>
      </c>
      <c r="P4" t="n">
        <v>1494.302054154995</v>
      </c>
      <c r="Q4" t="n">
        <v>1255213.725490196</v>
      </c>
      <c r="R4" t="n">
        <v>15062564.70588235</v>
      </c>
    </row>
    <row r="5">
      <c r="A5" t="n">
        <v>4</v>
      </c>
      <c r="B5" t="inlineStr">
        <is>
          <t>LICEO MAIPO</t>
        </is>
      </c>
      <c r="C5" t="n">
        <v>41</v>
      </c>
      <c r="D5" t="n">
        <v>29</v>
      </c>
      <c r="E5" t="n">
        <v>1230</v>
      </c>
      <c r="F5" t="n">
        <v>360</v>
      </c>
      <c r="G5" t="n">
        <v>870</v>
      </c>
      <c r="H5" t="n">
        <v>10440</v>
      </c>
      <c r="I5" t="n">
        <v>29.26829268292683</v>
      </c>
      <c r="J5" t="n">
        <v>1104.484126984127</v>
      </c>
      <c r="K5" t="n">
        <v>960901.1904761905</v>
      </c>
      <c r="L5" t="n">
        <v>11530814.28571429</v>
      </c>
      <c r="M5" t="n">
        <v>1299.393090569561</v>
      </c>
      <c r="N5" t="n">
        <v>1130471.988795518</v>
      </c>
      <c r="O5" t="n">
        <v>13565663.86554622</v>
      </c>
      <c r="P5" t="n">
        <v>1494.302054154995</v>
      </c>
      <c r="Q5" t="n">
        <v>1300042.787114846</v>
      </c>
      <c r="R5" t="n">
        <v>15600513.44537815</v>
      </c>
    </row>
    <row r="6">
      <c r="A6" t="n">
        <v>5</v>
      </c>
      <c r="B6" t="inlineStr">
        <is>
          <t>ESCUELA LUIS MATTE LARRAIN</t>
        </is>
      </c>
      <c r="C6" t="n">
        <v>19</v>
      </c>
      <c r="D6" t="n">
        <v>15.5</v>
      </c>
      <c r="E6" t="n">
        <v>570</v>
      </c>
      <c r="F6" t="n">
        <v>105</v>
      </c>
      <c r="G6" t="n">
        <v>465</v>
      </c>
      <c r="H6" t="n">
        <v>5580</v>
      </c>
      <c r="I6" t="n">
        <v>18.42105263157895</v>
      </c>
      <c r="J6" t="n">
        <v>1104.484126984127</v>
      </c>
      <c r="K6" t="n">
        <v>513585.1190476191</v>
      </c>
      <c r="L6" t="n">
        <v>6163021.428571428</v>
      </c>
      <c r="M6" t="n">
        <v>1299.393090569561</v>
      </c>
      <c r="N6" t="n">
        <v>604217.7871148459</v>
      </c>
      <c r="O6" t="n">
        <v>7250613.445378151</v>
      </c>
      <c r="P6" t="n">
        <v>1494.302054154995</v>
      </c>
      <c r="Q6" t="n">
        <v>694850.4551820727</v>
      </c>
      <c r="R6" t="n">
        <v>8338205.462184873</v>
      </c>
    </row>
    <row r="7">
      <c r="A7" t="n">
        <v>6</v>
      </c>
      <c r="B7" t="inlineStr">
        <is>
          <t>ESCUELA GABRIELA</t>
        </is>
      </c>
      <c r="C7" t="n">
        <v>42.5</v>
      </c>
      <c r="D7" t="n">
        <v>33.5</v>
      </c>
      <c r="E7" t="n">
        <v>1275</v>
      </c>
      <c r="F7" t="n">
        <v>270</v>
      </c>
      <c r="G7" t="n">
        <v>1005</v>
      </c>
      <c r="H7" t="n">
        <v>12060</v>
      </c>
      <c r="I7" t="n">
        <v>21.17647058823529</v>
      </c>
      <c r="J7" t="n">
        <v>1104.484126984127</v>
      </c>
      <c r="K7" t="n">
        <v>1110006.547619048</v>
      </c>
      <c r="L7" t="n">
        <v>13320078.57142857</v>
      </c>
      <c r="M7" t="n">
        <v>1299.393090569561</v>
      </c>
      <c r="N7" t="n">
        <v>1305890.056022409</v>
      </c>
      <c r="O7" t="n">
        <v>15670680.67226891</v>
      </c>
      <c r="P7" t="n">
        <v>1494.302054154995</v>
      </c>
      <c r="Q7" t="n">
        <v>1501773.56442577</v>
      </c>
      <c r="R7" t="n">
        <v>18021282.77310924</v>
      </c>
    </row>
    <row r="8">
      <c r="A8" t="n">
        <v>7</v>
      </c>
      <c r="B8" t="inlineStr">
        <is>
          <t>ESCUELA JUAN MACKENNA</t>
        </is>
      </c>
      <c r="C8" t="n">
        <v>35</v>
      </c>
      <c r="D8" t="n">
        <v>32</v>
      </c>
      <c r="E8" t="n">
        <v>1050</v>
      </c>
      <c r="F8" t="n">
        <v>90</v>
      </c>
      <c r="G8" t="n">
        <v>960</v>
      </c>
      <c r="H8" t="n">
        <v>11520</v>
      </c>
      <c r="I8" t="n">
        <v>8.571428571428571</v>
      </c>
      <c r="J8" t="n">
        <v>1104.484126984127</v>
      </c>
      <c r="K8" t="n">
        <v>1060304.761904762</v>
      </c>
      <c r="L8" t="n">
        <v>12723657.14285714</v>
      </c>
      <c r="M8" t="n">
        <v>1299.393090569561</v>
      </c>
      <c r="N8" t="n">
        <v>1247417.366946779</v>
      </c>
      <c r="O8" t="n">
        <v>14969008.40336134</v>
      </c>
      <c r="P8" t="n">
        <v>1494.302054154995</v>
      </c>
      <c r="Q8" t="n">
        <v>1434529.971988795</v>
      </c>
      <c r="R8" t="n">
        <v>17214359.66386554</v>
      </c>
    </row>
    <row r="9">
      <c r="A9" t="n">
        <v>8</v>
      </c>
      <c r="B9" t="inlineStr">
        <is>
          <t>LICEO CHILOE</t>
        </is>
      </c>
      <c r="C9" t="n">
        <v>62.5</v>
      </c>
      <c r="D9" t="n">
        <v>58.66666666666666</v>
      </c>
      <c r="E9" t="n">
        <v>1875</v>
      </c>
      <c r="F9" t="n">
        <v>115.0000000000001</v>
      </c>
      <c r="G9" t="n">
        <v>1760</v>
      </c>
      <c r="H9" t="n">
        <v>21120</v>
      </c>
      <c r="I9" t="n">
        <v>6.133333333333337</v>
      </c>
      <c r="J9" t="n">
        <v>1104.484126984127</v>
      </c>
      <c r="K9" t="n">
        <v>1943892.063492063</v>
      </c>
      <c r="L9" t="n">
        <v>23326704.76190476</v>
      </c>
      <c r="M9" t="n">
        <v>1299.393090569561</v>
      </c>
      <c r="N9" t="n">
        <v>2286931.839402427</v>
      </c>
      <c r="O9" t="n">
        <v>27443182.07282913</v>
      </c>
      <c r="P9" t="n">
        <v>1494.302054154995</v>
      </c>
      <c r="Q9" t="n">
        <v>2629971.615312791</v>
      </c>
      <c r="R9" t="n">
        <v>31559659.3837535</v>
      </c>
    </row>
    <row r="10">
      <c r="A10" t="n">
        <v>9</v>
      </c>
      <c r="B10" t="inlineStr">
        <is>
          <t>ESCUELA LOS ANDES</t>
        </is>
      </c>
      <c r="C10" t="n">
        <v>46</v>
      </c>
      <c r="D10" t="n">
        <v>36</v>
      </c>
      <c r="E10" t="n">
        <v>1380</v>
      </c>
      <c r="F10" t="n">
        <v>300</v>
      </c>
      <c r="G10" t="n">
        <v>1080</v>
      </c>
      <c r="H10" t="n">
        <v>12960</v>
      </c>
      <c r="I10" t="n">
        <v>21.73913043478261</v>
      </c>
      <c r="J10" t="n">
        <v>1104.484126984127</v>
      </c>
      <c r="K10" t="n">
        <v>1192842.857142857</v>
      </c>
      <c r="L10" t="n">
        <v>14314114.28571429</v>
      </c>
      <c r="M10" t="n">
        <v>1299.393090569561</v>
      </c>
      <c r="N10" t="n">
        <v>1403344.537815126</v>
      </c>
      <c r="O10" t="n">
        <v>16840134.45378151</v>
      </c>
      <c r="P10" t="n">
        <v>1494.302054154995</v>
      </c>
      <c r="Q10" t="n">
        <v>1613846.218487395</v>
      </c>
      <c r="R10" t="n">
        <v>19366154.62184874</v>
      </c>
    </row>
    <row r="11">
      <c r="A11" t="n">
        <v>10</v>
      </c>
      <c r="B11" t="inlineStr">
        <is>
          <t>COMPLEJO EDUCACIONAL CONSOLIDADA</t>
        </is>
      </c>
      <c r="C11" t="n">
        <v>107</v>
      </c>
      <c r="D11" t="n">
        <v>91.5</v>
      </c>
      <c r="E11" t="n">
        <v>3210</v>
      </c>
      <c r="F11" t="n">
        <v>465</v>
      </c>
      <c r="G11" t="n">
        <v>2745</v>
      </c>
      <c r="H11" t="n">
        <v>32940</v>
      </c>
      <c r="I11" t="n">
        <v>14.48598130841121</v>
      </c>
      <c r="J11" t="n">
        <v>1104.484126984127</v>
      </c>
      <c r="K11" t="n">
        <v>3031808.928571429</v>
      </c>
      <c r="L11" t="n">
        <v>36381707.14285714</v>
      </c>
      <c r="M11" t="n">
        <v>1299.393090569561</v>
      </c>
      <c r="N11" t="n">
        <v>3566834.033613445</v>
      </c>
      <c r="O11" t="n">
        <v>42802008.40336134</v>
      </c>
      <c r="P11" t="n">
        <v>1494.302054154995</v>
      </c>
      <c r="Q11" t="n">
        <v>4101859.138655462</v>
      </c>
      <c r="R11" t="n">
        <v>49222309.66386554</v>
      </c>
    </row>
    <row r="12">
      <c r="A12" t="n">
        <v>11</v>
      </c>
      <c r="B12" t="inlineStr">
        <is>
          <t>ESCULA NONATO COO</t>
        </is>
      </c>
      <c r="C12" t="n">
        <v>20.5</v>
      </c>
      <c r="D12" t="n">
        <v>20</v>
      </c>
      <c r="E12" t="n">
        <v>615</v>
      </c>
      <c r="F12" t="n">
        <v>15</v>
      </c>
      <c r="G12" t="n">
        <v>600</v>
      </c>
      <c r="H12" t="n">
        <v>7200</v>
      </c>
      <c r="I12" t="n">
        <v>2.439024390243902</v>
      </c>
      <c r="J12" t="n">
        <v>1104.484126984127</v>
      </c>
      <c r="K12" t="n">
        <v>662690.4761904762</v>
      </c>
      <c r="L12" t="n">
        <v>7952285.714285715</v>
      </c>
      <c r="M12" t="n">
        <v>1299.393090569561</v>
      </c>
      <c r="N12" t="n">
        <v>779635.8543417366</v>
      </c>
      <c r="O12" t="n">
        <v>9355630.25210084</v>
      </c>
      <c r="P12" t="n">
        <v>1494.302054154995</v>
      </c>
      <c r="Q12" t="n">
        <v>896581.2324929971</v>
      </c>
      <c r="R12" t="n">
        <v>10758974.78991597</v>
      </c>
    </row>
    <row r="13">
      <c r="A13" s="2" t="inlineStr">
        <is>
          <t>TOTAL</t>
        </is>
      </c>
      <c r="B13" s="2" t="inlineStr">
        <is>
          <t>SUMATORIA</t>
        </is>
      </c>
      <c r="E13" s="2">
        <f>SUM(E2:E12)</f>
        <v/>
      </c>
      <c r="F13" s="2">
        <f>SUM(F2:F12)</f>
        <v/>
      </c>
      <c r="G13" s="2">
        <f>SUM(G2:G12)</f>
        <v/>
      </c>
      <c r="H13" s="2">
        <f>SUM(H2:H12)</f>
        <v/>
      </c>
      <c r="K13" s="2">
        <f>SUM(K2:K12)</f>
        <v/>
      </c>
      <c r="L13" s="2">
        <f>SUM(L2:L12)</f>
        <v/>
      </c>
      <c r="N13" s="2">
        <f>SUM(N2:N12)</f>
        <v/>
      </c>
      <c r="O13" s="2">
        <f>SUM(O2:O12)</f>
        <v/>
      </c>
      <c r="Q13" s="2">
        <f>SUM(Q2:Q12)</f>
        <v/>
      </c>
      <c r="R13" s="2">
        <f>SUM(R2:R12)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24" customWidth="1" min="4" max="4"/>
    <col width="20" customWidth="1" min="5" max="5"/>
    <col width="12" customWidth="1" min="6" max="6"/>
  </cols>
  <sheetData>
    <row r="1">
      <c r="A1" s="4" t="inlineStr">
        <is>
          <t>Posicion</t>
        </is>
      </c>
      <c r="B1" s="4" t="inlineStr">
        <is>
          <t>ID</t>
        </is>
      </c>
      <c r="C1" s="4" t="inlineStr">
        <is>
          <t>Punto</t>
        </is>
      </c>
      <c r="D1" s="4" t="inlineStr">
        <is>
          <t>Ahorro anual 2025 (m3)</t>
        </is>
      </c>
      <c r="E1" s="4" t="inlineStr">
        <is>
          <t>Ahorro mensual (m3)</t>
        </is>
      </c>
      <c r="F1" s="4" t="inlineStr">
        <is>
          <t>Ahorro (%)</t>
        </is>
      </c>
    </row>
    <row r="2">
      <c r="A2" t="n">
        <v>1</v>
      </c>
      <c r="B2" t="n">
        <v>10</v>
      </c>
      <c r="C2" t="inlineStr">
        <is>
          <t>COMPLEJO EDUCACIONAL CONSOLIDADA</t>
        </is>
      </c>
      <c r="D2" t="n">
        <v>32940</v>
      </c>
      <c r="E2" t="n">
        <v>2745</v>
      </c>
      <c r="F2" t="n">
        <v>14.48598130841121</v>
      </c>
    </row>
    <row r="3">
      <c r="A3" t="n">
        <v>2</v>
      </c>
      <c r="B3" t="n">
        <v>8</v>
      </c>
      <c r="C3" t="inlineStr">
        <is>
          <t>LICEO CHILOE</t>
        </is>
      </c>
      <c r="D3" t="n">
        <v>21120</v>
      </c>
      <c r="E3" t="n">
        <v>1760</v>
      </c>
      <c r="F3" t="n">
        <v>6.133333333333337</v>
      </c>
    </row>
    <row r="4">
      <c r="A4" t="n">
        <v>3</v>
      </c>
      <c r="B4" t="n">
        <v>1</v>
      </c>
      <c r="C4" t="inlineStr">
        <is>
          <t>ESCUELA VILLA INDEPENDENCIA</t>
        </is>
      </c>
      <c r="D4" t="n">
        <v>13140</v>
      </c>
      <c r="E4" t="n">
        <v>1095</v>
      </c>
      <c r="F4" t="n">
        <v>31.13207547169811</v>
      </c>
    </row>
    <row r="5">
      <c r="A5" t="n">
        <v>4</v>
      </c>
      <c r="B5" t="n">
        <v>9</v>
      </c>
      <c r="C5" t="inlineStr">
        <is>
          <t>ESCUELA LOS ANDES</t>
        </is>
      </c>
      <c r="D5" t="n">
        <v>12960</v>
      </c>
      <c r="E5" t="n">
        <v>1080</v>
      </c>
      <c r="F5" t="n">
        <v>21.73913043478261</v>
      </c>
    </row>
    <row r="6">
      <c r="A6" t="n">
        <v>5</v>
      </c>
      <c r="B6" t="n">
        <v>6</v>
      </c>
      <c r="C6" t="inlineStr">
        <is>
          <t>ESCUELA GABRIELA</t>
        </is>
      </c>
      <c r="D6" t="n">
        <v>12060</v>
      </c>
      <c r="E6" t="n">
        <v>1005</v>
      </c>
      <c r="F6" t="n">
        <v>21.17647058823529</v>
      </c>
    </row>
    <row r="7">
      <c r="A7" t="n">
        <v>6</v>
      </c>
      <c r="B7" t="n">
        <v>2</v>
      </c>
      <c r="C7" t="inlineStr">
        <is>
          <t>ESCUELA ANDES DEL SUR</t>
        </is>
      </c>
      <c r="D7" t="n">
        <v>11880</v>
      </c>
      <c r="E7" t="n">
        <v>990</v>
      </c>
      <c r="F7" t="n">
        <v>9.58904109589041</v>
      </c>
    </row>
    <row r="8">
      <c r="A8" t="n">
        <v>7</v>
      </c>
      <c r="B8" t="n">
        <v>7</v>
      </c>
      <c r="C8" t="inlineStr">
        <is>
          <t>ESCUELA JUAN MACKENNA</t>
        </is>
      </c>
      <c r="D8" t="n">
        <v>11520</v>
      </c>
      <c r="E8" t="n">
        <v>960</v>
      </c>
      <c r="F8" t="n">
        <v>8.571428571428571</v>
      </c>
    </row>
    <row r="9">
      <c r="A9" t="n">
        <v>8</v>
      </c>
      <c r="B9" t="n">
        <v>4</v>
      </c>
      <c r="C9" t="inlineStr">
        <is>
          <t>LICEO MAIPO</t>
        </is>
      </c>
      <c r="D9" t="n">
        <v>10440</v>
      </c>
      <c r="E9" t="n">
        <v>870</v>
      </c>
      <c r="F9" t="n">
        <v>29.26829268292683</v>
      </c>
    </row>
    <row r="10">
      <c r="A10" t="n">
        <v>9</v>
      </c>
      <c r="B10" t="n">
        <v>3</v>
      </c>
      <c r="C10" t="inlineStr">
        <is>
          <t>PDRE HURTADO</t>
        </is>
      </c>
      <c r="D10" t="n">
        <v>10080</v>
      </c>
      <c r="E10" t="n">
        <v>840</v>
      </c>
      <c r="F10" t="n">
        <v>33.33333333333333</v>
      </c>
    </row>
    <row r="11">
      <c r="A11" t="n">
        <v>10</v>
      </c>
      <c r="B11" t="n">
        <v>11</v>
      </c>
      <c r="C11" t="inlineStr">
        <is>
          <t>ESCULA NONATO COO</t>
        </is>
      </c>
      <c r="D11" t="n">
        <v>7200</v>
      </c>
      <c r="E11" t="n">
        <v>600</v>
      </c>
      <c r="F11" t="n">
        <v>2.439024390243902</v>
      </c>
    </row>
    <row r="12">
      <c r="A12" t="n">
        <v>11</v>
      </c>
      <c r="B12" t="n">
        <v>5</v>
      </c>
      <c r="C12" t="inlineStr">
        <is>
          <t>ESCUELA LUIS MATTE LARRAIN</t>
        </is>
      </c>
      <c r="D12" t="n">
        <v>5580</v>
      </c>
      <c r="E12" t="n">
        <v>465</v>
      </c>
      <c r="F12" t="n">
        <v>18.42105263157895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</cols>
  <sheetData>
    <row r="1">
      <c r="A1" s="2" t="inlineStr">
        <is>
          <t>Punto</t>
        </is>
      </c>
      <c r="B1" s="2" t="inlineStr">
        <is>
          <t>Ahorro anual 2025 (m3)</t>
        </is>
      </c>
    </row>
    <row r="2">
      <c r="A2" t="inlineStr">
        <is>
          <t>COMPLEJO EDUCACIONAL CONSOLIDADA</t>
        </is>
      </c>
      <c r="B2" t="n">
        <v>32940</v>
      </c>
    </row>
    <row r="3">
      <c r="A3" t="inlineStr">
        <is>
          <t>LICEO CHILOE</t>
        </is>
      </c>
      <c r="B3" t="n">
        <v>21120</v>
      </c>
    </row>
    <row r="4">
      <c r="A4" t="inlineStr">
        <is>
          <t>ESCUELA VILLA INDEPENDENCIA</t>
        </is>
      </c>
      <c r="B4" t="n">
        <v>13140</v>
      </c>
    </row>
    <row r="5">
      <c r="A5" t="inlineStr">
        <is>
          <t>ESCUELA LOS ANDES</t>
        </is>
      </c>
      <c r="B5" t="n">
        <v>12960</v>
      </c>
    </row>
    <row r="6">
      <c r="A6" t="inlineStr">
        <is>
          <t>ESCUELA GABRIELA</t>
        </is>
      </c>
      <c r="B6" t="n">
        <v>12060</v>
      </c>
    </row>
    <row r="7">
      <c r="A7" t="inlineStr">
        <is>
          <t>ESCUELA ANDES DEL SUR</t>
        </is>
      </c>
      <c r="B7" t="n">
        <v>11880</v>
      </c>
    </row>
    <row r="8">
      <c r="A8" t="inlineStr">
        <is>
          <t>ESCUELA JUAN MACKENNA</t>
        </is>
      </c>
      <c r="B8" t="n">
        <v>11520</v>
      </c>
    </row>
    <row r="9">
      <c r="A9" t="inlineStr">
        <is>
          <t>LICEO MAIPO</t>
        </is>
      </c>
      <c r="B9" t="n">
        <v>10440</v>
      </c>
    </row>
    <row r="10">
      <c r="A10" t="inlineStr">
        <is>
          <t>PDRE HURTADO</t>
        </is>
      </c>
      <c r="B10" t="n">
        <v>10080</v>
      </c>
    </row>
    <row r="11">
      <c r="A11" t="inlineStr">
        <is>
          <t>ESCULA NONATO COO</t>
        </is>
      </c>
      <c r="B11" t="n">
        <v>7200</v>
      </c>
    </row>
    <row r="12">
      <c r="A12" t="inlineStr">
        <is>
          <t>ESCUELA LUIS MATTE LARRAIN</t>
        </is>
      </c>
      <c r="B12" t="n">
        <v>5580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2026-04-27T13:22:07Z</dcterms:created>
  <dcterms:modified xmlns:dcterms="http://purl.org/dc/terms/" xmlns:xsi="http://www.w3.org/2001/XMLSchema-instance" xsi:type="dcterms:W3CDTF">2026-04-27T14:15:02Z</dcterms:modified>
</cp:coreProperties>
</file>